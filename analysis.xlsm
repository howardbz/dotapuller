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48" windowWidth="22980" windowHeight="8232" activeTab="1"/>
  </bookViews>
  <sheets>
    <sheet name="output_parsed_hero" sheetId="6" r:id="rId1"/>
    <sheet name="Hero analysis" sheetId="5" r:id="rId2"/>
    <sheet name="Analysis" sheetId="4" r:id="rId3"/>
    <sheet name="Analysis backend" sheetId="3" r:id="rId4"/>
    <sheet name="output_parsed" sheetId="2" r:id="rId5"/>
    <sheet name="hero names" sheetId="1" r:id="rId6"/>
  </sheets>
  <definedNames>
    <definedName name="_xlnm._FilterDatabase" localSheetId="2" hidden="1">Analysis!$A$5:$E$131</definedName>
    <definedName name="_xlnm._FilterDatabase" localSheetId="1" hidden="1">'Hero analysis'!$A$5:$E$131</definedName>
    <definedName name="Sanderlin" localSheetId="4">output_parsed!$A$1:$S$211</definedName>
    <definedName name="Sanderlin" localSheetId="0">output_parsed_hero!$A$1:$S$211</definedName>
    <definedName name="Sanderlin_1" localSheetId="4">output_parsed!$A$1:$S$211</definedName>
    <definedName name="Sanderlin_1" localSheetId="0">output_parsed_hero!$A$1:$S$211</definedName>
    <definedName name="Sanderlin_10" localSheetId="4">output_parsed!$A$1:$S$260</definedName>
    <definedName name="Sanderlin_10" localSheetId="0">output_parsed_hero!$A$1:$S$260</definedName>
    <definedName name="Sanderlin_11" localSheetId="4">output_parsed!$A$1:$S$285</definedName>
    <definedName name="Sanderlin_11" localSheetId="0">output_parsed_hero!$A$1:$S$285</definedName>
    <definedName name="Sanderlin_12" localSheetId="4">output_parsed!$A$1:$S$288</definedName>
    <definedName name="Sanderlin_12" localSheetId="0">output_parsed_hero!$A$1:$S$211</definedName>
    <definedName name="Sanderlin_13" localSheetId="0">output_parsed_hero!$A$1:$S$225</definedName>
    <definedName name="Sanderlin_14" localSheetId="0">output_parsed_hero!$A$1:$S$218</definedName>
    <definedName name="Sanderlin_15" localSheetId="0">output_parsed_hero!$A$1:$S$211</definedName>
    <definedName name="Sanderlin_16" localSheetId="0">output_parsed_hero!$A$1:$S$211</definedName>
    <definedName name="Sanderlin_17" localSheetId="0">output_parsed_hero!$A$1:$S$233</definedName>
    <definedName name="Sanderlin_18" localSheetId="0">output_parsed_hero!$A$1:$S$260</definedName>
    <definedName name="Sanderlin_19" localSheetId="0">output_parsed_hero!$A$1:$S$225</definedName>
    <definedName name="Sanderlin_2" localSheetId="4">output_parsed!$A$1:$S$211</definedName>
    <definedName name="Sanderlin_2" localSheetId="0">output_parsed_hero!$A$1:$S$211</definedName>
    <definedName name="Sanderlin_20" localSheetId="0">output_parsed_hero!$A$1:$S$239</definedName>
    <definedName name="Sanderlin_21" localSheetId="0">output_parsed_hero!$A$1:$S$230</definedName>
    <definedName name="Sanderlin_22" localSheetId="0">output_parsed_hero!$A$1:$S$211</definedName>
    <definedName name="Sanderlin_23" localSheetId="0">output_parsed_hero!$A$1:$S$285</definedName>
    <definedName name="Sanderlin_24" localSheetId="0">output_parsed_hero!$A$1:$S$211</definedName>
    <definedName name="Sanderlin_25" localSheetId="0">output_parsed_hero!$A$1:$S$225</definedName>
    <definedName name="Sanderlin_26" localSheetId="0">output_parsed_hero!$A$1:$S$218</definedName>
    <definedName name="Sanderlin_27" localSheetId="0">output_parsed_hero!$A$1:$S$211</definedName>
    <definedName name="Sanderlin_28" localSheetId="0">output_parsed_hero!$A$1:$S$211</definedName>
    <definedName name="Sanderlin_29" localSheetId="0">output_parsed_hero!$A$1:$S$233</definedName>
    <definedName name="Sanderlin_3" localSheetId="4">output_parsed!$A$1:$S$211</definedName>
    <definedName name="Sanderlin_3" localSheetId="0">output_parsed_hero!$A$1:$S$211</definedName>
    <definedName name="Sanderlin_30" localSheetId="0">output_parsed_hero!$A$1:$S$260</definedName>
    <definedName name="Sanderlin_31" localSheetId="0">output_parsed_hero!$A$1:$S$225</definedName>
    <definedName name="Sanderlin_32" localSheetId="0">output_parsed_hero!$A$1:$S$239</definedName>
    <definedName name="Sanderlin_33" localSheetId="0">output_parsed_hero!$A$1:$S$230</definedName>
    <definedName name="Sanderlin_34" localSheetId="0">output_parsed_hero!$A$1:$S$211</definedName>
    <definedName name="Sanderlin_35" localSheetId="0">output_parsed_hero!$A$1:$S$288</definedName>
    <definedName name="Sanderlin_36" localSheetId="0">output_parsed_hero!$A$1:$S$260</definedName>
    <definedName name="Sanderlin_37" localSheetId="0">output_parsed_hero!$A$1:$S$225</definedName>
    <definedName name="Sanderlin_38" localSheetId="0">output_parsed_hero!$A$1:$S$225</definedName>
    <definedName name="Sanderlin_39" localSheetId="0">output_parsed_hero!$A$1:$S$218</definedName>
    <definedName name="Sanderlin_4" localSheetId="4">output_parsed!$A$1:$S$218</definedName>
    <definedName name="Sanderlin_4" localSheetId="0">output_parsed_hero!$A$1:$S$218</definedName>
    <definedName name="Sanderlin_40" localSheetId="0">output_parsed_hero!$A$1:$S$239</definedName>
    <definedName name="Sanderlin_41" localSheetId="0">output_parsed_hero!$A$1:$S$211</definedName>
    <definedName name="Sanderlin_42" localSheetId="0">output_parsed_hero!$A$1:$S$285</definedName>
    <definedName name="Sanderlin_43" localSheetId="0">output_parsed_hero!$A$1:$S$230</definedName>
    <definedName name="Sanderlin_44" localSheetId="0">output_parsed_hero!$A$1:$S$211</definedName>
    <definedName name="Sanderlin_45" localSheetId="0">output_parsed_hero!$A$1:$S$211</definedName>
    <definedName name="Sanderlin_46" localSheetId="0">output_parsed_hero!$A$1:$S$211</definedName>
    <definedName name="Sanderlin_47" localSheetId="0">output_parsed_hero!$A$1:$S$233</definedName>
    <definedName name="Sanderlin_5" localSheetId="4">output_parsed!$A$1:$S$225</definedName>
    <definedName name="Sanderlin_5" localSheetId="0">output_parsed_hero!$A$1:$S$225</definedName>
    <definedName name="Sanderlin_6" localSheetId="4">output_parsed!$A$1:$S$225</definedName>
    <definedName name="Sanderlin_6" localSheetId="0">output_parsed_hero!$A$1:$S$225</definedName>
    <definedName name="Sanderlin_7" localSheetId="4">output_parsed!$A$1:$S$230</definedName>
    <definedName name="Sanderlin_7" localSheetId="0">output_parsed_hero!$A$1:$S$230</definedName>
    <definedName name="Sanderlin_8" localSheetId="4">output_parsed!$A$1:$S$233</definedName>
    <definedName name="Sanderlin_8" localSheetId="0">output_parsed_hero!$A$1:$S$233</definedName>
    <definedName name="Sanderlin_9" localSheetId="4">output_parsed!$A$1:$S$239</definedName>
    <definedName name="Sanderlin_9" localSheetId="0">output_parsed_hero!$A$1:$S$239</definedName>
  </definedNames>
  <calcPr calcId="144525"/>
</workbook>
</file>

<file path=xl/calcChain.xml><?xml version="1.0" encoding="utf-8"?>
<calcChain xmlns="http://schemas.openxmlformats.org/spreadsheetml/2006/main">
  <c r="T6349" i="6" l="1"/>
  <c r="U6349" i="6" s="1"/>
  <c r="T6348" i="6"/>
  <c r="U6348" i="6" s="1"/>
  <c r="T6347" i="6"/>
  <c r="U6347" i="6" s="1"/>
  <c r="T6346" i="6"/>
  <c r="U6346" i="6" s="1"/>
  <c r="T6345" i="6"/>
  <c r="U6345" i="6" s="1"/>
  <c r="T6344" i="6"/>
  <c r="U6344" i="6" s="1"/>
  <c r="T6343" i="6"/>
  <c r="U6343" i="6" s="1"/>
  <c r="U6342" i="6"/>
  <c r="T6342" i="6"/>
  <c r="T6341" i="6"/>
  <c r="U6341" i="6" s="1"/>
  <c r="T6340" i="6"/>
  <c r="U6340" i="6" s="1"/>
  <c r="T6339" i="6"/>
  <c r="U6339" i="6" s="1"/>
  <c r="T6338" i="6"/>
  <c r="U6338" i="6" s="1"/>
  <c r="T6337" i="6"/>
  <c r="U6337" i="6" s="1"/>
  <c r="T6336" i="6"/>
  <c r="U6336" i="6" s="1"/>
  <c r="T6335" i="6"/>
  <c r="U6335" i="6" s="1"/>
  <c r="T6334" i="6"/>
  <c r="U6334" i="6" s="1"/>
  <c r="T6333" i="6"/>
  <c r="U6333" i="6" s="1"/>
  <c r="T6332" i="6"/>
  <c r="U6332" i="6" s="1"/>
  <c r="T6331" i="6"/>
  <c r="U6331" i="6" s="1"/>
  <c r="T6330" i="6"/>
  <c r="U6330" i="6" s="1"/>
  <c r="T6329" i="6"/>
  <c r="U6329" i="6" s="1"/>
  <c r="T6328" i="6"/>
  <c r="U6328" i="6" s="1"/>
  <c r="T6327" i="6"/>
  <c r="U6327" i="6" s="1"/>
  <c r="U6326" i="6"/>
  <c r="T6326" i="6"/>
  <c r="T6325" i="6"/>
  <c r="U6325" i="6" s="1"/>
  <c r="T6324" i="6"/>
  <c r="U6324" i="6" s="1"/>
  <c r="T6323" i="6"/>
  <c r="U6323" i="6" s="1"/>
  <c r="T6322" i="6"/>
  <c r="U6322" i="6" s="1"/>
  <c r="T6321" i="6"/>
  <c r="U6321" i="6" s="1"/>
  <c r="T6320" i="6"/>
  <c r="U6320" i="6" s="1"/>
  <c r="T6319" i="6"/>
  <c r="U6319" i="6" s="1"/>
  <c r="T6318" i="6"/>
  <c r="U6318" i="6" s="1"/>
  <c r="T6317" i="6"/>
  <c r="U6317" i="6" s="1"/>
  <c r="T6316" i="6"/>
  <c r="U6316" i="6" s="1"/>
  <c r="T6315" i="6"/>
  <c r="U6315" i="6" s="1"/>
  <c r="T6314" i="6"/>
  <c r="U6314" i="6" s="1"/>
  <c r="T6313" i="6"/>
  <c r="U6313" i="6" s="1"/>
  <c r="T6312" i="6"/>
  <c r="U6312" i="6" s="1"/>
  <c r="T6311" i="6"/>
  <c r="U6311" i="6" s="1"/>
  <c r="U6310" i="6"/>
  <c r="T6310" i="6"/>
  <c r="T6309" i="6"/>
  <c r="U6309" i="6" s="1"/>
  <c r="T6308" i="6"/>
  <c r="U6308" i="6" s="1"/>
  <c r="T6307" i="6"/>
  <c r="U6307" i="6" s="1"/>
  <c r="T6306" i="6"/>
  <c r="U6306" i="6" s="1"/>
  <c r="T6305" i="6"/>
  <c r="U6305" i="6" s="1"/>
  <c r="T6304" i="6"/>
  <c r="U6304" i="6" s="1"/>
  <c r="T6303" i="6"/>
  <c r="U6303" i="6" s="1"/>
  <c r="T6302" i="6"/>
  <c r="U6302" i="6" s="1"/>
  <c r="T6301" i="6"/>
  <c r="U6301" i="6" s="1"/>
  <c r="T6300" i="6"/>
  <c r="U6300" i="6" s="1"/>
  <c r="T6299" i="6"/>
  <c r="U6299" i="6" s="1"/>
  <c r="T6298" i="6"/>
  <c r="U6298" i="6" s="1"/>
  <c r="T6297" i="6"/>
  <c r="U6297" i="6" s="1"/>
  <c r="T6296" i="6"/>
  <c r="U6296" i="6" s="1"/>
  <c r="T6295" i="6"/>
  <c r="U6295" i="6" s="1"/>
  <c r="U6294" i="6"/>
  <c r="T6294" i="6"/>
  <c r="T6293" i="6"/>
  <c r="U6293" i="6" s="1"/>
  <c r="T6292" i="6"/>
  <c r="U6292" i="6" s="1"/>
  <c r="T6291" i="6"/>
  <c r="U6291" i="6" s="1"/>
  <c r="T6290" i="6"/>
  <c r="U6290" i="6" s="1"/>
  <c r="T6289" i="6"/>
  <c r="U6289" i="6" s="1"/>
  <c r="T6288" i="6"/>
  <c r="U6288" i="6" s="1"/>
  <c r="T6287" i="6"/>
  <c r="U6287" i="6" s="1"/>
  <c r="T6286" i="6"/>
  <c r="U6286" i="6" s="1"/>
  <c r="T6285" i="6"/>
  <c r="U6285" i="6" s="1"/>
  <c r="T6284" i="6"/>
  <c r="U6284" i="6" s="1"/>
  <c r="T6283" i="6"/>
  <c r="U6283" i="6" s="1"/>
  <c r="T6282" i="6"/>
  <c r="U6282" i="6" s="1"/>
  <c r="T6281" i="6"/>
  <c r="U6281" i="6" s="1"/>
  <c r="T6280" i="6"/>
  <c r="U6280" i="6" s="1"/>
  <c r="T6279" i="6"/>
  <c r="U6279" i="6" s="1"/>
  <c r="U6278" i="6"/>
  <c r="T6278" i="6"/>
  <c r="T6277" i="6"/>
  <c r="U6277" i="6" s="1"/>
  <c r="T6276" i="6"/>
  <c r="U6276" i="6" s="1"/>
  <c r="T6275" i="6"/>
  <c r="U6275" i="6" s="1"/>
  <c r="T6274" i="6"/>
  <c r="U6274" i="6" s="1"/>
  <c r="T6273" i="6"/>
  <c r="U6273" i="6" s="1"/>
  <c r="T6272" i="6"/>
  <c r="U6272" i="6" s="1"/>
  <c r="T6271" i="6"/>
  <c r="U6271" i="6" s="1"/>
  <c r="T6270" i="6"/>
  <c r="U6270" i="6" s="1"/>
  <c r="T6269" i="6"/>
  <c r="U6269" i="6" s="1"/>
  <c r="T6268" i="6"/>
  <c r="U6268" i="6" s="1"/>
  <c r="T6267" i="6"/>
  <c r="U6267" i="6" s="1"/>
  <c r="T6266" i="6"/>
  <c r="U6266" i="6" s="1"/>
  <c r="T6265" i="6"/>
  <c r="U6265" i="6" s="1"/>
  <c r="T6264" i="6"/>
  <c r="U6264" i="6" s="1"/>
  <c r="T6263" i="6"/>
  <c r="U6263" i="6" s="1"/>
  <c r="U6262" i="6"/>
  <c r="T6262" i="6"/>
  <c r="T6261" i="6"/>
  <c r="U6261" i="6" s="1"/>
  <c r="T6260" i="6"/>
  <c r="U6260" i="6" s="1"/>
  <c r="T6259" i="6"/>
  <c r="U6259" i="6" s="1"/>
  <c r="T6258" i="6"/>
  <c r="U6258" i="6" s="1"/>
  <c r="T6257" i="6"/>
  <c r="U6257" i="6" s="1"/>
  <c r="T6256" i="6"/>
  <c r="U6256" i="6" s="1"/>
  <c r="T6255" i="6"/>
  <c r="U6255" i="6" s="1"/>
  <c r="T6254" i="6"/>
  <c r="U6254" i="6" s="1"/>
  <c r="T6253" i="6"/>
  <c r="U6253" i="6" s="1"/>
  <c r="T6252" i="6"/>
  <c r="U6252" i="6" s="1"/>
  <c r="T6251" i="6"/>
  <c r="U6251" i="6" s="1"/>
  <c r="T6250" i="6"/>
  <c r="U6250" i="6" s="1"/>
  <c r="T6249" i="6"/>
  <c r="U6249" i="6" s="1"/>
  <c r="T6248" i="6"/>
  <c r="U6248" i="6" s="1"/>
  <c r="T6247" i="6"/>
  <c r="U6247" i="6" s="1"/>
  <c r="T6246" i="6"/>
  <c r="U6246" i="6" s="1"/>
  <c r="T6245" i="6"/>
  <c r="U6245" i="6" s="1"/>
  <c r="T6244" i="6"/>
  <c r="U6244" i="6" s="1"/>
  <c r="T6243" i="6"/>
  <c r="U6243" i="6" s="1"/>
  <c r="T6242" i="6"/>
  <c r="U6242" i="6" s="1"/>
  <c r="T6241" i="6"/>
  <c r="U6241" i="6" s="1"/>
  <c r="T6240" i="6"/>
  <c r="U6240" i="6" s="1"/>
  <c r="T6239" i="6"/>
  <c r="U6239" i="6" s="1"/>
  <c r="T6238" i="6"/>
  <c r="U6238" i="6" s="1"/>
  <c r="T6237" i="6"/>
  <c r="U6237" i="6" s="1"/>
  <c r="T6236" i="6"/>
  <c r="U6236" i="6" s="1"/>
  <c r="T6235" i="6"/>
  <c r="U6235" i="6" s="1"/>
  <c r="U6234" i="6"/>
  <c r="T6234" i="6"/>
  <c r="T6233" i="6"/>
  <c r="U6233" i="6" s="1"/>
  <c r="T6232" i="6"/>
  <c r="U6232" i="6" s="1"/>
  <c r="T6231" i="6"/>
  <c r="U6231" i="6" s="1"/>
  <c r="T6230" i="6"/>
  <c r="U6230" i="6" s="1"/>
  <c r="T6229" i="6"/>
  <c r="U6229" i="6" s="1"/>
  <c r="T6228" i="6"/>
  <c r="U6228" i="6" s="1"/>
  <c r="T6227" i="6"/>
  <c r="U6227" i="6" s="1"/>
  <c r="T6226" i="6"/>
  <c r="U6226" i="6" s="1"/>
  <c r="T6225" i="6"/>
  <c r="U6225" i="6" s="1"/>
  <c r="T6224" i="6"/>
  <c r="U6224" i="6" s="1"/>
  <c r="T6223" i="6"/>
  <c r="U6223" i="6" s="1"/>
  <c r="U6222" i="6"/>
  <c r="T6222" i="6"/>
  <c r="T6221" i="6"/>
  <c r="U6221" i="6" s="1"/>
  <c r="T6220" i="6"/>
  <c r="U6220" i="6" s="1"/>
  <c r="T6219" i="6"/>
  <c r="U6219" i="6" s="1"/>
  <c r="T6218" i="6"/>
  <c r="U6218" i="6" s="1"/>
  <c r="T6217" i="6"/>
  <c r="U6217" i="6" s="1"/>
  <c r="T6216" i="6"/>
  <c r="U6216" i="6" s="1"/>
  <c r="T6215" i="6"/>
  <c r="U6215" i="6" s="1"/>
  <c r="T6214" i="6"/>
  <c r="U6214" i="6" s="1"/>
  <c r="T6213" i="6"/>
  <c r="U6213" i="6" s="1"/>
  <c r="T6212" i="6"/>
  <c r="U6212" i="6" s="1"/>
  <c r="T6211" i="6"/>
  <c r="U6211" i="6" s="1"/>
  <c r="T6210" i="6"/>
  <c r="U6210" i="6" s="1"/>
  <c r="T6209" i="6"/>
  <c r="U6209" i="6" s="1"/>
  <c r="T6208" i="6"/>
  <c r="U6208" i="6" s="1"/>
  <c r="T6207" i="6"/>
  <c r="U6207" i="6" s="1"/>
  <c r="T6206" i="6"/>
  <c r="U6206" i="6" s="1"/>
  <c r="T6205" i="6"/>
  <c r="U6205" i="6" s="1"/>
  <c r="T6204" i="6"/>
  <c r="U6204" i="6" s="1"/>
  <c r="T6203" i="6"/>
  <c r="U6203" i="6" s="1"/>
  <c r="T6202" i="6"/>
  <c r="U6202" i="6" s="1"/>
  <c r="T6201" i="6"/>
  <c r="U6201" i="6" s="1"/>
  <c r="T6200" i="6"/>
  <c r="U6200" i="6" s="1"/>
  <c r="T6199" i="6"/>
  <c r="U6199" i="6" s="1"/>
  <c r="T6198" i="6"/>
  <c r="U6198" i="6" s="1"/>
  <c r="T6197" i="6"/>
  <c r="U6197" i="6" s="1"/>
  <c r="U6196" i="6"/>
  <c r="T6196" i="6"/>
  <c r="T6195" i="6"/>
  <c r="U6195" i="6" s="1"/>
  <c r="T6194" i="6"/>
  <c r="U6194" i="6" s="1"/>
  <c r="T6193" i="6"/>
  <c r="U6193" i="6" s="1"/>
  <c r="T6192" i="6"/>
  <c r="U6192" i="6" s="1"/>
  <c r="T6191" i="6"/>
  <c r="U6191" i="6" s="1"/>
  <c r="T6190" i="6"/>
  <c r="U6190" i="6" s="1"/>
  <c r="T6189" i="6"/>
  <c r="U6189" i="6" s="1"/>
  <c r="T6188" i="6"/>
  <c r="U6188" i="6" s="1"/>
  <c r="T6187" i="6"/>
  <c r="U6187" i="6" s="1"/>
  <c r="T6186" i="6"/>
  <c r="U6186" i="6" s="1"/>
  <c r="T6185" i="6"/>
  <c r="U6185" i="6" s="1"/>
  <c r="T6184" i="6"/>
  <c r="U6184" i="6" s="1"/>
  <c r="T6183" i="6"/>
  <c r="U6183" i="6" s="1"/>
  <c r="T6182" i="6"/>
  <c r="U6182" i="6" s="1"/>
  <c r="T6181" i="6"/>
  <c r="U6181" i="6" s="1"/>
  <c r="T6180" i="6"/>
  <c r="U6180" i="6" s="1"/>
  <c r="T6179" i="6"/>
  <c r="U6179" i="6" s="1"/>
  <c r="T6178" i="6"/>
  <c r="U6178" i="6" s="1"/>
  <c r="T6177" i="6"/>
  <c r="U6177" i="6" s="1"/>
  <c r="T6176" i="6"/>
  <c r="U6176" i="6" s="1"/>
  <c r="T6175" i="6"/>
  <c r="U6175" i="6" s="1"/>
  <c r="U6174" i="6"/>
  <c r="T6174" i="6"/>
  <c r="T6173" i="6"/>
  <c r="U6173" i="6" s="1"/>
  <c r="T6172" i="6"/>
  <c r="U6172" i="6" s="1"/>
  <c r="T6171" i="6"/>
  <c r="U6171" i="6" s="1"/>
  <c r="T6170" i="6"/>
  <c r="U6170" i="6" s="1"/>
  <c r="T6169" i="6"/>
  <c r="U6169" i="6" s="1"/>
  <c r="T6168" i="6"/>
  <c r="U6168" i="6" s="1"/>
  <c r="T6167" i="6"/>
  <c r="U6167" i="6" s="1"/>
  <c r="T6166" i="6"/>
  <c r="U6166" i="6" s="1"/>
  <c r="T6165" i="6"/>
  <c r="U6165" i="6" s="1"/>
  <c r="T6164" i="6"/>
  <c r="U6164" i="6" s="1"/>
  <c r="T6163" i="6"/>
  <c r="U6163" i="6" s="1"/>
  <c r="T6162" i="6"/>
  <c r="U6162" i="6" s="1"/>
  <c r="T6161" i="6"/>
  <c r="U6161" i="6" s="1"/>
  <c r="T6160" i="6"/>
  <c r="U6160" i="6" s="1"/>
  <c r="T6159" i="6"/>
  <c r="U6159" i="6" s="1"/>
  <c r="T6158" i="6"/>
  <c r="U6158" i="6" s="1"/>
  <c r="T6157" i="6"/>
  <c r="U6157" i="6" s="1"/>
  <c r="T6156" i="6"/>
  <c r="U6156" i="6" s="1"/>
  <c r="T6155" i="6"/>
  <c r="U6155" i="6" s="1"/>
  <c r="T6154" i="6"/>
  <c r="U6154" i="6" s="1"/>
  <c r="T6153" i="6"/>
  <c r="U6153" i="6" s="1"/>
  <c r="T6152" i="6"/>
  <c r="U6152" i="6" s="1"/>
  <c r="T6151" i="6"/>
  <c r="U6151" i="6" s="1"/>
  <c r="T6150" i="6"/>
  <c r="U6150" i="6" s="1"/>
  <c r="T6149" i="6"/>
  <c r="U6149" i="6" s="1"/>
  <c r="T6148" i="6"/>
  <c r="U6148" i="6" s="1"/>
  <c r="T6147" i="6"/>
  <c r="U6147" i="6" s="1"/>
  <c r="T6146" i="6"/>
  <c r="U6146" i="6" s="1"/>
  <c r="T6145" i="6"/>
  <c r="U6145" i="6" s="1"/>
  <c r="T6144" i="6"/>
  <c r="U6144" i="6" s="1"/>
  <c r="T6143" i="6"/>
  <c r="U6143" i="6" s="1"/>
  <c r="U6142" i="6"/>
  <c r="T6142" i="6"/>
  <c r="T6141" i="6"/>
  <c r="U6141" i="6" s="1"/>
  <c r="T6140" i="6"/>
  <c r="U6140" i="6" s="1"/>
  <c r="T6139" i="6"/>
  <c r="U6139" i="6" s="1"/>
  <c r="T6138" i="6"/>
  <c r="U6138" i="6" s="1"/>
  <c r="T6137" i="6"/>
  <c r="U6137" i="6" s="1"/>
  <c r="T6136" i="6"/>
  <c r="U6136" i="6" s="1"/>
  <c r="T6135" i="6"/>
  <c r="U6135" i="6" s="1"/>
  <c r="T6134" i="6"/>
  <c r="U6134" i="6" s="1"/>
  <c r="T6133" i="6"/>
  <c r="U6133" i="6" s="1"/>
  <c r="T6132" i="6"/>
  <c r="U6132" i="6" s="1"/>
  <c r="T6131" i="6"/>
  <c r="U6131" i="6" s="1"/>
  <c r="T6130" i="6"/>
  <c r="U6130" i="6" s="1"/>
  <c r="T6129" i="6"/>
  <c r="U6129" i="6" s="1"/>
  <c r="T6128" i="6"/>
  <c r="U6128" i="6" s="1"/>
  <c r="T6127" i="6"/>
  <c r="U6127" i="6" s="1"/>
  <c r="T6126" i="6"/>
  <c r="U6126" i="6" s="1"/>
  <c r="T6125" i="6"/>
  <c r="U6125" i="6" s="1"/>
  <c r="T6124" i="6"/>
  <c r="U6124" i="6" s="1"/>
  <c r="T6123" i="6"/>
  <c r="U6123" i="6" s="1"/>
  <c r="T6122" i="6"/>
  <c r="U6122" i="6" s="1"/>
  <c r="T6121" i="6"/>
  <c r="U6121" i="6" s="1"/>
  <c r="T6120" i="6"/>
  <c r="U6120" i="6" s="1"/>
  <c r="T6119" i="6"/>
  <c r="U6119" i="6" s="1"/>
  <c r="T6118" i="6"/>
  <c r="U6118" i="6" s="1"/>
  <c r="T6117" i="6"/>
  <c r="U6117" i="6" s="1"/>
  <c r="T6116" i="6"/>
  <c r="U6116" i="6" s="1"/>
  <c r="T6115" i="6"/>
  <c r="U6115" i="6" s="1"/>
  <c r="T6114" i="6"/>
  <c r="U6114" i="6" s="1"/>
  <c r="T6113" i="6"/>
  <c r="U6113" i="6" s="1"/>
  <c r="T6112" i="6"/>
  <c r="U6112" i="6" s="1"/>
  <c r="T6111" i="6"/>
  <c r="U6111" i="6" s="1"/>
  <c r="U6110" i="6"/>
  <c r="T6110" i="6"/>
  <c r="T6109" i="6"/>
  <c r="U6109" i="6" s="1"/>
  <c r="T6108" i="6"/>
  <c r="U6108" i="6" s="1"/>
  <c r="T6107" i="6"/>
  <c r="U6107" i="6" s="1"/>
  <c r="T6106" i="6"/>
  <c r="U6106" i="6" s="1"/>
  <c r="T6105" i="6"/>
  <c r="U6105" i="6" s="1"/>
  <c r="T6104" i="6"/>
  <c r="U6104" i="6" s="1"/>
  <c r="T6103" i="6"/>
  <c r="U6103" i="6" s="1"/>
  <c r="T6102" i="6"/>
  <c r="U6102" i="6" s="1"/>
  <c r="T6101" i="6"/>
  <c r="U6101" i="6" s="1"/>
  <c r="T6100" i="6"/>
  <c r="U6100" i="6" s="1"/>
  <c r="T6099" i="6"/>
  <c r="U6099" i="6" s="1"/>
  <c r="T6098" i="6"/>
  <c r="U6098" i="6" s="1"/>
  <c r="T6097" i="6"/>
  <c r="U6097" i="6" s="1"/>
  <c r="T6096" i="6"/>
  <c r="U6096" i="6" s="1"/>
  <c r="T6095" i="6"/>
  <c r="U6095" i="6" s="1"/>
  <c r="T6094" i="6"/>
  <c r="U6094" i="6" s="1"/>
  <c r="T6093" i="6"/>
  <c r="U6093" i="6" s="1"/>
  <c r="T6092" i="6"/>
  <c r="U6092" i="6" s="1"/>
  <c r="T6091" i="6"/>
  <c r="U6091" i="6" s="1"/>
  <c r="T6090" i="6"/>
  <c r="U6090" i="6" s="1"/>
  <c r="T6089" i="6"/>
  <c r="U6089" i="6" s="1"/>
  <c r="T6088" i="6"/>
  <c r="U6088" i="6" s="1"/>
  <c r="T6087" i="6"/>
  <c r="U6087" i="6" s="1"/>
  <c r="T6086" i="6"/>
  <c r="U6086" i="6" s="1"/>
  <c r="T6085" i="6"/>
  <c r="U6085" i="6" s="1"/>
  <c r="T6084" i="6"/>
  <c r="U6084" i="6" s="1"/>
  <c r="T6083" i="6"/>
  <c r="U6083" i="6" s="1"/>
  <c r="T6082" i="6"/>
  <c r="U6082" i="6" s="1"/>
  <c r="T6081" i="6"/>
  <c r="U6081" i="6" s="1"/>
  <c r="T6080" i="6"/>
  <c r="U6080" i="6" s="1"/>
  <c r="T6079" i="6"/>
  <c r="U6079" i="6" s="1"/>
  <c r="U6078" i="6"/>
  <c r="T6078" i="6"/>
  <c r="T6077" i="6"/>
  <c r="U6077" i="6" s="1"/>
  <c r="T6076" i="6"/>
  <c r="U6076" i="6" s="1"/>
  <c r="T6075" i="6"/>
  <c r="U6075" i="6" s="1"/>
  <c r="T6074" i="6"/>
  <c r="U6074" i="6" s="1"/>
  <c r="T6073" i="6"/>
  <c r="U6073" i="6" s="1"/>
  <c r="T6072" i="6"/>
  <c r="U6072" i="6" s="1"/>
  <c r="T6071" i="6"/>
  <c r="U6071" i="6" s="1"/>
  <c r="T6070" i="6"/>
  <c r="U6070" i="6" s="1"/>
  <c r="T6069" i="6"/>
  <c r="U6069" i="6" s="1"/>
  <c r="T6068" i="6"/>
  <c r="U6068" i="6" s="1"/>
  <c r="T6067" i="6"/>
  <c r="U6067" i="6" s="1"/>
  <c r="T6066" i="6"/>
  <c r="U6066" i="6" s="1"/>
  <c r="T6065" i="6"/>
  <c r="U6065" i="6" s="1"/>
  <c r="T6064" i="6"/>
  <c r="U6064" i="6" s="1"/>
  <c r="T6063" i="6"/>
  <c r="U6063" i="6" s="1"/>
  <c r="T6062" i="6"/>
  <c r="U6062" i="6" s="1"/>
  <c r="T6061" i="6"/>
  <c r="U6061" i="6" s="1"/>
  <c r="T6060" i="6"/>
  <c r="U6060" i="6" s="1"/>
  <c r="T6059" i="6"/>
  <c r="U6059" i="6" s="1"/>
  <c r="T6058" i="6"/>
  <c r="U6058" i="6" s="1"/>
  <c r="T6057" i="6"/>
  <c r="U6057" i="6" s="1"/>
  <c r="T6056" i="6"/>
  <c r="U6056" i="6" s="1"/>
  <c r="T6055" i="6"/>
  <c r="U6055" i="6" s="1"/>
  <c r="T6054" i="6"/>
  <c r="U6054" i="6" s="1"/>
  <c r="T6053" i="6"/>
  <c r="U6053" i="6" s="1"/>
  <c r="T6052" i="6"/>
  <c r="U6052" i="6" s="1"/>
  <c r="T6051" i="6"/>
  <c r="U6051" i="6" s="1"/>
  <c r="T6050" i="6"/>
  <c r="U6050" i="6" s="1"/>
  <c r="T6049" i="6"/>
  <c r="U6049" i="6" s="1"/>
  <c r="T6048" i="6"/>
  <c r="U6048" i="6" s="1"/>
  <c r="T6047" i="6"/>
  <c r="U6047" i="6" s="1"/>
  <c r="U6046" i="6"/>
  <c r="T6046" i="6"/>
  <c r="T6045" i="6"/>
  <c r="U6045" i="6" s="1"/>
  <c r="T6044" i="6"/>
  <c r="U6044" i="6" s="1"/>
  <c r="T6043" i="6"/>
  <c r="U6043" i="6" s="1"/>
  <c r="T6042" i="6"/>
  <c r="U6042" i="6" s="1"/>
  <c r="T6041" i="6"/>
  <c r="U6041" i="6" s="1"/>
  <c r="T6040" i="6"/>
  <c r="U6040" i="6" s="1"/>
  <c r="T6039" i="6"/>
  <c r="U6039" i="6" s="1"/>
  <c r="T6038" i="6"/>
  <c r="U6038" i="6" s="1"/>
  <c r="T6037" i="6"/>
  <c r="U6037" i="6" s="1"/>
  <c r="T6036" i="6"/>
  <c r="U6036" i="6" s="1"/>
  <c r="T6035" i="6"/>
  <c r="U6035" i="6" s="1"/>
  <c r="T6034" i="6"/>
  <c r="U6034" i="6" s="1"/>
  <c r="T6033" i="6"/>
  <c r="U6033" i="6" s="1"/>
  <c r="T6032" i="6"/>
  <c r="U6032" i="6" s="1"/>
  <c r="T6031" i="6"/>
  <c r="U6031" i="6" s="1"/>
  <c r="T6030" i="6"/>
  <c r="U6030" i="6" s="1"/>
  <c r="T6029" i="6"/>
  <c r="U6029" i="6" s="1"/>
  <c r="T6028" i="6"/>
  <c r="U6028" i="6" s="1"/>
  <c r="T6027" i="6"/>
  <c r="U6027" i="6" s="1"/>
  <c r="T6026" i="6"/>
  <c r="U6026" i="6" s="1"/>
  <c r="T6025" i="6"/>
  <c r="U6025" i="6" s="1"/>
  <c r="T6024" i="6"/>
  <c r="U6024" i="6" s="1"/>
  <c r="T6023" i="6"/>
  <c r="U6023" i="6" s="1"/>
  <c r="T6022" i="6"/>
  <c r="U6022" i="6" s="1"/>
  <c r="T6021" i="6"/>
  <c r="U6021" i="6" s="1"/>
  <c r="T6020" i="6"/>
  <c r="U6020" i="6" s="1"/>
  <c r="U6019" i="6"/>
  <c r="T6019" i="6"/>
  <c r="T6018" i="6"/>
  <c r="U6018" i="6" s="1"/>
  <c r="T6017" i="6"/>
  <c r="U6017" i="6" s="1"/>
  <c r="T6016" i="6"/>
  <c r="U6016" i="6" s="1"/>
  <c r="T6015" i="6"/>
  <c r="U6015" i="6" s="1"/>
  <c r="T6014" i="6"/>
  <c r="U6014" i="6" s="1"/>
  <c r="T6013" i="6"/>
  <c r="U6013" i="6" s="1"/>
  <c r="T6012" i="6"/>
  <c r="U6012" i="6" s="1"/>
  <c r="T6011" i="6"/>
  <c r="U6011" i="6" s="1"/>
  <c r="T6010" i="6"/>
  <c r="U6010" i="6" s="1"/>
  <c r="T6009" i="6"/>
  <c r="U6009" i="6" s="1"/>
  <c r="T6008" i="6"/>
  <c r="U6008" i="6" s="1"/>
  <c r="T6007" i="6"/>
  <c r="U6007" i="6" s="1"/>
  <c r="T6006" i="6"/>
  <c r="U6006" i="6" s="1"/>
  <c r="T6005" i="6"/>
  <c r="U6005" i="6" s="1"/>
  <c r="T6004" i="6"/>
  <c r="U6004" i="6" s="1"/>
  <c r="U6003" i="6"/>
  <c r="T6003" i="6"/>
  <c r="T6002" i="6"/>
  <c r="U6002" i="6" s="1"/>
  <c r="T6001" i="6"/>
  <c r="U6001" i="6" s="1"/>
  <c r="T6000" i="6"/>
  <c r="U6000" i="6" s="1"/>
  <c r="T5999" i="6"/>
  <c r="U5999" i="6" s="1"/>
  <c r="T5998" i="6"/>
  <c r="U5998" i="6" s="1"/>
  <c r="T5997" i="6"/>
  <c r="U5997" i="6" s="1"/>
  <c r="T5996" i="6"/>
  <c r="U5996" i="6" s="1"/>
  <c r="T5995" i="6"/>
  <c r="U5995" i="6" s="1"/>
  <c r="T5994" i="6"/>
  <c r="U5994" i="6" s="1"/>
  <c r="T5993" i="6"/>
  <c r="U5993" i="6" s="1"/>
  <c r="T5992" i="6"/>
  <c r="U5992" i="6" s="1"/>
  <c r="T5991" i="6"/>
  <c r="U5991" i="6" s="1"/>
  <c r="T5990" i="6"/>
  <c r="U5990" i="6" s="1"/>
  <c r="T5989" i="6"/>
  <c r="U5989" i="6" s="1"/>
  <c r="T5988" i="6"/>
  <c r="U5988" i="6" s="1"/>
  <c r="U5987" i="6"/>
  <c r="T5987" i="6"/>
  <c r="T5986" i="6"/>
  <c r="U5986" i="6" s="1"/>
  <c r="T5985" i="6"/>
  <c r="U5985" i="6" s="1"/>
  <c r="T5984" i="6"/>
  <c r="U5984" i="6" s="1"/>
  <c r="T5983" i="6"/>
  <c r="U5983" i="6" s="1"/>
  <c r="T5982" i="6"/>
  <c r="U5982" i="6" s="1"/>
  <c r="T5981" i="6"/>
  <c r="U5981" i="6" s="1"/>
  <c r="T5980" i="6"/>
  <c r="U5980" i="6" s="1"/>
  <c r="T5979" i="6"/>
  <c r="U5979" i="6" s="1"/>
  <c r="T5978" i="6"/>
  <c r="U5978" i="6" s="1"/>
  <c r="T5977" i="6"/>
  <c r="U5977" i="6" s="1"/>
  <c r="T5976" i="6"/>
  <c r="U5976" i="6" s="1"/>
  <c r="T5975" i="6"/>
  <c r="U5975" i="6" s="1"/>
  <c r="T5974" i="6"/>
  <c r="U5974" i="6" s="1"/>
  <c r="T5973" i="6"/>
  <c r="U5973" i="6" s="1"/>
  <c r="T5972" i="6"/>
  <c r="U5972" i="6" s="1"/>
  <c r="U5971" i="6"/>
  <c r="T5971" i="6"/>
  <c r="T5970" i="6"/>
  <c r="U5970" i="6" s="1"/>
  <c r="T5969" i="6"/>
  <c r="U5969" i="6" s="1"/>
  <c r="T5968" i="6"/>
  <c r="U5968" i="6" s="1"/>
  <c r="T5967" i="6"/>
  <c r="U5967" i="6" s="1"/>
  <c r="T5966" i="6"/>
  <c r="U5966" i="6" s="1"/>
  <c r="T5965" i="6"/>
  <c r="U5965" i="6" s="1"/>
  <c r="T5964" i="6"/>
  <c r="U5964" i="6" s="1"/>
  <c r="T5963" i="6"/>
  <c r="U5963" i="6" s="1"/>
  <c r="T5962" i="6"/>
  <c r="U5962" i="6" s="1"/>
  <c r="T5961" i="6"/>
  <c r="U5961" i="6" s="1"/>
  <c r="T5960" i="6"/>
  <c r="U5960" i="6" s="1"/>
  <c r="T5959" i="6"/>
  <c r="U5959" i="6" s="1"/>
  <c r="T5958" i="6"/>
  <c r="U5958" i="6" s="1"/>
  <c r="T5957" i="6"/>
  <c r="U5957" i="6" s="1"/>
  <c r="T5956" i="6"/>
  <c r="U5956" i="6" s="1"/>
  <c r="U5955" i="6"/>
  <c r="T5955" i="6"/>
  <c r="T5954" i="6"/>
  <c r="U5954" i="6" s="1"/>
  <c r="T5953" i="6"/>
  <c r="U5953" i="6" s="1"/>
  <c r="T5952" i="6"/>
  <c r="U5952" i="6" s="1"/>
  <c r="T5951" i="6"/>
  <c r="U5951" i="6" s="1"/>
  <c r="T5950" i="6"/>
  <c r="U5950" i="6" s="1"/>
  <c r="T5949" i="6"/>
  <c r="U5949" i="6" s="1"/>
  <c r="T5948" i="6"/>
  <c r="U5948" i="6" s="1"/>
  <c r="T5947" i="6"/>
  <c r="U5947" i="6" s="1"/>
  <c r="T5946" i="6"/>
  <c r="U5946" i="6" s="1"/>
  <c r="T5945" i="6"/>
  <c r="U5945" i="6" s="1"/>
  <c r="T5944" i="6"/>
  <c r="U5944" i="6" s="1"/>
  <c r="T5943" i="6"/>
  <c r="U5943" i="6" s="1"/>
  <c r="T5942" i="6"/>
  <c r="U5942" i="6" s="1"/>
  <c r="T5941" i="6"/>
  <c r="U5941" i="6" s="1"/>
  <c r="T5940" i="6"/>
  <c r="U5940" i="6" s="1"/>
  <c r="U5939" i="6"/>
  <c r="T5939" i="6"/>
  <c r="T5938" i="6"/>
  <c r="U5938" i="6" s="1"/>
  <c r="T5937" i="6"/>
  <c r="U5937" i="6" s="1"/>
  <c r="T5936" i="6"/>
  <c r="U5936" i="6" s="1"/>
  <c r="T5935" i="6"/>
  <c r="U5935" i="6" s="1"/>
  <c r="T5934" i="6"/>
  <c r="U5934" i="6" s="1"/>
  <c r="T5933" i="6"/>
  <c r="U5933" i="6" s="1"/>
  <c r="T5932" i="6"/>
  <c r="U5932" i="6" s="1"/>
  <c r="T5931" i="6"/>
  <c r="U5931" i="6" s="1"/>
  <c r="T5930" i="6"/>
  <c r="U5930" i="6" s="1"/>
  <c r="T5929" i="6"/>
  <c r="U5929" i="6" s="1"/>
  <c r="T5928" i="6"/>
  <c r="U5928" i="6" s="1"/>
  <c r="T5927" i="6"/>
  <c r="U5927" i="6" s="1"/>
  <c r="T5926" i="6"/>
  <c r="U5926" i="6" s="1"/>
  <c r="T5925" i="6"/>
  <c r="U5925" i="6" s="1"/>
  <c r="T5924" i="6"/>
  <c r="U5924" i="6" s="1"/>
  <c r="U5923" i="6"/>
  <c r="T5923" i="6"/>
  <c r="T5922" i="6"/>
  <c r="U5922" i="6" s="1"/>
  <c r="T5921" i="6"/>
  <c r="U5921" i="6" s="1"/>
  <c r="T5920" i="6"/>
  <c r="U5920" i="6" s="1"/>
  <c r="T5919" i="6"/>
  <c r="U5919" i="6" s="1"/>
  <c r="T5918" i="6"/>
  <c r="U5918" i="6" s="1"/>
  <c r="T5917" i="6"/>
  <c r="U5917" i="6" s="1"/>
  <c r="T5916" i="6"/>
  <c r="U5916" i="6" s="1"/>
  <c r="T5915" i="6"/>
  <c r="U5915" i="6" s="1"/>
  <c r="T5914" i="6"/>
  <c r="U5914" i="6" s="1"/>
  <c r="T5913" i="6"/>
  <c r="U5913" i="6" s="1"/>
  <c r="T5912" i="6"/>
  <c r="U5912" i="6" s="1"/>
  <c r="T5911" i="6"/>
  <c r="U5911" i="6" s="1"/>
  <c r="T5910" i="6"/>
  <c r="U5910" i="6" s="1"/>
  <c r="T5909" i="6"/>
  <c r="U5909" i="6" s="1"/>
  <c r="T5908" i="6"/>
  <c r="U5908" i="6" s="1"/>
  <c r="U5907" i="6"/>
  <c r="T5907" i="6"/>
  <c r="T5906" i="6"/>
  <c r="U5906" i="6" s="1"/>
  <c r="T5905" i="6"/>
  <c r="U5905" i="6" s="1"/>
  <c r="T5904" i="6"/>
  <c r="U5904" i="6" s="1"/>
  <c r="T5903" i="6"/>
  <c r="U5903" i="6" s="1"/>
  <c r="T5902" i="6"/>
  <c r="U5902" i="6" s="1"/>
  <c r="T5901" i="6"/>
  <c r="U5901" i="6" s="1"/>
  <c r="T5900" i="6"/>
  <c r="U5900" i="6" s="1"/>
  <c r="T5899" i="6"/>
  <c r="U5899" i="6" s="1"/>
  <c r="T5898" i="6"/>
  <c r="U5898" i="6" s="1"/>
  <c r="T5897" i="6"/>
  <c r="U5897" i="6" s="1"/>
  <c r="T5896" i="6"/>
  <c r="U5896" i="6" s="1"/>
  <c r="T5895" i="6"/>
  <c r="U5895" i="6" s="1"/>
  <c r="T5894" i="6"/>
  <c r="U5894" i="6" s="1"/>
  <c r="T5893" i="6"/>
  <c r="U5893" i="6" s="1"/>
  <c r="T5892" i="6"/>
  <c r="U5892" i="6" s="1"/>
  <c r="T5891" i="6"/>
  <c r="U5891" i="6" s="1"/>
  <c r="T5890" i="6"/>
  <c r="U5890" i="6" s="1"/>
  <c r="T5889" i="6"/>
  <c r="U5889" i="6" s="1"/>
  <c r="T5888" i="6"/>
  <c r="U5888" i="6" s="1"/>
  <c r="T5887" i="6"/>
  <c r="U5887" i="6" s="1"/>
  <c r="T5886" i="6"/>
  <c r="U5886" i="6" s="1"/>
  <c r="T5885" i="6"/>
  <c r="U5885" i="6" s="1"/>
  <c r="T5884" i="6"/>
  <c r="U5884" i="6" s="1"/>
  <c r="T5883" i="6"/>
  <c r="U5883" i="6" s="1"/>
  <c r="T5882" i="6"/>
  <c r="U5882" i="6" s="1"/>
  <c r="U5881" i="6"/>
  <c r="T5881" i="6"/>
  <c r="T5880" i="6"/>
  <c r="U5880" i="6" s="1"/>
  <c r="T5879" i="6"/>
  <c r="U5879" i="6" s="1"/>
  <c r="T5878" i="6"/>
  <c r="U5878" i="6" s="1"/>
  <c r="T5877" i="6"/>
  <c r="U5877" i="6" s="1"/>
  <c r="T5876" i="6"/>
  <c r="U5876" i="6" s="1"/>
  <c r="T5875" i="6"/>
  <c r="U5875" i="6" s="1"/>
  <c r="T5874" i="6"/>
  <c r="U5874" i="6" s="1"/>
  <c r="T5873" i="6"/>
  <c r="U5873" i="6" s="1"/>
  <c r="T5872" i="6"/>
  <c r="U5872" i="6" s="1"/>
  <c r="T5871" i="6"/>
  <c r="U5871" i="6" s="1"/>
  <c r="T5870" i="6"/>
  <c r="U5870" i="6" s="1"/>
  <c r="T5869" i="6"/>
  <c r="U5869" i="6" s="1"/>
  <c r="T5868" i="6"/>
  <c r="U5868" i="6" s="1"/>
  <c r="T5867" i="6"/>
  <c r="U5867" i="6" s="1"/>
  <c r="T5866" i="6"/>
  <c r="U5866" i="6" s="1"/>
  <c r="T5865" i="6"/>
  <c r="U5865" i="6" s="1"/>
  <c r="T5864" i="6"/>
  <c r="U5864" i="6" s="1"/>
  <c r="T5863" i="6"/>
  <c r="U5863" i="6" s="1"/>
  <c r="T5862" i="6"/>
  <c r="U5862" i="6" s="1"/>
  <c r="T5861" i="6"/>
  <c r="U5861" i="6" s="1"/>
  <c r="T5860" i="6"/>
  <c r="U5860" i="6" s="1"/>
  <c r="T5859" i="6"/>
  <c r="U5859" i="6" s="1"/>
  <c r="T5858" i="6"/>
  <c r="U5858" i="6" s="1"/>
  <c r="T5857" i="6"/>
  <c r="U5857" i="6" s="1"/>
  <c r="T5856" i="6"/>
  <c r="U5856" i="6" s="1"/>
  <c r="T5855" i="6"/>
  <c r="U5855" i="6" s="1"/>
  <c r="T5854" i="6"/>
  <c r="U5854" i="6" s="1"/>
  <c r="T5853" i="6"/>
  <c r="U5853" i="6" s="1"/>
  <c r="T5852" i="6"/>
  <c r="U5852" i="6" s="1"/>
  <c r="T5851" i="6"/>
  <c r="U5851" i="6" s="1"/>
  <c r="T5850" i="6"/>
  <c r="U5850" i="6" s="1"/>
  <c r="U5849" i="6"/>
  <c r="T5849" i="6"/>
  <c r="T5848" i="6"/>
  <c r="U5848" i="6" s="1"/>
  <c r="T5847" i="6"/>
  <c r="U5847" i="6" s="1"/>
  <c r="T5846" i="6"/>
  <c r="U5846" i="6" s="1"/>
  <c r="T5845" i="6"/>
  <c r="U5845" i="6" s="1"/>
  <c r="T5844" i="6"/>
  <c r="U5844" i="6" s="1"/>
  <c r="T5843" i="6"/>
  <c r="U5843" i="6" s="1"/>
  <c r="T5842" i="6"/>
  <c r="U5842" i="6" s="1"/>
  <c r="T5841" i="6"/>
  <c r="U5841" i="6" s="1"/>
  <c r="T5840" i="6"/>
  <c r="U5840" i="6" s="1"/>
  <c r="T5839" i="6"/>
  <c r="U5839" i="6" s="1"/>
  <c r="T5838" i="6"/>
  <c r="U5838" i="6" s="1"/>
  <c r="T5837" i="6"/>
  <c r="U5837" i="6" s="1"/>
  <c r="T5836" i="6"/>
  <c r="U5836" i="6" s="1"/>
  <c r="T5835" i="6"/>
  <c r="U5835" i="6" s="1"/>
  <c r="T5834" i="6"/>
  <c r="U5834" i="6" s="1"/>
  <c r="T5833" i="6"/>
  <c r="U5833" i="6" s="1"/>
  <c r="T5832" i="6"/>
  <c r="U5832" i="6" s="1"/>
  <c r="T5831" i="6"/>
  <c r="U5831" i="6" s="1"/>
  <c r="T5830" i="6"/>
  <c r="U5830" i="6" s="1"/>
  <c r="T5829" i="6"/>
  <c r="U5829" i="6" s="1"/>
  <c r="T5828" i="6"/>
  <c r="U5828" i="6" s="1"/>
  <c r="T5827" i="6"/>
  <c r="U5827" i="6" s="1"/>
  <c r="T5826" i="6"/>
  <c r="U5826" i="6" s="1"/>
  <c r="T5825" i="6"/>
  <c r="U5825" i="6" s="1"/>
  <c r="T5824" i="6"/>
  <c r="U5824" i="6" s="1"/>
  <c r="T5823" i="6"/>
  <c r="U5823" i="6" s="1"/>
  <c r="T5822" i="6"/>
  <c r="U5822" i="6" s="1"/>
  <c r="T5821" i="6"/>
  <c r="U5821" i="6" s="1"/>
  <c r="T5820" i="6"/>
  <c r="U5820" i="6" s="1"/>
  <c r="T5819" i="6"/>
  <c r="U5819" i="6" s="1"/>
  <c r="T5818" i="6"/>
  <c r="U5818" i="6" s="1"/>
  <c r="T5817" i="6"/>
  <c r="U5817" i="6" s="1"/>
  <c r="T5816" i="6"/>
  <c r="U5816" i="6" s="1"/>
  <c r="T5815" i="6"/>
  <c r="U5815" i="6" s="1"/>
  <c r="T5814" i="6"/>
  <c r="U5814" i="6" s="1"/>
  <c r="T5813" i="6"/>
  <c r="U5813" i="6" s="1"/>
  <c r="T5812" i="6"/>
  <c r="U5812" i="6" s="1"/>
  <c r="T5811" i="6"/>
  <c r="U5811" i="6" s="1"/>
  <c r="T5810" i="6"/>
  <c r="U5810" i="6" s="1"/>
  <c r="T5809" i="6"/>
  <c r="U5809" i="6" s="1"/>
  <c r="T5808" i="6"/>
  <c r="U5808" i="6" s="1"/>
  <c r="T5807" i="6"/>
  <c r="U5807" i="6" s="1"/>
  <c r="T5806" i="6"/>
  <c r="U5806" i="6" s="1"/>
  <c r="T5805" i="6"/>
  <c r="U5805" i="6" s="1"/>
  <c r="T5804" i="6"/>
  <c r="U5804" i="6" s="1"/>
  <c r="T5803" i="6"/>
  <c r="U5803" i="6" s="1"/>
  <c r="T5802" i="6"/>
  <c r="U5802" i="6" s="1"/>
  <c r="T5801" i="6"/>
  <c r="U5801" i="6" s="1"/>
  <c r="T5800" i="6"/>
  <c r="U5800" i="6" s="1"/>
  <c r="T5799" i="6"/>
  <c r="U5799" i="6" s="1"/>
  <c r="T5798" i="6"/>
  <c r="U5798" i="6" s="1"/>
  <c r="T5797" i="6"/>
  <c r="U5797" i="6" s="1"/>
  <c r="T5796" i="6"/>
  <c r="U5796" i="6" s="1"/>
  <c r="T5795" i="6"/>
  <c r="U5795" i="6" s="1"/>
  <c r="T5794" i="6"/>
  <c r="U5794" i="6" s="1"/>
  <c r="T5793" i="6"/>
  <c r="U5793" i="6" s="1"/>
  <c r="T5792" i="6"/>
  <c r="U5792" i="6" s="1"/>
  <c r="T5791" i="6"/>
  <c r="U5791" i="6" s="1"/>
  <c r="T5790" i="6"/>
  <c r="U5790" i="6" s="1"/>
  <c r="T5789" i="6"/>
  <c r="U5789" i="6" s="1"/>
  <c r="T5788" i="6"/>
  <c r="U5788" i="6" s="1"/>
  <c r="T5787" i="6"/>
  <c r="U5787" i="6" s="1"/>
  <c r="T5786" i="6"/>
  <c r="U5786" i="6" s="1"/>
  <c r="T5785" i="6"/>
  <c r="U5785" i="6" s="1"/>
  <c r="T5784" i="6"/>
  <c r="U5784" i="6" s="1"/>
  <c r="T5783" i="6"/>
  <c r="U5783" i="6" s="1"/>
  <c r="T5782" i="6"/>
  <c r="U5782" i="6" s="1"/>
  <c r="T5781" i="6"/>
  <c r="U5781" i="6" s="1"/>
  <c r="T5780" i="6"/>
  <c r="U5780" i="6" s="1"/>
  <c r="T5779" i="6"/>
  <c r="U5779" i="6" s="1"/>
  <c r="T5778" i="6"/>
  <c r="U5778" i="6" s="1"/>
  <c r="T5777" i="6"/>
  <c r="U5777" i="6" s="1"/>
  <c r="T5776" i="6"/>
  <c r="U5776" i="6" s="1"/>
  <c r="T5775" i="6"/>
  <c r="U5775" i="6" s="1"/>
  <c r="T5774" i="6"/>
  <c r="U5774" i="6" s="1"/>
  <c r="T5773" i="6"/>
  <c r="U5773" i="6" s="1"/>
  <c r="T5772" i="6"/>
  <c r="U5772" i="6" s="1"/>
  <c r="T5771" i="6"/>
  <c r="U5771" i="6" s="1"/>
  <c r="T5770" i="6"/>
  <c r="U5770" i="6" s="1"/>
  <c r="T5769" i="6"/>
  <c r="U5769" i="6" s="1"/>
  <c r="T5768" i="6"/>
  <c r="U5768" i="6" s="1"/>
  <c r="T5767" i="6"/>
  <c r="U5767" i="6" s="1"/>
  <c r="T5766" i="6"/>
  <c r="U5766" i="6" s="1"/>
  <c r="T5765" i="6"/>
  <c r="U5765" i="6" s="1"/>
  <c r="T5764" i="6"/>
  <c r="U5764" i="6" s="1"/>
  <c r="T5763" i="6"/>
  <c r="U5763" i="6" s="1"/>
  <c r="T5762" i="6"/>
  <c r="U5762" i="6" s="1"/>
  <c r="T5761" i="6"/>
  <c r="U5761" i="6" s="1"/>
  <c r="T5760" i="6"/>
  <c r="U5760" i="6" s="1"/>
  <c r="T5759" i="6"/>
  <c r="U5759" i="6" s="1"/>
  <c r="T5758" i="6"/>
  <c r="U5758" i="6" s="1"/>
  <c r="T5757" i="6"/>
  <c r="U5757" i="6" s="1"/>
  <c r="T5756" i="6"/>
  <c r="U5756" i="6" s="1"/>
  <c r="T5755" i="6"/>
  <c r="U5755" i="6" s="1"/>
  <c r="T5754" i="6"/>
  <c r="U5754" i="6" s="1"/>
  <c r="T5753" i="6"/>
  <c r="U5753" i="6" s="1"/>
  <c r="T5752" i="6"/>
  <c r="U5752" i="6" s="1"/>
  <c r="T5751" i="6"/>
  <c r="U5751" i="6" s="1"/>
  <c r="T5750" i="6"/>
  <c r="U5750" i="6" s="1"/>
  <c r="T5749" i="6"/>
  <c r="U5749" i="6" s="1"/>
  <c r="T5748" i="6"/>
  <c r="U5748" i="6" s="1"/>
  <c r="T5747" i="6"/>
  <c r="U5747" i="6" s="1"/>
  <c r="T5746" i="6"/>
  <c r="U5746" i="6" s="1"/>
  <c r="T5745" i="6"/>
  <c r="U5745" i="6" s="1"/>
  <c r="T5744" i="6"/>
  <c r="U5744" i="6" s="1"/>
  <c r="T5743" i="6"/>
  <c r="U5743" i="6" s="1"/>
  <c r="T5742" i="6"/>
  <c r="U5742" i="6" s="1"/>
  <c r="T5741" i="6"/>
  <c r="U5741" i="6" s="1"/>
  <c r="T5740" i="6"/>
  <c r="U5740" i="6" s="1"/>
  <c r="T5739" i="6"/>
  <c r="U5739" i="6" s="1"/>
  <c r="T5738" i="6"/>
  <c r="U5738" i="6" s="1"/>
  <c r="T5737" i="6"/>
  <c r="U5737" i="6" s="1"/>
  <c r="T5736" i="6"/>
  <c r="U5736" i="6" s="1"/>
  <c r="T5735" i="6"/>
  <c r="U5735" i="6" s="1"/>
  <c r="T5734" i="6"/>
  <c r="U5734" i="6" s="1"/>
  <c r="T5733" i="6"/>
  <c r="U5733" i="6" s="1"/>
  <c r="T5732" i="6"/>
  <c r="U5732" i="6" s="1"/>
  <c r="T5731" i="6"/>
  <c r="U5731" i="6" s="1"/>
  <c r="T5730" i="6"/>
  <c r="U5730" i="6" s="1"/>
  <c r="T5729" i="6"/>
  <c r="U5729" i="6" s="1"/>
  <c r="T5728" i="6"/>
  <c r="U5728" i="6" s="1"/>
  <c r="U5727" i="6"/>
  <c r="T5727" i="6"/>
  <c r="T5726" i="6"/>
  <c r="U5726" i="6" s="1"/>
  <c r="T5725" i="6"/>
  <c r="U5725" i="6" s="1"/>
  <c r="T5724" i="6"/>
  <c r="U5724" i="6" s="1"/>
  <c r="T5723" i="6"/>
  <c r="U5723" i="6" s="1"/>
  <c r="T5722" i="6"/>
  <c r="U5722" i="6" s="1"/>
  <c r="T5721" i="6"/>
  <c r="U5721" i="6" s="1"/>
  <c r="T5720" i="6"/>
  <c r="U5720" i="6" s="1"/>
  <c r="T5719" i="6"/>
  <c r="U5719" i="6" s="1"/>
  <c r="T5718" i="6"/>
  <c r="U5718" i="6" s="1"/>
  <c r="T5717" i="6"/>
  <c r="U5717" i="6" s="1"/>
  <c r="T5716" i="6"/>
  <c r="U5716" i="6" s="1"/>
  <c r="T5715" i="6"/>
  <c r="U5715" i="6" s="1"/>
  <c r="T5714" i="6"/>
  <c r="U5714" i="6" s="1"/>
  <c r="T5713" i="6"/>
  <c r="U5713" i="6" s="1"/>
  <c r="T5712" i="6"/>
  <c r="U5712" i="6" s="1"/>
  <c r="T5711" i="6"/>
  <c r="U5711" i="6" s="1"/>
  <c r="T5710" i="6"/>
  <c r="U5710" i="6" s="1"/>
  <c r="T5709" i="6"/>
  <c r="U5709" i="6" s="1"/>
  <c r="T5708" i="6"/>
  <c r="U5708" i="6" s="1"/>
  <c r="T5707" i="6"/>
  <c r="U5707" i="6" s="1"/>
  <c r="T5706" i="6"/>
  <c r="U5706" i="6" s="1"/>
  <c r="T5705" i="6"/>
  <c r="U5705" i="6" s="1"/>
  <c r="T5704" i="6"/>
  <c r="U5704" i="6" s="1"/>
  <c r="T5703" i="6"/>
  <c r="U5703" i="6" s="1"/>
  <c r="T5702" i="6"/>
  <c r="U5702" i="6" s="1"/>
  <c r="T5701" i="6"/>
  <c r="U5701" i="6" s="1"/>
  <c r="T5700" i="6"/>
  <c r="U5700" i="6" s="1"/>
  <c r="T5699" i="6"/>
  <c r="U5699" i="6" s="1"/>
  <c r="T5698" i="6"/>
  <c r="U5698" i="6" s="1"/>
  <c r="T5697" i="6"/>
  <c r="U5697" i="6" s="1"/>
  <c r="T5696" i="6"/>
  <c r="U5696" i="6" s="1"/>
  <c r="U5695" i="6"/>
  <c r="T5695" i="6"/>
  <c r="T5694" i="6"/>
  <c r="U5694" i="6" s="1"/>
  <c r="T5693" i="6"/>
  <c r="U5693" i="6" s="1"/>
  <c r="T5692" i="6"/>
  <c r="U5692" i="6" s="1"/>
  <c r="T5691" i="6"/>
  <c r="U5691" i="6" s="1"/>
  <c r="T5690" i="6"/>
  <c r="U5690" i="6" s="1"/>
  <c r="T5689" i="6"/>
  <c r="U5689" i="6" s="1"/>
  <c r="T5688" i="6"/>
  <c r="U5688" i="6" s="1"/>
  <c r="T5687" i="6"/>
  <c r="U5687" i="6" s="1"/>
  <c r="T5686" i="6"/>
  <c r="U5686" i="6" s="1"/>
  <c r="T5685" i="6"/>
  <c r="U5685" i="6" s="1"/>
  <c r="T5684" i="6"/>
  <c r="U5684" i="6" s="1"/>
  <c r="T5683" i="6"/>
  <c r="U5683" i="6" s="1"/>
  <c r="T5682" i="6"/>
  <c r="U5682" i="6" s="1"/>
  <c r="T5681" i="6"/>
  <c r="U5681" i="6" s="1"/>
  <c r="T5680" i="6"/>
  <c r="U5680" i="6" s="1"/>
  <c r="T5679" i="6"/>
  <c r="U5679" i="6" s="1"/>
  <c r="T5678" i="6"/>
  <c r="U5678" i="6" s="1"/>
  <c r="T5677" i="6"/>
  <c r="U5677" i="6" s="1"/>
  <c r="T5676" i="6"/>
  <c r="U5676" i="6" s="1"/>
  <c r="T5675" i="6"/>
  <c r="U5675" i="6" s="1"/>
  <c r="T5674" i="6"/>
  <c r="U5674" i="6" s="1"/>
  <c r="T5673" i="6"/>
  <c r="U5673" i="6" s="1"/>
  <c r="T5672" i="6"/>
  <c r="U5672" i="6" s="1"/>
  <c r="T5671" i="6"/>
  <c r="U5671" i="6" s="1"/>
  <c r="T5670" i="6"/>
  <c r="U5670" i="6" s="1"/>
  <c r="T5669" i="6"/>
  <c r="U5669" i="6" s="1"/>
  <c r="T5668" i="6"/>
  <c r="U5668" i="6" s="1"/>
  <c r="T5667" i="6"/>
  <c r="U5667" i="6" s="1"/>
  <c r="T5666" i="6"/>
  <c r="U5666" i="6" s="1"/>
  <c r="T5665" i="6"/>
  <c r="U5665" i="6" s="1"/>
  <c r="T5664" i="6"/>
  <c r="U5664" i="6" s="1"/>
  <c r="U5663" i="6"/>
  <c r="T5663" i="6"/>
  <c r="T5662" i="6"/>
  <c r="U5662" i="6" s="1"/>
  <c r="T5661" i="6"/>
  <c r="U5661" i="6" s="1"/>
  <c r="T5660" i="6"/>
  <c r="U5660" i="6" s="1"/>
  <c r="T5659" i="6"/>
  <c r="U5659" i="6" s="1"/>
  <c r="T5658" i="6"/>
  <c r="U5658" i="6" s="1"/>
  <c r="T5657" i="6"/>
  <c r="U5657" i="6" s="1"/>
  <c r="T5656" i="6"/>
  <c r="U5656" i="6" s="1"/>
  <c r="T5655" i="6"/>
  <c r="U5655" i="6" s="1"/>
  <c r="T5654" i="6"/>
  <c r="U5654" i="6" s="1"/>
  <c r="T5653" i="6"/>
  <c r="U5653" i="6" s="1"/>
  <c r="T5652" i="6"/>
  <c r="U5652" i="6" s="1"/>
  <c r="T5651" i="6"/>
  <c r="U5651" i="6" s="1"/>
  <c r="T5650" i="6"/>
  <c r="U5650" i="6" s="1"/>
  <c r="T5649" i="6"/>
  <c r="U5649" i="6" s="1"/>
  <c r="T5648" i="6"/>
  <c r="U5648" i="6" s="1"/>
  <c r="T5647" i="6"/>
  <c r="U5647" i="6" s="1"/>
  <c r="T5646" i="6"/>
  <c r="U5646" i="6" s="1"/>
  <c r="T5645" i="6"/>
  <c r="U5645" i="6" s="1"/>
  <c r="T5644" i="6"/>
  <c r="U5644" i="6" s="1"/>
  <c r="T5643" i="6"/>
  <c r="U5643" i="6" s="1"/>
  <c r="T5642" i="6"/>
  <c r="U5642" i="6" s="1"/>
  <c r="T5641" i="6"/>
  <c r="U5641" i="6" s="1"/>
  <c r="T5640" i="6"/>
  <c r="U5640" i="6" s="1"/>
  <c r="T5639" i="6"/>
  <c r="U5639" i="6" s="1"/>
  <c r="T5638" i="6"/>
  <c r="U5638" i="6" s="1"/>
  <c r="T5637" i="6"/>
  <c r="U5637" i="6" s="1"/>
  <c r="T5636" i="6"/>
  <c r="U5636" i="6" s="1"/>
  <c r="T5635" i="6"/>
  <c r="U5635" i="6" s="1"/>
  <c r="T5634" i="6"/>
  <c r="U5634" i="6" s="1"/>
  <c r="T5633" i="6"/>
  <c r="U5633" i="6" s="1"/>
  <c r="T5632" i="6"/>
  <c r="U5632" i="6" s="1"/>
  <c r="U5631" i="6"/>
  <c r="T5631" i="6"/>
  <c r="T5630" i="6"/>
  <c r="U5630" i="6" s="1"/>
  <c r="T5629" i="6"/>
  <c r="U5629" i="6" s="1"/>
  <c r="T5628" i="6"/>
  <c r="U5628" i="6" s="1"/>
  <c r="T5627" i="6"/>
  <c r="U5627" i="6" s="1"/>
  <c r="T5626" i="6"/>
  <c r="U5626" i="6" s="1"/>
  <c r="T5625" i="6"/>
  <c r="U5625" i="6" s="1"/>
  <c r="T5624" i="6"/>
  <c r="U5624" i="6" s="1"/>
  <c r="T5623" i="6"/>
  <c r="U5623" i="6" s="1"/>
  <c r="T5622" i="6"/>
  <c r="U5622" i="6" s="1"/>
  <c r="T5621" i="6"/>
  <c r="U5621" i="6" s="1"/>
  <c r="T5620" i="6"/>
  <c r="U5620" i="6" s="1"/>
  <c r="T5619" i="6"/>
  <c r="U5619" i="6" s="1"/>
  <c r="T5618" i="6"/>
  <c r="U5618" i="6" s="1"/>
  <c r="T5617" i="6"/>
  <c r="U5617" i="6" s="1"/>
  <c r="T5616" i="6"/>
  <c r="U5616" i="6" s="1"/>
  <c r="T5615" i="6"/>
  <c r="U5615" i="6" s="1"/>
  <c r="T5614" i="6"/>
  <c r="U5614" i="6" s="1"/>
  <c r="T5613" i="6"/>
  <c r="U5613" i="6" s="1"/>
  <c r="T5612" i="6"/>
  <c r="U5612" i="6" s="1"/>
  <c r="T5611" i="6"/>
  <c r="U5611" i="6" s="1"/>
  <c r="T5610" i="6"/>
  <c r="U5610" i="6" s="1"/>
  <c r="T5609" i="6"/>
  <c r="U5609" i="6" s="1"/>
  <c r="T5608" i="6"/>
  <c r="U5608" i="6" s="1"/>
  <c r="T5607" i="6"/>
  <c r="U5607" i="6" s="1"/>
  <c r="T5606" i="6"/>
  <c r="U5606" i="6" s="1"/>
  <c r="T5605" i="6"/>
  <c r="U5605" i="6" s="1"/>
  <c r="T5604" i="6"/>
  <c r="U5604" i="6" s="1"/>
  <c r="T5603" i="6"/>
  <c r="U5603" i="6" s="1"/>
  <c r="T5602" i="6"/>
  <c r="U5602" i="6" s="1"/>
  <c r="T5601" i="6"/>
  <c r="U5601" i="6" s="1"/>
  <c r="T5600" i="6"/>
  <c r="U5600" i="6" s="1"/>
  <c r="U5599" i="6"/>
  <c r="T5599" i="6"/>
  <c r="T5598" i="6"/>
  <c r="U5598" i="6" s="1"/>
  <c r="T5597" i="6"/>
  <c r="U5597" i="6" s="1"/>
  <c r="T5596" i="6"/>
  <c r="U5596" i="6" s="1"/>
  <c r="T5595" i="6"/>
  <c r="U5595" i="6" s="1"/>
  <c r="T5594" i="6"/>
  <c r="U5594" i="6" s="1"/>
  <c r="T5593" i="6"/>
  <c r="U5593" i="6" s="1"/>
  <c r="T5592" i="6"/>
  <c r="U5592" i="6" s="1"/>
  <c r="T5591" i="6"/>
  <c r="U5591" i="6" s="1"/>
  <c r="T5590" i="6"/>
  <c r="U5590" i="6" s="1"/>
  <c r="T5589" i="6"/>
  <c r="U5589" i="6" s="1"/>
  <c r="T5588" i="6"/>
  <c r="U5588" i="6" s="1"/>
  <c r="T5587" i="6"/>
  <c r="U5587" i="6" s="1"/>
  <c r="T5586" i="6"/>
  <c r="U5586" i="6" s="1"/>
  <c r="T5585" i="6"/>
  <c r="U5585" i="6" s="1"/>
  <c r="T5584" i="6"/>
  <c r="U5584" i="6" s="1"/>
  <c r="T5583" i="6"/>
  <c r="U5583" i="6" s="1"/>
  <c r="T5582" i="6"/>
  <c r="U5582" i="6" s="1"/>
  <c r="T5581" i="6"/>
  <c r="U5581" i="6" s="1"/>
  <c r="T5580" i="6"/>
  <c r="U5580" i="6" s="1"/>
  <c r="T5579" i="6"/>
  <c r="U5579" i="6" s="1"/>
  <c r="T5578" i="6"/>
  <c r="U5578" i="6" s="1"/>
  <c r="T5577" i="6"/>
  <c r="U5577" i="6" s="1"/>
  <c r="T5576" i="6"/>
  <c r="U5576" i="6" s="1"/>
  <c r="T5575" i="6"/>
  <c r="U5575" i="6" s="1"/>
  <c r="T5574" i="6"/>
  <c r="U5574" i="6" s="1"/>
  <c r="T5573" i="6"/>
  <c r="U5573" i="6" s="1"/>
  <c r="T5572" i="6"/>
  <c r="U5572" i="6" s="1"/>
  <c r="T5571" i="6"/>
  <c r="U5571" i="6" s="1"/>
  <c r="T5570" i="6"/>
  <c r="U5570" i="6" s="1"/>
  <c r="T5569" i="6"/>
  <c r="U5569" i="6" s="1"/>
  <c r="T5568" i="6"/>
  <c r="U5568" i="6" s="1"/>
  <c r="U5567" i="6"/>
  <c r="T5567" i="6"/>
  <c r="T5566" i="6"/>
  <c r="U5566" i="6" s="1"/>
  <c r="T5565" i="6"/>
  <c r="U5565" i="6" s="1"/>
  <c r="T5564" i="6"/>
  <c r="U5564" i="6" s="1"/>
  <c r="T5563" i="6"/>
  <c r="U5563" i="6" s="1"/>
  <c r="T5562" i="6"/>
  <c r="U5562" i="6" s="1"/>
  <c r="T5561" i="6"/>
  <c r="U5561" i="6" s="1"/>
  <c r="T5560" i="6"/>
  <c r="U5560" i="6" s="1"/>
  <c r="T5559" i="6"/>
  <c r="U5559" i="6" s="1"/>
  <c r="T5558" i="6"/>
  <c r="U5558" i="6" s="1"/>
  <c r="T5557" i="6"/>
  <c r="U5557" i="6" s="1"/>
  <c r="T5556" i="6"/>
  <c r="U5556" i="6" s="1"/>
  <c r="T5555" i="6"/>
  <c r="U5555" i="6" s="1"/>
  <c r="T5554" i="6"/>
  <c r="U5554" i="6" s="1"/>
  <c r="T5553" i="6"/>
  <c r="U5553" i="6" s="1"/>
  <c r="T5552" i="6"/>
  <c r="U5552" i="6" s="1"/>
  <c r="U5551" i="6"/>
  <c r="T5551" i="6"/>
  <c r="T5550" i="6"/>
  <c r="U5550" i="6" s="1"/>
  <c r="T5549" i="6"/>
  <c r="U5549" i="6" s="1"/>
  <c r="T5548" i="6"/>
  <c r="U5548" i="6" s="1"/>
  <c r="T5547" i="6"/>
  <c r="U5547" i="6" s="1"/>
  <c r="T5546" i="6"/>
  <c r="U5546" i="6" s="1"/>
  <c r="T5545" i="6"/>
  <c r="U5545" i="6" s="1"/>
  <c r="T5544" i="6"/>
  <c r="U5544" i="6" s="1"/>
  <c r="T5543" i="6"/>
  <c r="U5543" i="6" s="1"/>
  <c r="T5542" i="6"/>
  <c r="U5542" i="6" s="1"/>
  <c r="T5541" i="6"/>
  <c r="U5541" i="6" s="1"/>
  <c r="T5540" i="6"/>
  <c r="U5540" i="6" s="1"/>
  <c r="T5539" i="6"/>
  <c r="U5539" i="6" s="1"/>
  <c r="T5538" i="6"/>
  <c r="U5538" i="6" s="1"/>
  <c r="T5537" i="6"/>
  <c r="U5537" i="6" s="1"/>
  <c r="T5536" i="6"/>
  <c r="U5536" i="6" s="1"/>
  <c r="U5535" i="6"/>
  <c r="T5535" i="6"/>
  <c r="T5534" i="6"/>
  <c r="U5534" i="6" s="1"/>
  <c r="T5533" i="6"/>
  <c r="U5533" i="6" s="1"/>
  <c r="T5532" i="6"/>
  <c r="U5532" i="6" s="1"/>
  <c r="T5531" i="6"/>
  <c r="U5531" i="6" s="1"/>
  <c r="T5530" i="6"/>
  <c r="U5530" i="6" s="1"/>
  <c r="T5529" i="6"/>
  <c r="U5529" i="6" s="1"/>
  <c r="T5528" i="6"/>
  <c r="U5528" i="6" s="1"/>
  <c r="T5527" i="6"/>
  <c r="U5527" i="6" s="1"/>
  <c r="T5526" i="6"/>
  <c r="U5526" i="6" s="1"/>
  <c r="T5525" i="6"/>
  <c r="U5525" i="6" s="1"/>
  <c r="T5524" i="6"/>
  <c r="U5524" i="6" s="1"/>
  <c r="T5523" i="6"/>
  <c r="U5523" i="6" s="1"/>
  <c r="T5522" i="6"/>
  <c r="U5522" i="6" s="1"/>
  <c r="T5521" i="6"/>
  <c r="U5521" i="6" s="1"/>
  <c r="T5520" i="6"/>
  <c r="U5520" i="6" s="1"/>
  <c r="T5519" i="6"/>
  <c r="U5519" i="6" s="1"/>
  <c r="T5518" i="6"/>
  <c r="U5518" i="6" s="1"/>
  <c r="T5517" i="6"/>
  <c r="U5517" i="6" s="1"/>
  <c r="T5516" i="6"/>
  <c r="U5516" i="6" s="1"/>
  <c r="T5515" i="6"/>
  <c r="U5515" i="6" s="1"/>
  <c r="T5514" i="6"/>
  <c r="U5514" i="6" s="1"/>
  <c r="T5513" i="6"/>
  <c r="U5513" i="6" s="1"/>
  <c r="T5512" i="6"/>
  <c r="U5512" i="6" s="1"/>
  <c r="T5511" i="6"/>
  <c r="U5511" i="6" s="1"/>
  <c r="T5510" i="6"/>
  <c r="U5510" i="6" s="1"/>
  <c r="T5509" i="6"/>
  <c r="U5509" i="6" s="1"/>
  <c r="T5508" i="6"/>
  <c r="U5508" i="6" s="1"/>
  <c r="T5507" i="6"/>
  <c r="U5507" i="6" s="1"/>
  <c r="T5506" i="6"/>
  <c r="U5506" i="6" s="1"/>
  <c r="T5505" i="6"/>
  <c r="U5505" i="6" s="1"/>
  <c r="T5504" i="6"/>
  <c r="U5504" i="6" s="1"/>
  <c r="U5503" i="6"/>
  <c r="T5503" i="6"/>
  <c r="T5502" i="6"/>
  <c r="U5502" i="6" s="1"/>
  <c r="T5501" i="6"/>
  <c r="U5501" i="6" s="1"/>
  <c r="T5500" i="6"/>
  <c r="U5500" i="6" s="1"/>
  <c r="T5499" i="6"/>
  <c r="U5499" i="6" s="1"/>
  <c r="T5498" i="6"/>
  <c r="U5498" i="6" s="1"/>
  <c r="T5497" i="6"/>
  <c r="U5497" i="6" s="1"/>
  <c r="T5496" i="6"/>
  <c r="U5496" i="6" s="1"/>
  <c r="T5495" i="6"/>
  <c r="U5495" i="6" s="1"/>
  <c r="T5494" i="6"/>
  <c r="U5494" i="6" s="1"/>
  <c r="T5493" i="6"/>
  <c r="U5493" i="6" s="1"/>
  <c r="T5492" i="6"/>
  <c r="U5492" i="6" s="1"/>
  <c r="T5491" i="6"/>
  <c r="U5491" i="6" s="1"/>
  <c r="T5490" i="6"/>
  <c r="U5490" i="6" s="1"/>
  <c r="T5489" i="6"/>
  <c r="U5489" i="6" s="1"/>
  <c r="T5488" i="6"/>
  <c r="U5488" i="6" s="1"/>
  <c r="T5487" i="6"/>
  <c r="U5487" i="6" s="1"/>
  <c r="T5486" i="6"/>
  <c r="U5486" i="6" s="1"/>
  <c r="T5485" i="6"/>
  <c r="U5485" i="6" s="1"/>
  <c r="T5484" i="6"/>
  <c r="U5484" i="6" s="1"/>
  <c r="T5483" i="6"/>
  <c r="U5483" i="6" s="1"/>
  <c r="T5482" i="6"/>
  <c r="U5482" i="6" s="1"/>
  <c r="T5481" i="6"/>
  <c r="U5481" i="6" s="1"/>
  <c r="T5480" i="6"/>
  <c r="U5480" i="6" s="1"/>
  <c r="T5479" i="6"/>
  <c r="U5479" i="6" s="1"/>
  <c r="T5478" i="6"/>
  <c r="U5478" i="6" s="1"/>
  <c r="T5477" i="6"/>
  <c r="U5477" i="6" s="1"/>
  <c r="T5476" i="6"/>
  <c r="U5476" i="6" s="1"/>
  <c r="T5475" i="6"/>
  <c r="U5475" i="6" s="1"/>
  <c r="T5474" i="6"/>
  <c r="U5474" i="6" s="1"/>
  <c r="T5473" i="6"/>
  <c r="U5473" i="6" s="1"/>
  <c r="T5472" i="6"/>
  <c r="U5472" i="6" s="1"/>
  <c r="U5471" i="6"/>
  <c r="T5471" i="6"/>
  <c r="T5470" i="6"/>
  <c r="U5470" i="6" s="1"/>
  <c r="T5469" i="6"/>
  <c r="U5469" i="6" s="1"/>
  <c r="T5468" i="6"/>
  <c r="U5468" i="6" s="1"/>
  <c r="T5467" i="6"/>
  <c r="U5467" i="6" s="1"/>
  <c r="T5466" i="6"/>
  <c r="U5466" i="6" s="1"/>
  <c r="T5465" i="6"/>
  <c r="U5465" i="6" s="1"/>
  <c r="T5464" i="6"/>
  <c r="U5464" i="6" s="1"/>
  <c r="T5463" i="6"/>
  <c r="U5463" i="6" s="1"/>
  <c r="T5462" i="6"/>
  <c r="U5462" i="6" s="1"/>
  <c r="T5461" i="6"/>
  <c r="U5461" i="6" s="1"/>
  <c r="T5460" i="6"/>
  <c r="U5460" i="6" s="1"/>
  <c r="T5459" i="6"/>
  <c r="U5459" i="6" s="1"/>
  <c r="T5458" i="6"/>
  <c r="U5458" i="6" s="1"/>
  <c r="T5457" i="6"/>
  <c r="U5457" i="6" s="1"/>
  <c r="T5456" i="6"/>
  <c r="U5456" i="6" s="1"/>
  <c r="T5455" i="6"/>
  <c r="U5455" i="6" s="1"/>
  <c r="T5454" i="6"/>
  <c r="U5454" i="6" s="1"/>
  <c r="T5453" i="6"/>
  <c r="U5453" i="6" s="1"/>
  <c r="T5452" i="6"/>
  <c r="U5452" i="6" s="1"/>
  <c r="T5451" i="6"/>
  <c r="U5451" i="6" s="1"/>
  <c r="T5450" i="6"/>
  <c r="U5450" i="6" s="1"/>
  <c r="T5449" i="6"/>
  <c r="U5449" i="6" s="1"/>
  <c r="T5448" i="6"/>
  <c r="U5448" i="6" s="1"/>
  <c r="T5447" i="6"/>
  <c r="U5447" i="6" s="1"/>
  <c r="T5446" i="6"/>
  <c r="U5446" i="6" s="1"/>
  <c r="T5445" i="6"/>
  <c r="U5445" i="6" s="1"/>
  <c r="T5444" i="6"/>
  <c r="U5444" i="6" s="1"/>
  <c r="T5443" i="6"/>
  <c r="U5443" i="6" s="1"/>
  <c r="T5442" i="6"/>
  <c r="U5442" i="6" s="1"/>
  <c r="T5441" i="6"/>
  <c r="U5441" i="6" s="1"/>
  <c r="T5440" i="6"/>
  <c r="U5440" i="6" s="1"/>
  <c r="T5439" i="6"/>
  <c r="U5439" i="6" s="1"/>
  <c r="T5438" i="6"/>
  <c r="U5438" i="6" s="1"/>
  <c r="T5437" i="6"/>
  <c r="U5437" i="6" s="1"/>
  <c r="T5436" i="6"/>
  <c r="U5436" i="6" s="1"/>
  <c r="T5435" i="6"/>
  <c r="U5435" i="6" s="1"/>
  <c r="T5434" i="6"/>
  <c r="U5434" i="6" s="1"/>
  <c r="T5433" i="6"/>
  <c r="U5433" i="6" s="1"/>
  <c r="T5432" i="6"/>
  <c r="U5432" i="6" s="1"/>
  <c r="T5431" i="6"/>
  <c r="U5431" i="6" s="1"/>
  <c r="T5430" i="6"/>
  <c r="U5430" i="6" s="1"/>
  <c r="T5429" i="6"/>
  <c r="U5429" i="6" s="1"/>
  <c r="T5428" i="6"/>
  <c r="U5428" i="6" s="1"/>
  <c r="T5427" i="6"/>
  <c r="U5427" i="6" s="1"/>
  <c r="T5426" i="6"/>
  <c r="U5426" i="6" s="1"/>
  <c r="T5425" i="6"/>
  <c r="U5425" i="6" s="1"/>
  <c r="T5424" i="6"/>
  <c r="U5424" i="6" s="1"/>
  <c r="T5423" i="6"/>
  <c r="U5423" i="6" s="1"/>
  <c r="U5422" i="6"/>
  <c r="T5422" i="6"/>
  <c r="T5421" i="6"/>
  <c r="U5421" i="6" s="1"/>
  <c r="T5420" i="6"/>
  <c r="U5420" i="6" s="1"/>
  <c r="T5419" i="6"/>
  <c r="U5419" i="6" s="1"/>
  <c r="T5418" i="6"/>
  <c r="U5418" i="6" s="1"/>
  <c r="T5417" i="6"/>
  <c r="U5417" i="6" s="1"/>
  <c r="T5416" i="6"/>
  <c r="U5416" i="6" s="1"/>
  <c r="T5415" i="6"/>
  <c r="U5415" i="6" s="1"/>
  <c r="T5414" i="6"/>
  <c r="U5414" i="6" s="1"/>
  <c r="T5413" i="6"/>
  <c r="U5413" i="6" s="1"/>
  <c r="T5412" i="6"/>
  <c r="U5412" i="6" s="1"/>
  <c r="T5411" i="6"/>
  <c r="U5411" i="6" s="1"/>
  <c r="T5410" i="6"/>
  <c r="U5410" i="6" s="1"/>
  <c r="T5409" i="6"/>
  <c r="U5409" i="6" s="1"/>
  <c r="T5408" i="6"/>
  <c r="U5408" i="6" s="1"/>
  <c r="T5407" i="6"/>
  <c r="U5407" i="6" s="1"/>
  <c r="U5406" i="6"/>
  <c r="T5406" i="6"/>
  <c r="T5405" i="6"/>
  <c r="U5405" i="6" s="1"/>
  <c r="T5404" i="6"/>
  <c r="U5404" i="6" s="1"/>
  <c r="T5403" i="6"/>
  <c r="U5403" i="6" s="1"/>
  <c r="T5402" i="6"/>
  <c r="U5402" i="6" s="1"/>
  <c r="T5401" i="6"/>
  <c r="U5401" i="6" s="1"/>
  <c r="T5400" i="6"/>
  <c r="U5400" i="6" s="1"/>
  <c r="T5399" i="6"/>
  <c r="U5399" i="6" s="1"/>
  <c r="T5398" i="6"/>
  <c r="U5398" i="6" s="1"/>
  <c r="T5397" i="6"/>
  <c r="U5397" i="6" s="1"/>
  <c r="T5396" i="6"/>
  <c r="U5396" i="6" s="1"/>
  <c r="T5395" i="6"/>
  <c r="U5395" i="6" s="1"/>
  <c r="T5394" i="6"/>
  <c r="U5394" i="6" s="1"/>
  <c r="T5393" i="6"/>
  <c r="U5393" i="6" s="1"/>
  <c r="T5392" i="6"/>
  <c r="U5392" i="6" s="1"/>
  <c r="T5391" i="6"/>
  <c r="U5391" i="6" s="1"/>
  <c r="U5390" i="6"/>
  <c r="T5390" i="6"/>
  <c r="T5389" i="6"/>
  <c r="U5389" i="6" s="1"/>
  <c r="T5388" i="6"/>
  <c r="U5388" i="6" s="1"/>
  <c r="T5387" i="6"/>
  <c r="U5387" i="6" s="1"/>
  <c r="T5386" i="6"/>
  <c r="U5386" i="6" s="1"/>
  <c r="T5385" i="6"/>
  <c r="U5385" i="6" s="1"/>
  <c r="T5384" i="6"/>
  <c r="U5384" i="6" s="1"/>
  <c r="T5383" i="6"/>
  <c r="U5383" i="6" s="1"/>
  <c r="T5382" i="6"/>
  <c r="U5382" i="6" s="1"/>
  <c r="T5381" i="6"/>
  <c r="U5381" i="6" s="1"/>
  <c r="T5380" i="6"/>
  <c r="U5380" i="6" s="1"/>
  <c r="T5379" i="6"/>
  <c r="U5379" i="6" s="1"/>
  <c r="T5378" i="6"/>
  <c r="U5378" i="6" s="1"/>
  <c r="T5377" i="6"/>
  <c r="U5377" i="6" s="1"/>
  <c r="T5376" i="6"/>
  <c r="U5376" i="6" s="1"/>
  <c r="T5375" i="6"/>
  <c r="U5375" i="6" s="1"/>
  <c r="U5374" i="6"/>
  <c r="T5374" i="6"/>
  <c r="T5373" i="6"/>
  <c r="U5373" i="6" s="1"/>
  <c r="T5372" i="6"/>
  <c r="U5372" i="6" s="1"/>
  <c r="T5371" i="6"/>
  <c r="U5371" i="6" s="1"/>
  <c r="T5370" i="6"/>
  <c r="U5370" i="6" s="1"/>
  <c r="T5369" i="6"/>
  <c r="U5369" i="6" s="1"/>
  <c r="T5368" i="6"/>
  <c r="U5368" i="6" s="1"/>
  <c r="T5367" i="6"/>
  <c r="U5367" i="6" s="1"/>
  <c r="T5366" i="6"/>
  <c r="U5366" i="6" s="1"/>
  <c r="T5365" i="6"/>
  <c r="U5365" i="6" s="1"/>
  <c r="T5364" i="6"/>
  <c r="U5364" i="6" s="1"/>
  <c r="T5363" i="6"/>
  <c r="U5363" i="6" s="1"/>
  <c r="T5362" i="6"/>
  <c r="U5362" i="6" s="1"/>
  <c r="T5361" i="6"/>
  <c r="U5361" i="6" s="1"/>
  <c r="T5360" i="6"/>
  <c r="U5360" i="6" s="1"/>
  <c r="T5359" i="6"/>
  <c r="U5359" i="6" s="1"/>
  <c r="U5358" i="6"/>
  <c r="T5358" i="6"/>
  <c r="T5357" i="6"/>
  <c r="U5357" i="6" s="1"/>
  <c r="T5356" i="6"/>
  <c r="U5356" i="6" s="1"/>
  <c r="T5355" i="6"/>
  <c r="U5355" i="6" s="1"/>
  <c r="T5354" i="6"/>
  <c r="U5354" i="6" s="1"/>
  <c r="T5353" i="6"/>
  <c r="U5353" i="6" s="1"/>
  <c r="T5352" i="6"/>
  <c r="U5352" i="6" s="1"/>
  <c r="T5351" i="6"/>
  <c r="U5351" i="6" s="1"/>
  <c r="T5350" i="6"/>
  <c r="U5350" i="6" s="1"/>
  <c r="T5349" i="6"/>
  <c r="U5349" i="6" s="1"/>
  <c r="T5348" i="6"/>
  <c r="U5348" i="6" s="1"/>
  <c r="T5347" i="6"/>
  <c r="U5347" i="6" s="1"/>
  <c r="T5346" i="6"/>
  <c r="U5346" i="6" s="1"/>
  <c r="T5345" i="6"/>
  <c r="U5345" i="6" s="1"/>
  <c r="T5344" i="6"/>
  <c r="U5344" i="6" s="1"/>
  <c r="T5343" i="6"/>
  <c r="U5343" i="6" s="1"/>
  <c r="U5342" i="6"/>
  <c r="T5342" i="6"/>
  <c r="T5341" i="6"/>
  <c r="U5341" i="6" s="1"/>
  <c r="T5340" i="6"/>
  <c r="U5340" i="6" s="1"/>
  <c r="T5339" i="6"/>
  <c r="U5339" i="6" s="1"/>
  <c r="T5338" i="6"/>
  <c r="U5338" i="6" s="1"/>
  <c r="T5337" i="6"/>
  <c r="U5337" i="6" s="1"/>
  <c r="T5336" i="6"/>
  <c r="U5336" i="6" s="1"/>
  <c r="T5335" i="6"/>
  <c r="U5335" i="6" s="1"/>
  <c r="T5334" i="6"/>
  <c r="U5334" i="6" s="1"/>
  <c r="T5333" i="6"/>
  <c r="U5333" i="6" s="1"/>
  <c r="T5332" i="6"/>
  <c r="U5332" i="6" s="1"/>
  <c r="T5331" i="6"/>
  <c r="U5331" i="6" s="1"/>
  <c r="T5330" i="6"/>
  <c r="U5330" i="6" s="1"/>
  <c r="T5329" i="6"/>
  <c r="U5329" i="6" s="1"/>
  <c r="T5328" i="6"/>
  <c r="U5328" i="6" s="1"/>
  <c r="T5327" i="6"/>
  <c r="U5327" i="6" s="1"/>
  <c r="T5326" i="6"/>
  <c r="U5326" i="6" s="1"/>
  <c r="T5325" i="6"/>
  <c r="U5325" i="6" s="1"/>
  <c r="T5324" i="6"/>
  <c r="U5324" i="6" s="1"/>
  <c r="T5323" i="6"/>
  <c r="U5323" i="6" s="1"/>
  <c r="T5322" i="6"/>
  <c r="U5322" i="6" s="1"/>
  <c r="T5321" i="6"/>
  <c r="U5321" i="6" s="1"/>
  <c r="T5320" i="6"/>
  <c r="U5320" i="6" s="1"/>
  <c r="T5319" i="6"/>
  <c r="U5319" i="6" s="1"/>
  <c r="T5318" i="6"/>
  <c r="U5318" i="6" s="1"/>
  <c r="T5317" i="6"/>
  <c r="U5317" i="6" s="1"/>
  <c r="T5316" i="6"/>
  <c r="U5316" i="6" s="1"/>
  <c r="T5315" i="6"/>
  <c r="U5315" i="6" s="1"/>
  <c r="T5314" i="6"/>
  <c r="U5314" i="6" s="1"/>
  <c r="T5313" i="6"/>
  <c r="U5313" i="6" s="1"/>
  <c r="T5312" i="6"/>
  <c r="U5312" i="6" s="1"/>
  <c r="T5311" i="6"/>
  <c r="U5311" i="6" s="1"/>
  <c r="T5310" i="6"/>
  <c r="U5310" i="6" s="1"/>
  <c r="T5309" i="6"/>
  <c r="U5309" i="6" s="1"/>
  <c r="T5308" i="6"/>
  <c r="U5308" i="6" s="1"/>
  <c r="T5307" i="6"/>
  <c r="U5307" i="6" s="1"/>
  <c r="U5306" i="6"/>
  <c r="T5306" i="6"/>
  <c r="T5305" i="6"/>
  <c r="U5305" i="6" s="1"/>
  <c r="T5304" i="6"/>
  <c r="U5304" i="6" s="1"/>
  <c r="T5303" i="6"/>
  <c r="U5303" i="6" s="1"/>
  <c r="T5302" i="6"/>
  <c r="U5302" i="6" s="1"/>
  <c r="T5301" i="6"/>
  <c r="U5301" i="6" s="1"/>
  <c r="T5300" i="6"/>
  <c r="U5300" i="6" s="1"/>
  <c r="T5299" i="6"/>
  <c r="U5299" i="6" s="1"/>
  <c r="T5298" i="6"/>
  <c r="U5298" i="6" s="1"/>
  <c r="T5297" i="6"/>
  <c r="U5297" i="6" s="1"/>
  <c r="T5296" i="6"/>
  <c r="U5296" i="6" s="1"/>
  <c r="T5295" i="6"/>
  <c r="U5295" i="6" s="1"/>
  <c r="T5294" i="6"/>
  <c r="U5294" i="6" s="1"/>
  <c r="T5293" i="6"/>
  <c r="U5293" i="6" s="1"/>
  <c r="T5292" i="6"/>
  <c r="U5292" i="6" s="1"/>
  <c r="T5291" i="6"/>
  <c r="U5291" i="6" s="1"/>
  <c r="T5290" i="6"/>
  <c r="U5290" i="6" s="1"/>
  <c r="T5289" i="6"/>
  <c r="U5289" i="6" s="1"/>
  <c r="T5288" i="6"/>
  <c r="U5288" i="6" s="1"/>
  <c r="T5287" i="6"/>
  <c r="U5287" i="6" s="1"/>
  <c r="T5286" i="6"/>
  <c r="U5286" i="6" s="1"/>
  <c r="T5285" i="6"/>
  <c r="U5285" i="6" s="1"/>
  <c r="T5284" i="6"/>
  <c r="U5284" i="6" s="1"/>
  <c r="T5283" i="6"/>
  <c r="U5283" i="6" s="1"/>
  <c r="T5282" i="6"/>
  <c r="U5282" i="6" s="1"/>
  <c r="T5281" i="6"/>
  <c r="U5281" i="6" s="1"/>
  <c r="T5280" i="6"/>
  <c r="U5280" i="6" s="1"/>
  <c r="T5279" i="6"/>
  <c r="U5279" i="6" s="1"/>
  <c r="T5278" i="6"/>
  <c r="U5278" i="6" s="1"/>
  <c r="T5277" i="6"/>
  <c r="U5277" i="6" s="1"/>
  <c r="T5276" i="6"/>
  <c r="U5276" i="6" s="1"/>
  <c r="T5275" i="6"/>
  <c r="U5275" i="6" s="1"/>
  <c r="U5274" i="6"/>
  <c r="T5274" i="6"/>
  <c r="T5273" i="6"/>
  <c r="U5273" i="6" s="1"/>
  <c r="T5272" i="6"/>
  <c r="U5272" i="6" s="1"/>
  <c r="T5271" i="6"/>
  <c r="U5271" i="6" s="1"/>
  <c r="T5270" i="6"/>
  <c r="U5270" i="6" s="1"/>
  <c r="T5269" i="6"/>
  <c r="U5269" i="6" s="1"/>
  <c r="T5268" i="6"/>
  <c r="U5268" i="6" s="1"/>
  <c r="T5267" i="6"/>
  <c r="U5267" i="6" s="1"/>
  <c r="T5266" i="6"/>
  <c r="U5266" i="6" s="1"/>
  <c r="T5265" i="6"/>
  <c r="U5265" i="6" s="1"/>
  <c r="T5264" i="6"/>
  <c r="U5264" i="6" s="1"/>
  <c r="T5263" i="6"/>
  <c r="U5263" i="6" s="1"/>
  <c r="T5262" i="6"/>
  <c r="U5262" i="6" s="1"/>
  <c r="T5261" i="6"/>
  <c r="U5261" i="6" s="1"/>
  <c r="T5260" i="6"/>
  <c r="U5260" i="6" s="1"/>
  <c r="T5259" i="6"/>
  <c r="U5259" i="6" s="1"/>
  <c r="T5258" i="6"/>
  <c r="U5258" i="6" s="1"/>
  <c r="T5257" i="6"/>
  <c r="U5257" i="6" s="1"/>
  <c r="T5256" i="6"/>
  <c r="U5256" i="6" s="1"/>
  <c r="T5255" i="6"/>
  <c r="U5255" i="6" s="1"/>
  <c r="T5254" i="6"/>
  <c r="U5254" i="6" s="1"/>
  <c r="T5253" i="6"/>
  <c r="U5253" i="6" s="1"/>
  <c r="T5252" i="6"/>
  <c r="U5252" i="6" s="1"/>
  <c r="T5251" i="6"/>
  <c r="U5251" i="6" s="1"/>
  <c r="T5250" i="6"/>
  <c r="U5250" i="6" s="1"/>
  <c r="T5249" i="6"/>
  <c r="U5249" i="6" s="1"/>
  <c r="T5248" i="6"/>
  <c r="U5248" i="6" s="1"/>
  <c r="T5247" i="6"/>
  <c r="U5247" i="6" s="1"/>
  <c r="T5246" i="6"/>
  <c r="U5246" i="6" s="1"/>
  <c r="T5245" i="6"/>
  <c r="U5245" i="6" s="1"/>
  <c r="T5244" i="6"/>
  <c r="U5244" i="6" s="1"/>
  <c r="T5243" i="6"/>
  <c r="U5243" i="6" s="1"/>
  <c r="U5242" i="6"/>
  <c r="T5242" i="6"/>
  <c r="T5241" i="6"/>
  <c r="U5241" i="6" s="1"/>
  <c r="T5240" i="6"/>
  <c r="U5240" i="6" s="1"/>
  <c r="T5239" i="6"/>
  <c r="U5239" i="6" s="1"/>
  <c r="T5238" i="6"/>
  <c r="U5238" i="6" s="1"/>
  <c r="T5237" i="6"/>
  <c r="U5237" i="6" s="1"/>
  <c r="T5236" i="6"/>
  <c r="U5236" i="6" s="1"/>
  <c r="T5235" i="6"/>
  <c r="U5235" i="6" s="1"/>
  <c r="T5234" i="6"/>
  <c r="U5234" i="6" s="1"/>
  <c r="T5233" i="6"/>
  <c r="U5233" i="6" s="1"/>
  <c r="T5232" i="6"/>
  <c r="U5232" i="6" s="1"/>
  <c r="T5231" i="6"/>
  <c r="U5231" i="6" s="1"/>
  <c r="T5230" i="6"/>
  <c r="U5230" i="6" s="1"/>
  <c r="T5229" i="6"/>
  <c r="U5229" i="6" s="1"/>
  <c r="T5228" i="6"/>
  <c r="U5228" i="6" s="1"/>
  <c r="T5227" i="6"/>
  <c r="U5227" i="6" s="1"/>
  <c r="T5226" i="6"/>
  <c r="U5226" i="6" s="1"/>
  <c r="T5225" i="6"/>
  <c r="U5225" i="6" s="1"/>
  <c r="T5224" i="6"/>
  <c r="U5224" i="6" s="1"/>
  <c r="T5223" i="6"/>
  <c r="U5223" i="6" s="1"/>
  <c r="T5222" i="6"/>
  <c r="U5222" i="6" s="1"/>
  <c r="T5221" i="6"/>
  <c r="U5221" i="6" s="1"/>
  <c r="T5220" i="6"/>
  <c r="U5220" i="6" s="1"/>
  <c r="T5219" i="6"/>
  <c r="U5219" i="6" s="1"/>
  <c r="T5218" i="6"/>
  <c r="U5218" i="6" s="1"/>
  <c r="T5217" i="6"/>
  <c r="U5217" i="6" s="1"/>
  <c r="T5216" i="6"/>
  <c r="U5216" i="6" s="1"/>
  <c r="T5215" i="6"/>
  <c r="U5215" i="6" s="1"/>
  <c r="T5214" i="6"/>
  <c r="U5214" i="6" s="1"/>
  <c r="T5213" i="6"/>
  <c r="U5213" i="6" s="1"/>
  <c r="T5212" i="6"/>
  <c r="U5212" i="6" s="1"/>
  <c r="T5211" i="6"/>
  <c r="U5211" i="6" s="1"/>
  <c r="U5210" i="6"/>
  <c r="T5210" i="6"/>
  <c r="T5209" i="6"/>
  <c r="U5209" i="6" s="1"/>
  <c r="T5208" i="6"/>
  <c r="U5208" i="6" s="1"/>
  <c r="T5207" i="6"/>
  <c r="U5207" i="6" s="1"/>
  <c r="T5206" i="6"/>
  <c r="U5206" i="6" s="1"/>
  <c r="T5205" i="6"/>
  <c r="U5205" i="6" s="1"/>
  <c r="T5204" i="6"/>
  <c r="U5204" i="6" s="1"/>
  <c r="T5203" i="6"/>
  <c r="U5203" i="6" s="1"/>
  <c r="T5202" i="6"/>
  <c r="U5202" i="6" s="1"/>
  <c r="T5201" i="6"/>
  <c r="U5201" i="6" s="1"/>
  <c r="T5200" i="6"/>
  <c r="U5200" i="6" s="1"/>
  <c r="T5199" i="6"/>
  <c r="U5199" i="6" s="1"/>
  <c r="T5198" i="6"/>
  <c r="U5198" i="6" s="1"/>
  <c r="T5197" i="6"/>
  <c r="U5197" i="6" s="1"/>
  <c r="T5196" i="6"/>
  <c r="U5196" i="6" s="1"/>
  <c r="T5195" i="6"/>
  <c r="U5195" i="6" s="1"/>
  <c r="T5194" i="6"/>
  <c r="U5194" i="6" s="1"/>
  <c r="T5193" i="6"/>
  <c r="U5193" i="6" s="1"/>
  <c r="T5192" i="6"/>
  <c r="U5192" i="6" s="1"/>
  <c r="T5191" i="6"/>
  <c r="U5191" i="6" s="1"/>
  <c r="T5190" i="6"/>
  <c r="U5190" i="6" s="1"/>
  <c r="T5189" i="6"/>
  <c r="U5189" i="6" s="1"/>
  <c r="T5188" i="6"/>
  <c r="U5188" i="6" s="1"/>
  <c r="T5187" i="6"/>
  <c r="U5187" i="6" s="1"/>
  <c r="T5186" i="6"/>
  <c r="U5186" i="6" s="1"/>
  <c r="T5185" i="6"/>
  <c r="U5185" i="6" s="1"/>
  <c r="T5184" i="6"/>
  <c r="U5184" i="6" s="1"/>
  <c r="T5183" i="6"/>
  <c r="U5183" i="6" s="1"/>
  <c r="T5182" i="6"/>
  <c r="U5182" i="6" s="1"/>
  <c r="T5181" i="6"/>
  <c r="U5181" i="6" s="1"/>
  <c r="T5180" i="6"/>
  <c r="U5180" i="6" s="1"/>
  <c r="T5179" i="6"/>
  <c r="U5179" i="6" s="1"/>
  <c r="U5178" i="6"/>
  <c r="T5178" i="6"/>
  <c r="T5177" i="6"/>
  <c r="U5177" i="6" s="1"/>
  <c r="T5176" i="6"/>
  <c r="U5176" i="6" s="1"/>
  <c r="T5175" i="6"/>
  <c r="U5175" i="6" s="1"/>
  <c r="T5174" i="6"/>
  <c r="U5174" i="6" s="1"/>
  <c r="T5173" i="6"/>
  <c r="U5173" i="6" s="1"/>
  <c r="T5172" i="6"/>
  <c r="U5172" i="6" s="1"/>
  <c r="T5171" i="6"/>
  <c r="U5171" i="6" s="1"/>
  <c r="T5170" i="6"/>
  <c r="U5170" i="6" s="1"/>
  <c r="T5169" i="6"/>
  <c r="U5169" i="6" s="1"/>
  <c r="T5168" i="6"/>
  <c r="U5168" i="6" s="1"/>
  <c r="T5167" i="6"/>
  <c r="U5167" i="6" s="1"/>
  <c r="T5166" i="6"/>
  <c r="U5166" i="6" s="1"/>
  <c r="T5165" i="6"/>
  <c r="U5165" i="6" s="1"/>
  <c r="T5164" i="6"/>
  <c r="U5164" i="6" s="1"/>
  <c r="T5163" i="6"/>
  <c r="U5163" i="6" s="1"/>
  <c r="T5162" i="6"/>
  <c r="U5162" i="6" s="1"/>
  <c r="T5161" i="6"/>
  <c r="U5161" i="6" s="1"/>
  <c r="T5160" i="6"/>
  <c r="U5160" i="6" s="1"/>
  <c r="T5159" i="6"/>
  <c r="U5159" i="6" s="1"/>
  <c r="T5158" i="6"/>
  <c r="U5158" i="6" s="1"/>
  <c r="T5157" i="6"/>
  <c r="U5157" i="6" s="1"/>
  <c r="T5156" i="6"/>
  <c r="U5156" i="6" s="1"/>
  <c r="T5155" i="6"/>
  <c r="U5155" i="6" s="1"/>
  <c r="T5154" i="6"/>
  <c r="U5154" i="6" s="1"/>
  <c r="T5153" i="6"/>
  <c r="U5153" i="6" s="1"/>
  <c r="T5152" i="6"/>
  <c r="U5152" i="6" s="1"/>
  <c r="T5151" i="6"/>
  <c r="U5151" i="6" s="1"/>
  <c r="T5150" i="6"/>
  <c r="U5150" i="6" s="1"/>
  <c r="T5149" i="6"/>
  <c r="U5149" i="6" s="1"/>
  <c r="T5148" i="6"/>
  <c r="U5148" i="6" s="1"/>
  <c r="T5147" i="6"/>
  <c r="U5147" i="6" s="1"/>
  <c r="U5146" i="6"/>
  <c r="T5146" i="6"/>
  <c r="T5145" i="6"/>
  <c r="U5145" i="6" s="1"/>
  <c r="T5144" i="6"/>
  <c r="U5144" i="6" s="1"/>
  <c r="T5143" i="6"/>
  <c r="U5143" i="6" s="1"/>
  <c r="T5142" i="6"/>
  <c r="U5142" i="6" s="1"/>
  <c r="T5141" i="6"/>
  <c r="U5141" i="6" s="1"/>
  <c r="T5140" i="6"/>
  <c r="U5140" i="6" s="1"/>
  <c r="T5139" i="6"/>
  <c r="U5139" i="6" s="1"/>
  <c r="T5138" i="6"/>
  <c r="U5138" i="6" s="1"/>
  <c r="T5137" i="6"/>
  <c r="U5137" i="6" s="1"/>
  <c r="T5136" i="6"/>
  <c r="U5136" i="6" s="1"/>
  <c r="T5135" i="6"/>
  <c r="U5135" i="6" s="1"/>
  <c r="T5134" i="6"/>
  <c r="U5134" i="6" s="1"/>
  <c r="T5133" i="6"/>
  <c r="U5133" i="6" s="1"/>
  <c r="T5132" i="6"/>
  <c r="U5132" i="6" s="1"/>
  <c r="T5131" i="6"/>
  <c r="U5131" i="6" s="1"/>
  <c r="T5130" i="6"/>
  <c r="U5130" i="6" s="1"/>
  <c r="T5129" i="6"/>
  <c r="U5129" i="6" s="1"/>
  <c r="T5128" i="6"/>
  <c r="U5128" i="6" s="1"/>
  <c r="T5127" i="6"/>
  <c r="U5127" i="6" s="1"/>
  <c r="T5126" i="6"/>
  <c r="U5126" i="6" s="1"/>
  <c r="T5125" i="6"/>
  <c r="U5125" i="6" s="1"/>
  <c r="T5124" i="6"/>
  <c r="U5124" i="6" s="1"/>
  <c r="T5123" i="6"/>
  <c r="U5123" i="6" s="1"/>
  <c r="T5122" i="6"/>
  <c r="U5122" i="6" s="1"/>
  <c r="T5121" i="6"/>
  <c r="U5121" i="6" s="1"/>
  <c r="T5120" i="6"/>
  <c r="U5120" i="6" s="1"/>
  <c r="T5119" i="6"/>
  <c r="U5119" i="6" s="1"/>
  <c r="T5118" i="6"/>
  <c r="U5118" i="6" s="1"/>
  <c r="T5117" i="6"/>
  <c r="U5117" i="6" s="1"/>
  <c r="T5116" i="6"/>
  <c r="U5116" i="6" s="1"/>
  <c r="T5115" i="6"/>
  <c r="U5115" i="6" s="1"/>
  <c r="T5114" i="6"/>
  <c r="U5114" i="6" s="1"/>
  <c r="T5113" i="6"/>
  <c r="U5113" i="6" s="1"/>
  <c r="T5112" i="6"/>
  <c r="U5112" i="6" s="1"/>
  <c r="T5111" i="6"/>
  <c r="U5111" i="6" s="1"/>
  <c r="T5110" i="6"/>
  <c r="U5110" i="6" s="1"/>
  <c r="T5109" i="6"/>
  <c r="U5109" i="6" s="1"/>
  <c r="T5108" i="6"/>
  <c r="U5108" i="6" s="1"/>
  <c r="T5107" i="6"/>
  <c r="U5107" i="6" s="1"/>
  <c r="T5106" i="6"/>
  <c r="U5106" i="6" s="1"/>
  <c r="T5105" i="6"/>
  <c r="U5105" i="6" s="1"/>
  <c r="T5104" i="6"/>
  <c r="U5104" i="6" s="1"/>
  <c r="T5103" i="6"/>
  <c r="U5103" i="6" s="1"/>
  <c r="T5102" i="6"/>
  <c r="U5102" i="6" s="1"/>
  <c r="T5101" i="6"/>
  <c r="U5101" i="6" s="1"/>
  <c r="T5100" i="6"/>
  <c r="U5100" i="6" s="1"/>
  <c r="T5099" i="6"/>
  <c r="U5099" i="6" s="1"/>
  <c r="T5098" i="6"/>
  <c r="U5098" i="6" s="1"/>
  <c r="T5097" i="6"/>
  <c r="U5097" i="6" s="1"/>
  <c r="T5096" i="6"/>
  <c r="U5096" i="6" s="1"/>
  <c r="T5095" i="6"/>
  <c r="U5095" i="6" s="1"/>
  <c r="T5094" i="6"/>
  <c r="U5094" i="6" s="1"/>
  <c r="T5093" i="6"/>
  <c r="U5093" i="6" s="1"/>
  <c r="T5092" i="6"/>
  <c r="U5092" i="6" s="1"/>
  <c r="T5091" i="6"/>
  <c r="U5091" i="6" s="1"/>
  <c r="T5090" i="6"/>
  <c r="U5090" i="6" s="1"/>
  <c r="T5089" i="6"/>
  <c r="U5089" i="6" s="1"/>
  <c r="T5088" i="6"/>
  <c r="U5088" i="6" s="1"/>
  <c r="T5087" i="6"/>
  <c r="U5087" i="6" s="1"/>
  <c r="T5086" i="6"/>
  <c r="U5086" i="6" s="1"/>
  <c r="T5085" i="6"/>
  <c r="U5085" i="6" s="1"/>
  <c r="T5084" i="6"/>
  <c r="U5084" i="6" s="1"/>
  <c r="T5083" i="6"/>
  <c r="U5083" i="6" s="1"/>
  <c r="U5082" i="6"/>
  <c r="T5082" i="6"/>
  <c r="T5081" i="6"/>
  <c r="U5081" i="6" s="1"/>
  <c r="T5080" i="6"/>
  <c r="U5080" i="6" s="1"/>
  <c r="T5079" i="6"/>
  <c r="U5079" i="6" s="1"/>
  <c r="T5078" i="6"/>
  <c r="U5078" i="6" s="1"/>
  <c r="T5077" i="6"/>
  <c r="U5077" i="6" s="1"/>
  <c r="T5076" i="6"/>
  <c r="U5076" i="6" s="1"/>
  <c r="T5075" i="6"/>
  <c r="U5075" i="6" s="1"/>
  <c r="T5074" i="6"/>
  <c r="U5074" i="6" s="1"/>
  <c r="T5073" i="6"/>
  <c r="U5073" i="6" s="1"/>
  <c r="T5072" i="6"/>
  <c r="U5072" i="6" s="1"/>
  <c r="T5071" i="6"/>
  <c r="U5071" i="6" s="1"/>
  <c r="T5070" i="6"/>
  <c r="U5070" i="6" s="1"/>
  <c r="T5069" i="6"/>
  <c r="U5069" i="6" s="1"/>
  <c r="T5068" i="6"/>
  <c r="U5068" i="6" s="1"/>
  <c r="T5067" i="6"/>
  <c r="U5067" i="6" s="1"/>
  <c r="T5066" i="6"/>
  <c r="U5066" i="6" s="1"/>
  <c r="T5065" i="6"/>
  <c r="U5065" i="6" s="1"/>
  <c r="T5064" i="6"/>
  <c r="U5064" i="6" s="1"/>
  <c r="T5063" i="6"/>
  <c r="U5063" i="6" s="1"/>
  <c r="T5062" i="6"/>
  <c r="U5062" i="6" s="1"/>
  <c r="T5061" i="6"/>
  <c r="U5061" i="6" s="1"/>
  <c r="T5060" i="6"/>
  <c r="U5060" i="6" s="1"/>
  <c r="T5059" i="6"/>
  <c r="U5059" i="6" s="1"/>
  <c r="T5058" i="6"/>
  <c r="U5058" i="6" s="1"/>
  <c r="T5057" i="6"/>
  <c r="U5057" i="6" s="1"/>
  <c r="T5056" i="6"/>
  <c r="U5056" i="6" s="1"/>
  <c r="T5055" i="6"/>
  <c r="U5055" i="6" s="1"/>
  <c r="T5054" i="6"/>
  <c r="U5054" i="6" s="1"/>
  <c r="T5053" i="6"/>
  <c r="U5053" i="6" s="1"/>
  <c r="T5052" i="6"/>
  <c r="U5052" i="6" s="1"/>
  <c r="T5051" i="6"/>
  <c r="U5051" i="6" s="1"/>
  <c r="T5050" i="6"/>
  <c r="U5050" i="6" s="1"/>
  <c r="T5049" i="6"/>
  <c r="U5049" i="6" s="1"/>
  <c r="T5048" i="6"/>
  <c r="U5048" i="6" s="1"/>
  <c r="T5047" i="6"/>
  <c r="U5047" i="6" s="1"/>
  <c r="T5046" i="6"/>
  <c r="U5046" i="6" s="1"/>
  <c r="T5045" i="6"/>
  <c r="U5045" i="6" s="1"/>
  <c r="T5044" i="6"/>
  <c r="U5044" i="6" s="1"/>
  <c r="T5043" i="6"/>
  <c r="U5043" i="6" s="1"/>
  <c r="T5042" i="6"/>
  <c r="U5042" i="6" s="1"/>
  <c r="T5041" i="6"/>
  <c r="U5041" i="6" s="1"/>
  <c r="T5040" i="6"/>
  <c r="U5040" i="6" s="1"/>
  <c r="T5039" i="6"/>
  <c r="U5039" i="6" s="1"/>
  <c r="T5038" i="6"/>
  <c r="U5038" i="6" s="1"/>
  <c r="T5037" i="6"/>
  <c r="U5037" i="6" s="1"/>
  <c r="T5036" i="6"/>
  <c r="U5036" i="6" s="1"/>
  <c r="T5035" i="6"/>
  <c r="U5035" i="6" s="1"/>
  <c r="T5034" i="6"/>
  <c r="U5034" i="6" s="1"/>
  <c r="T5033" i="6"/>
  <c r="U5033" i="6" s="1"/>
  <c r="T5032" i="6"/>
  <c r="U5032" i="6" s="1"/>
  <c r="T5031" i="6"/>
  <c r="U5031" i="6" s="1"/>
  <c r="T5030" i="6"/>
  <c r="U5030" i="6" s="1"/>
  <c r="T5029" i="6"/>
  <c r="U5029" i="6" s="1"/>
  <c r="T5028" i="6"/>
  <c r="U5028" i="6" s="1"/>
  <c r="T5027" i="6"/>
  <c r="U5027" i="6" s="1"/>
  <c r="T5026" i="6"/>
  <c r="U5026" i="6" s="1"/>
  <c r="T5025" i="6"/>
  <c r="U5025" i="6" s="1"/>
  <c r="T5024" i="6"/>
  <c r="U5024" i="6" s="1"/>
  <c r="T5023" i="6"/>
  <c r="U5023" i="6" s="1"/>
  <c r="T5022" i="6"/>
  <c r="U5022" i="6" s="1"/>
  <c r="T5021" i="6"/>
  <c r="U5021" i="6" s="1"/>
  <c r="T5020" i="6"/>
  <c r="U5020" i="6" s="1"/>
  <c r="T5019" i="6"/>
  <c r="U5019" i="6" s="1"/>
  <c r="U5018" i="6"/>
  <c r="T5018" i="6"/>
  <c r="T5017" i="6"/>
  <c r="U5017" i="6" s="1"/>
  <c r="T5016" i="6"/>
  <c r="U5016" i="6" s="1"/>
  <c r="T5015" i="6"/>
  <c r="U5015" i="6" s="1"/>
  <c r="T5014" i="6"/>
  <c r="U5014" i="6" s="1"/>
  <c r="T5013" i="6"/>
  <c r="U5013" i="6" s="1"/>
  <c r="T5012" i="6"/>
  <c r="U5012" i="6" s="1"/>
  <c r="T5011" i="6"/>
  <c r="U5011" i="6" s="1"/>
  <c r="T5010" i="6"/>
  <c r="U5010" i="6" s="1"/>
  <c r="T5009" i="6"/>
  <c r="U5009" i="6" s="1"/>
  <c r="T5008" i="6"/>
  <c r="U5008" i="6" s="1"/>
  <c r="T5007" i="6"/>
  <c r="U5007" i="6" s="1"/>
  <c r="T5006" i="6"/>
  <c r="U5006" i="6" s="1"/>
  <c r="T5005" i="6"/>
  <c r="U5005" i="6" s="1"/>
  <c r="T5004" i="6"/>
  <c r="U5004" i="6" s="1"/>
  <c r="T5003" i="6"/>
  <c r="U5003" i="6" s="1"/>
  <c r="T5002" i="6"/>
  <c r="U5002" i="6" s="1"/>
  <c r="T5001" i="6"/>
  <c r="U5001" i="6" s="1"/>
  <c r="T5000" i="6"/>
  <c r="U5000" i="6" s="1"/>
  <c r="T4999" i="6"/>
  <c r="U4999" i="6" s="1"/>
  <c r="T4998" i="6"/>
  <c r="U4998" i="6" s="1"/>
  <c r="T4997" i="6"/>
  <c r="U4997" i="6" s="1"/>
  <c r="T4996" i="6"/>
  <c r="U4996" i="6" s="1"/>
  <c r="T4995" i="6"/>
  <c r="U4995" i="6" s="1"/>
  <c r="T4994" i="6"/>
  <c r="U4994" i="6" s="1"/>
  <c r="T4993" i="6"/>
  <c r="U4993" i="6" s="1"/>
  <c r="T4992" i="6"/>
  <c r="U4992" i="6" s="1"/>
  <c r="T4991" i="6"/>
  <c r="U4991" i="6" s="1"/>
  <c r="T4990" i="6"/>
  <c r="U4990" i="6" s="1"/>
  <c r="T4989" i="6"/>
  <c r="U4989" i="6" s="1"/>
  <c r="T4988" i="6"/>
  <c r="U4988" i="6" s="1"/>
  <c r="T4987" i="6"/>
  <c r="U4987" i="6" s="1"/>
  <c r="T4986" i="6"/>
  <c r="U4986" i="6" s="1"/>
  <c r="T4985" i="6"/>
  <c r="U4985" i="6" s="1"/>
  <c r="T4984" i="6"/>
  <c r="U4984" i="6" s="1"/>
  <c r="T4983" i="6"/>
  <c r="U4983" i="6" s="1"/>
  <c r="T4982" i="6"/>
  <c r="U4982" i="6" s="1"/>
  <c r="T4981" i="6"/>
  <c r="U4981" i="6" s="1"/>
  <c r="T4980" i="6"/>
  <c r="U4980" i="6" s="1"/>
  <c r="T4979" i="6"/>
  <c r="U4979" i="6" s="1"/>
  <c r="T4978" i="6"/>
  <c r="U4978" i="6" s="1"/>
  <c r="T4977" i="6"/>
  <c r="U4977" i="6" s="1"/>
  <c r="T4976" i="6"/>
  <c r="U4976" i="6" s="1"/>
  <c r="T4975" i="6"/>
  <c r="U4975" i="6" s="1"/>
  <c r="T4974" i="6"/>
  <c r="U4974" i="6" s="1"/>
  <c r="T4973" i="6"/>
  <c r="U4973" i="6" s="1"/>
  <c r="T4972" i="6"/>
  <c r="U4972" i="6" s="1"/>
  <c r="T4971" i="6"/>
  <c r="U4971" i="6" s="1"/>
  <c r="T4970" i="6"/>
  <c r="U4970" i="6" s="1"/>
  <c r="T4969" i="6"/>
  <c r="U4969" i="6" s="1"/>
  <c r="T4968" i="6"/>
  <c r="U4968" i="6" s="1"/>
  <c r="T4967" i="6"/>
  <c r="U4967" i="6" s="1"/>
  <c r="T4966" i="6"/>
  <c r="U4966" i="6" s="1"/>
  <c r="T4965" i="6"/>
  <c r="U4965" i="6" s="1"/>
  <c r="T4964" i="6"/>
  <c r="U4964" i="6" s="1"/>
  <c r="T4963" i="6"/>
  <c r="U4963" i="6" s="1"/>
  <c r="T4962" i="6"/>
  <c r="U4962" i="6" s="1"/>
  <c r="T4961" i="6"/>
  <c r="U4961" i="6" s="1"/>
  <c r="T4960" i="6"/>
  <c r="U4960" i="6" s="1"/>
  <c r="T4959" i="6"/>
  <c r="U4959" i="6" s="1"/>
  <c r="T4958" i="6"/>
  <c r="U4958" i="6" s="1"/>
  <c r="T4957" i="6"/>
  <c r="U4957" i="6" s="1"/>
  <c r="T4956" i="6"/>
  <c r="U4956" i="6" s="1"/>
  <c r="T4955" i="6"/>
  <c r="U4955" i="6" s="1"/>
  <c r="U4954" i="6"/>
  <c r="T4954" i="6"/>
  <c r="T4953" i="6"/>
  <c r="U4953" i="6" s="1"/>
  <c r="T4952" i="6"/>
  <c r="U4952" i="6" s="1"/>
  <c r="T4951" i="6"/>
  <c r="U4951" i="6" s="1"/>
  <c r="T4950" i="6"/>
  <c r="U4950" i="6" s="1"/>
  <c r="T4949" i="6"/>
  <c r="U4949" i="6" s="1"/>
  <c r="T4948" i="6"/>
  <c r="U4948" i="6" s="1"/>
  <c r="T4947" i="6"/>
  <c r="U4947" i="6" s="1"/>
  <c r="T4946" i="6"/>
  <c r="U4946" i="6" s="1"/>
  <c r="T4945" i="6"/>
  <c r="U4945" i="6" s="1"/>
  <c r="T4944" i="6"/>
  <c r="U4944" i="6" s="1"/>
  <c r="T4943" i="6"/>
  <c r="U4943" i="6" s="1"/>
  <c r="T4942" i="6"/>
  <c r="U4942" i="6" s="1"/>
  <c r="T4941" i="6"/>
  <c r="U4941" i="6" s="1"/>
  <c r="T4940" i="6"/>
  <c r="U4940" i="6" s="1"/>
  <c r="T4939" i="6"/>
  <c r="U4939" i="6" s="1"/>
  <c r="T4938" i="6"/>
  <c r="U4938" i="6" s="1"/>
  <c r="T4937" i="6"/>
  <c r="U4937" i="6" s="1"/>
  <c r="T4936" i="6"/>
  <c r="U4936" i="6" s="1"/>
  <c r="T4935" i="6"/>
  <c r="U4935" i="6" s="1"/>
  <c r="T4934" i="6"/>
  <c r="U4934" i="6" s="1"/>
  <c r="T4933" i="6"/>
  <c r="U4933" i="6" s="1"/>
  <c r="T4932" i="6"/>
  <c r="U4932" i="6" s="1"/>
  <c r="T4931" i="6"/>
  <c r="U4931" i="6" s="1"/>
  <c r="T4930" i="6"/>
  <c r="U4930" i="6" s="1"/>
  <c r="T4929" i="6"/>
  <c r="U4929" i="6" s="1"/>
  <c r="T4928" i="6"/>
  <c r="U4928" i="6" s="1"/>
  <c r="T4927" i="6"/>
  <c r="U4927" i="6" s="1"/>
  <c r="T4926" i="6"/>
  <c r="U4926" i="6" s="1"/>
  <c r="T4925" i="6"/>
  <c r="U4925" i="6" s="1"/>
  <c r="T4924" i="6"/>
  <c r="U4924" i="6" s="1"/>
  <c r="T4923" i="6"/>
  <c r="U4923" i="6" s="1"/>
  <c r="T4922" i="6"/>
  <c r="U4922" i="6" s="1"/>
  <c r="T4921" i="6"/>
  <c r="U4921" i="6" s="1"/>
  <c r="T4920" i="6"/>
  <c r="U4920" i="6" s="1"/>
  <c r="T4919" i="6"/>
  <c r="U4919" i="6" s="1"/>
  <c r="T4918" i="6"/>
  <c r="U4918" i="6" s="1"/>
  <c r="T4917" i="6"/>
  <c r="U4917" i="6" s="1"/>
  <c r="T4916" i="6"/>
  <c r="U4916" i="6" s="1"/>
  <c r="T4915" i="6"/>
  <c r="U4915" i="6" s="1"/>
  <c r="T4914" i="6"/>
  <c r="U4914" i="6" s="1"/>
  <c r="T4913" i="6"/>
  <c r="U4913" i="6" s="1"/>
  <c r="T4912" i="6"/>
  <c r="U4912" i="6" s="1"/>
  <c r="T4911" i="6"/>
  <c r="U4911" i="6" s="1"/>
  <c r="T4910" i="6"/>
  <c r="U4910" i="6" s="1"/>
  <c r="T4909" i="6"/>
  <c r="U4909" i="6" s="1"/>
  <c r="T4908" i="6"/>
  <c r="U4908" i="6" s="1"/>
  <c r="T4907" i="6"/>
  <c r="U4907" i="6" s="1"/>
  <c r="T4906" i="6"/>
  <c r="U4906" i="6" s="1"/>
  <c r="T4905" i="6"/>
  <c r="U4905" i="6" s="1"/>
  <c r="T4904" i="6"/>
  <c r="U4904" i="6" s="1"/>
  <c r="T4903" i="6"/>
  <c r="U4903" i="6" s="1"/>
  <c r="T4902" i="6"/>
  <c r="U4902" i="6" s="1"/>
  <c r="T4901" i="6"/>
  <c r="U4901" i="6" s="1"/>
  <c r="T4900" i="6"/>
  <c r="U4900" i="6" s="1"/>
  <c r="T4899" i="6"/>
  <c r="U4899" i="6" s="1"/>
  <c r="T4898" i="6"/>
  <c r="U4898" i="6" s="1"/>
  <c r="T4897" i="6"/>
  <c r="U4897" i="6" s="1"/>
  <c r="T4896" i="6"/>
  <c r="U4896" i="6" s="1"/>
  <c r="T4895" i="6"/>
  <c r="U4895" i="6" s="1"/>
  <c r="T4894" i="6"/>
  <c r="U4894" i="6" s="1"/>
  <c r="T4893" i="6"/>
  <c r="U4893" i="6" s="1"/>
  <c r="T4892" i="6"/>
  <c r="U4892" i="6" s="1"/>
  <c r="T4891" i="6"/>
  <c r="U4891" i="6" s="1"/>
  <c r="U4890" i="6"/>
  <c r="T4890" i="6"/>
  <c r="T4889" i="6"/>
  <c r="U4889" i="6" s="1"/>
  <c r="T4888" i="6"/>
  <c r="U4888" i="6" s="1"/>
  <c r="T4887" i="6"/>
  <c r="U4887" i="6" s="1"/>
  <c r="T4886" i="6"/>
  <c r="U4886" i="6" s="1"/>
  <c r="T4885" i="6"/>
  <c r="U4885" i="6" s="1"/>
  <c r="T4884" i="6"/>
  <c r="U4884" i="6" s="1"/>
  <c r="T4883" i="6"/>
  <c r="U4883" i="6" s="1"/>
  <c r="T4882" i="6"/>
  <c r="U4882" i="6" s="1"/>
  <c r="T4881" i="6"/>
  <c r="U4881" i="6" s="1"/>
  <c r="T4880" i="6"/>
  <c r="U4880" i="6" s="1"/>
  <c r="T4879" i="6"/>
  <c r="U4879" i="6" s="1"/>
  <c r="T4878" i="6"/>
  <c r="U4878" i="6" s="1"/>
  <c r="T4877" i="6"/>
  <c r="U4877" i="6" s="1"/>
  <c r="T4876" i="6"/>
  <c r="U4876" i="6" s="1"/>
  <c r="T4875" i="6"/>
  <c r="U4875" i="6" s="1"/>
  <c r="T4874" i="6"/>
  <c r="U4874" i="6" s="1"/>
  <c r="T4873" i="6"/>
  <c r="U4873" i="6" s="1"/>
  <c r="T4872" i="6"/>
  <c r="U4872" i="6" s="1"/>
  <c r="T4871" i="6"/>
  <c r="U4871" i="6" s="1"/>
  <c r="T4870" i="6"/>
  <c r="U4870" i="6" s="1"/>
  <c r="T4869" i="6"/>
  <c r="U4869" i="6" s="1"/>
  <c r="T4868" i="6"/>
  <c r="U4868" i="6" s="1"/>
  <c r="T4867" i="6"/>
  <c r="U4867" i="6" s="1"/>
  <c r="T4866" i="6"/>
  <c r="U4866" i="6" s="1"/>
  <c r="T4865" i="6"/>
  <c r="U4865" i="6" s="1"/>
  <c r="T4864" i="6"/>
  <c r="U4864" i="6" s="1"/>
  <c r="T4863" i="6"/>
  <c r="U4863" i="6" s="1"/>
  <c r="T4862" i="6"/>
  <c r="U4862" i="6" s="1"/>
  <c r="T4861" i="6"/>
  <c r="U4861" i="6" s="1"/>
  <c r="T4860" i="6"/>
  <c r="U4860" i="6" s="1"/>
  <c r="T4859" i="6"/>
  <c r="U4859" i="6" s="1"/>
  <c r="T4858" i="6"/>
  <c r="U4858" i="6" s="1"/>
  <c r="T4857" i="6"/>
  <c r="U4857" i="6" s="1"/>
  <c r="T4856" i="6"/>
  <c r="U4856" i="6" s="1"/>
  <c r="T4855" i="6"/>
  <c r="U4855" i="6" s="1"/>
  <c r="T4854" i="6"/>
  <c r="U4854" i="6" s="1"/>
  <c r="T4853" i="6"/>
  <c r="U4853" i="6" s="1"/>
  <c r="T4852" i="6"/>
  <c r="U4852" i="6" s="1"/>
  <c r="T4851" i="6"/>
  <c r="U4851" i="6" s="1"/>
  <c r="T4850" i="6"/>
  <c r="U4850" i="6" s="1"/>
  <c r="T4849" i="6"/>
  <c r="U4849" i="6" s="1"/>
  <c r="T4848" i="6"/>
  <c r="U4848" i="6" s="1"/>
  <c r="T4847" i="6"/>
  <c r="U4847" i="6" s="1"/>
  <c r="T4846" i="6"/>
  <c r="U4846" i="6" s="1"/>
  <c r="T4845" i="6"/>
  <c r="U4845" i="6" s="1"/>
  <c r="T4844" i="6"/>
  <c r="U4844" i="6" s="1"/>
  <c r="T4843" i="6"/>
  <c r="U4843" i="6" s="1"/>
  <c r="T4842" i="6"/>
  <c r="U4842" i="6" s="1"/>
  <c r="T4841" i="6"/>
  <c r="U4841" i="6" s="1"/>
  <c r="T4840" i="6"/>
  <c r="U4840" i="6" s="1"/>
  <c r="T4839" i="6"/>
  <c r="U4839" i="6" s="1"/>
  <c r="T4838" i="6"/>
  <c r="U4838" i="6" s="1"/>
  <c r="T4837" i="6"/>
  <c r="U4837" i="6" s="1"/>
  <c r="U4836" i="6"/>
  <c r="T4836" i="6"/>
  <c r="T4835" i="6"/>
  <c r="U4835" i="6" s="1"/>
  <c r="T4834" i="6"/>
  <c r="U4834" i="6" s="1"/>
  <c r="T4833" i="6"/>
  <c r="U4833" i="6" s="1"/>
  <c r="T4832" i="6"/>
  <c r="U4832" i="6" s="1"/>
  <c r="T4831" i="6"/>
  <c r="U4831" i="6" s="1"/>
  <c r="T4830" i="6"/>
  <c r="U4830" i="6" s="1"/>
  <c r="T4829" i="6"/>
  <c r="U4829" i="6" s="1"/>
  <c r="U4828" i="6"/>
  <c r="T4828" i="6"/>
  <c r="T4827" i="6"/>
  <c r="U4827" i="6" s="1"/>
  <c r="T4826" i="6"/>
  <c r="U4826" i="6" s="1"/>
  <c r="T4825" i="6"/>
  <c r="U4825" i="6" s="1"/>
  <c r="T4824" i="6"/>
  <c r="U4824" i="6" s="1"/>
  <c r="T4823" i="6"/>
  <c r="U4823" i="6" s="1"/>
  <c r="T4822" i="6"/>
  <c r="U4822" i="6" s="1"/>
  <c r="T4821" i="6"/>
  <c r="U4821" i="6" s="1"/>
  <c r="U4820" i="6"/>
  <c r="T4820" i="6"/>
  <c r="T4819" i="6"/>
  <c r="U4819" i="6" s="1"/>
  <c r="T4818" i="6"/>
  <c r="U4818" i="6" s="1"/>
  <c r="T4817" i="6"/>
  <c r="U4817" i="6" s="1"/>
  <c r="T4816" i="6"/>
  <c r="U4816" i="6" s="1"/>
  <c r="T4815" i="6"/>
  <c r="U4815" i="6" s="1"/>
  <c r="T4814" i="6"/>
  <c r="U4814" i="6" s="1"/>
  <c r="T4813" i="6"/>
  <c r="U4813" i="6" s="1"/>
  <c r="U4812" i="6"/>
  <c r="T4812" i="6"/>
  <c r="T4811" i="6"/>
  <c r="U4811" i="6" s="1"/>
  <c r="T4810" i="6"/>
  <c r="U4810" i="6" s="1"/>
  <c r="T4809" i="6"/>
  <c r="U4809" i="6" s="1"/>
  <c r="T4808" i="6"/>
  <c r="U4808" i="6" s="1"/>
  <c r="T4807" i="6"/>
  <c r="U4807" i="6" s="1"/>
  <c r="T4806" i="6"/>
  <c r="U4806" i="6" s="1"/>
  <c r="T4805" i="6"/>
  <c r="U4805" i="6" s="1"/>
  <c r="U4804" i="6"/>
  <c r="T4804" i="6"/>
  <c r="T4803" i="6"/>
  <c r="U4803" i="6" s="1"/>
  <c r="T4802" i="6"/>
  <c r="U4802" i="6" s="1"/>
  <c r="T4801" i="6"/>
  <c r="U4801" i="6" s="1"/>
  <c r="T4800" i="6"/>
  <c r="U4800" i="6" s="1"/>
  <c r="T4799" i="6"/>
  <c r="U4799" i="6" s="1"/>
  <c r="T4798" i="6"/>
  <c r="U4798" i="6" s="1"/>
  <c r="T4797" i="6"/>
  <c r="U4797" i="6" s="1"/>
  <c r="U4796" i="6"/>
  <c r="T4796" i="6"/>
  <c r="T4795" i="6"/>
  <c r="U4795" i="6" s="1"/>
  <c r="T4794" i="6"/>
  <c r="U4794" i="6" s="1"/>
  <c r="T4793" i="6"/>
  <c r="U4793" i="6" s="1"/>
  <c r="T4792" i="6"/>
  <c r="U4792" i="6" s="1"/>
  <c r="T4791" i="6"/>
  <c r="U4791" i="6" s="1"/>
  <c r="T4790" i="6"/>
  <c r="U4790" i="6" s="1"/>
  <c r="T4789" i="6"/>
  <c r="U4789" i="6" s="1"/>
  <c r="U4788" i="6"/>
  <c r="T4788" i="6"/>
  <c r="T4787" i="6"/>
  <c r="U4787" i="6" s="1"/>
  <c r="T4786" i="6"/>
  <c r="U4786" i="6" s="1"/>
  <c r="T4785" i="6"/>
  <c r="U4785" i="6" s="1"/>
  <c r="T4784" i="6"/>
  <c r="U4784" i="6" s="1"/>
  <c r="T4783" i="6"/>
  <c r="U4783" i="6" s="1"/>
  <c r="T4782" i="6"/>
  <c r="U4782" i="6" s="1"/>
  <c r="T4781" i="6"/>
  <c r="U4781" i="6" s="1"/>
  <c r="U4780" i="6"/>
  <c r="T4780" i="6"/>
  <c r="T4779" i="6"/>
  <c r="U4779" i="6" s="1"/>
  <c r="T4778" i="6"/>
  <c r="U4778" i="6" s="1"/>
  <c r="T4777" i="6"/>
  <c r="U4777" i="6" s="1"/>
  <c r="T4776" i="6"/>
  <c r="U4776" i="6" s="1"/>
  <c r="T4775" i="6"/>
  <c r="U4775" i="6" s="1"/>
  <c r="T4774" i="6"/>
  <c r="U4774" i="6" s="1"/>
  <c r="T4773" i="6"/>
  <c r="U4773" i="6" s="1"/>
  <c r="U4772" i="6"/>
  <c r="T4772" i="6"/>
  <c r="T4771" i="6"/>
  <c r="U4771" i="6" s="1"/>
  <c r="T4770" i="6"/>
  <c r="U4770" i="6" s="1"/>
  <c r="T4769" i="6"/>
  <c r="U4769" i="6" s="1"/>
  <c r="T4768" i="6"/>
  <c r="U4768" i="6" s="1"/>
  <c r="T4767" i="6"/>
  <c r="U4767" i="6" s="1"/>
  <c r="T4766" i="6"/>
  <c r="U4766" i="6" s="1"/>
  <c r="T4765" i="6"/>
  <c r="U4765" i="6" s="1"/>
  <c r="U4764" i="6"/>
  <c r="T4764" i="6"/>
  <c r="T4763" i="6"/>
  <c r="U4763" i="6" s="1"/>
  <c r="T4762" i="6"/>
  <c r="U4762" i="6" s="1"/>
  <c r="T4761" i="6"/>
  <c r="U4761" i="6" s="1"/>
  <c r="T4760" i="6"/>
  <c r="U4760" i="6" s="1"/>
  <c r="T4759" i="6"/>
  <c r="U4759" i="6" s="1"/>
  <c r="T4758" i="6"/>
  <c r="U4758" i="6" s="1"/>
  <c r="T4757" i="6"/>
  <c r="U4757" i="6" s="1"/>
  <c r="U4756" i="6"/>
  <c r="T4756" i="6"/>
  <c r="T4755" i="6"/>
  <c r="U4755" i="6" s="1"/>
  <c r="T4754" i="6"/>
  <c r="U4754" i="6" s="1"/>
  <c r="T4753" i="6"/>
  <c r="U4753" i="6" s="1"/>
  <c r="T4752" i="6"/>
  <c r="U4752" i="6" s="1"/>
  <c r="T4751" i="6"/>
  <c r="U4751" i="6" s="1"/>
  <c r="T4750" i="6"/>
  <c r="U4750" i="6" s="1"/>
  <c r="T4749" i="6"/>
  <c r="U4749" i="6" s="1"/>
  <c r="U4748" i="6"/>
  <c r="T4748" i="6"/>
  <c r="T4747" i="6"/>
  <c r="U4747" i="6" s="1"/>
  <c r="T4746" i="6"/>
  <c r="U4746" i="6" s="1"/>
  <c r="T4745" i="6"/>
  <c r="U4745" i="6" s="1"/>
  <c r="T4744" i="6"/>
  <c r="U4744" i="6" s="1"/>
  <c r="T4743" i="6"/>
  <c r="U4743" i="6" s="1"/>
  <c r="T4742" i="6"/>
  <c r="U4742" i="6" s="1"/>
  <c r="T4741" i="6"/>
  <c r="U4741" i="6" s="1"/>
  <c r="U4740" i="6"/>
  <c r="T4740" i="6"/>
  <c r="T4739" i="6"/>
  <c r="U4739" i="6" s="1"/>
  <c r="T4738" i="6"/>
  <c r="U4738" i="6" s="1"/>
  <c r="T4737" i="6"/>
  <c r="U4737" i="6" s="1"/>
  <c r="T4736" i="6"/>
  <c r="U4736" i="6" s="1"/>
  <c r="T4735" i="6"/>
  <c r="U4735" i="6" s="1"/>
  <c r="T4734" i="6"/>
  <c r="U4734" i="6" s="1"/>
  <c r="T4733" i="6"/>
  <c r="U4733" i="6" s="1"/>
  <c r="U4732" i="6"/>
  <c r="T4732" i="6"/>
  <c r="T4731" i="6"/>
  <c r="U4731" i="6" s="1"/>
  <c r="T4730" i="6"/>
  <c r="U4730" i="6" s="1"/>
  <c r="T4729" i="6"/>
  <c r="U4729" i="6" s="1"/>
  <c r="T4728" i="6"/>
  <c r="U4728" i="6" s="1"/>
  <c r="T4727" i="6"/>
  <c r="U4727" i="6" s="1"/>
  <c r="T4726" i="6"/>
  <c r="U4726" i="6" s="1"/>
  <c r="T4725" i="6"/>
  <c r="U4725" i="6" s="1"/>
  <c r="U4724" i="6"/>
  <c r="T4724" i="6"/>
  <c r="T4723" i="6"/>
  <c r="U4723" i="6" s="1"/>
  <c r="T4722" i="6"/>
  <c r="U4722" i="6" s="1"/>
  <c r="T4721" i="6"/>
  <c r="U4721" i="6" s="1"/>
  <c r="T4720" i="6"/>
  <c r="U4720" i="6" s="1"/>
  <c r="T4719" i="6"/>
  <c r="U4719" i="6" s="1"/>
  <c r="T4718" i="6"/>
  <c r="U4718" i="6" s="1"/>
  <c r="T4717" i="6"/>
  <c r="U4717" i="6" s="1"/>
  <c r="U4716" i="6"/>
  <c r="T4716" i="6"/>
  <c r="T4715" i="6"/>
  <c r="U4715" i="6" s="1"/>
  <c r="T4714" i="6"/>
  <c r="U4714" i="6" s="1"/>
  <c r="T4713" i="6"/>
  <c r="U4713" i="6" s="1"/>
  <c r="T4712" i="6"/>
  <c r="U4712" i="6" s="1"/>
  <c r="T4711" i="6"/>
  <c r="U4711" i="6" s="1"/>
  <c r="T4710" i="6"/>
  <c r="U4710" i="6" s="1"/>
  <c r="T4709" i="6"/>
  <c r="U4709" i="6" s="1"/>
  <c r="U4708" i="6"/>
  <c r="T4708" i="6"/>
  <c r="T4707" i="6"/>
  <c r="U4707" i="6" s="1"/>
  <c r="T4706" i="6"/>
  <c r="U4706" i="6" s="1"/>
  <c r="T4705" i="6"/>
  <c r="U4705" i="6" s="1"/>
  <c r="T4704" i="6"/>
  <c r="U4704" i="6" s="1"/>
  <c r="T4703" i="6"/>
  <c r="U4703" i="6" s="1"/>
  <c r="T4702" i="6"/>
  <c r="U4702" i="6" s="1"/>
  <c r="T4701" i="6"/>
  <c r="U4701" i="6" s="1"/>
  <c r="T4700" i="6"/>
  <c r="U4700" i="6" s="1"/>
  <c r="T4699" i="6"/>
  <c r="U4699" i="6" s="1"/>
  <c r="U4698" i="6"/>
  <c r="T4698" i="6"/>
  <c r="T4697" i="6"/>
  <c r="U4697" i="6" s="1"/>
  <c r="T4696" i="6"/>
  <c r="U4696" i="6" s="1"/>
  <c r="T4695" i="6"/>
  <c r="U4695" i="6" s="1"/>
  <c r="T4694" i="6"/>
  <c r="U4694" i="6" s="1"/>
  <c r="T4693" i="6"/>
  <c r="U4693" i="6" s="1"/>
  <c r="T4692" i="6"/>
  <c r="U4692" i="6" s="1"/>
  <c r="T4691" i="6"/>
  <c r="U4691" i="6" s="1"/>
  <c r="T4690" i="6"/>
  <c r="U4690" i="6" s="1"/>
  <c r="T4689" i="6"/>
  <c r="U4689" i="6" s="1"/>
  <c r="T4688" i="6"/>
  <c r="U4688" i="6" s="1"/>
  <c r="T4687" i="6"/>
  <c r="U4687" i="6" s="1"/>
  <c r="T4686" i="6"/>
  <c r="U4686" i="6" s="1"/>
  <c r="T4685" i="6"/>
  <c r="U4685" i="6" s="1"/>
  <c r="T4684" i="6"/>
  <c r="U4684" i="6" s="1"/>
  <c r="T4683" i="6"/>
  <c r="U4683" i="6" s="1"/>
  <c r="T4682" i="6"/>
  <c r="U4682" i="6" s="1"/>
  <c r="T4681" i="6"/>
  <c r="U4681" i="6" s="1"/>
  <c r="T4680" i="6"/>
  <c r="U4680" i="6" s="1"/>
  <c r="T4679" i="6"/>
  <c r="U4679" i="6" s="1"/>
  <c r="T4678" i="6"/>
  <c r="U4678" i="6" s="1"/>
  <c r="T4677" i="6"/>
  <c r="U4677" i="6" s="1"/>
  <c r="T4676" i="6"/>
  <c r="U4676" i="6" s="1"/>
  <c r="T4675" i="6"/>
  <c r="U4675" i="6" s="1"/>
  <c r="T4674" i="6"/>
  <c r="U4674" i="6" s="1"/>
  <c r="T4673" i="6"/>
  <c r="U4673" i="6" s="1"/>
  <c r="T4672" i="6"/>
  <c r="U4672" i="6" s="1"/>
  <c r="T4671" i="6"/>
  <c r="U4671" i="6" s="1"/>
  <c r="T4670" i="6"/>
  <c r="U4670" i="6" s="1"/>
  <c r="T4669" i="6"/>
  <c r="U4669" i="6" s="1"/>
  <c r="T4668" i="6"/>
  <c r="U4668" i="6" s="1"/>
  <c r="T4667" i="6"/>
  <c r="U4667" i="6" s="1"/>
  <c r="U4666" i="6"/>
  <c r="T4666" i="6"/>
  <c r="T4665" i="6"/>
  <c r="U4665" i="6" s="1"/>
  <c r="T4664" i="6"/>
  <c r="U4664" i="6" s="1"/>
  <c r="T4663" i="6"/>
  <c r="U4663" i="6" s="1"/>
  <c r="T4662" i="6"/>
  <c r="U4662" i="6" s="1"/>
  <c r="T4661" i="6"/>
  <c r="U4661" i="6" s="1"/>
  <c r="T4660" i="6"/>
  <c r="U4660" i="6" s="1"/>
  <c r="T4659" i="6"/>
  <c r="U4659" i="6" s="1"/>
  <c r="T4658" i="6"/>
  <c r="U4658" i="6" s="1"/>
  <c r="T4657" i="6"/>
  <c r="U4657" i="6" s="1"/>
  <c r="T4656" i="6"/>
  <c r="U4656" i="6" s="1"/>
  <c r="T4655" i="6"/>
  <c r="U4655" i="6" s="1"/>
  <c r="T4654" i="6"/>
  <c r="U4654" i="6" s="1"/>
  <c r="T4653" i="6"/>
  <c r="U4653" i="6" s="1"/>
  <c r="T4652" i="6"/>
  <c r="U4652" i="6" s="1"/>
  <c r="T4651" i="6"/>
  <c r="U4651" i="6" s="1"/>
  <c r="T4650" i="6"/>
  <c r="U4650" i="6" s="1"/>
  <c r="T4649" i="6"/>
  <c r="U4649" i="6" s="1"/>
  <c r="T4648" i="6"/>
  <c r="U4648" i="6" s="1"/>
  <c r="T4647" i="6"/>
  <c r="U4647" i="6" s="1"/>
  <c r="U4646" i="6"/>
  <c r="T4646" i="6"/>
  <c r="T4645" i="6"/>
  <c r="U4645" i="6" s="1"/>
  <c r="T4644" i="6"/>
  <c r="U4644" i="6" s="1"/>
  <c r="T4643" i="6"/>
  <c r="U4643" i="6" s="1"/>
  <c r="T4642" i="6"/>
  <c r="U4642" i="6" s="1"/>
  <c r="T4641" i="6"/>
  <c r="U4641" i="6" s="1"/>
  <c r="U4640" i="6"/>
  <c r="T4640" i="6"/>
  <c r="T4639" i="6"/>
  <c r="U4639" i="6" s="1"/>
  <c r="T4638" i="6"/>
  <c r="U4638" i="6" s="1"/>
  <c r="T4637" i="6"/>
  <c r="U4637" i="6" s="1"/>
  <c r="T4636" i="6"/>
  <c r="U4636" i="6" s="1"/>
  <c r="T4635" i="6"/>
  <c r="U4635" i="6" s="1"/>
  <c r="U4634" i="6"/>
  <c r="T4634" i="6"/>
  <c r="T4633" i="6"/>
  <c r="U4633" i="6" s="1"/>
  <c r="T4632" i="6"/>
  <c r="U4632" i="6" s="1"/>
  <c r="T4631" i="6"/>
  <c r="U4631" i="6" s="1"/>
  <c r="T4630" i="6"/>
  <c r="U4630" i="6" s="1"/>
  <c r="T4629" i="6"/>
  <c r="U4629" i="6" s="1"/>
  <c r="T4628" i="6"/>
  <c r="U4628" i="6" s="1"/>
  <c r="T4627" i="6"/>
  <c r="U4627" i="6" s="1"/>
  <c r="U4626" i="6"/>
  <c r="T4626" i="6"/>
  <c r="T4625" i="6"/>
  <c r="U4625" i="6" s="1"/>
  <c r="T4624" i="6"/>
  <c r="U4624" i="6" s="1"/>
  <c r="T4623" i="6"/>
  <c r="U4623" i="6" s="1"/>
  <c r="T4622" i="6"/>
  <c r="U4622" i="6" s="1"/>
  <c r="T4621" i="6"/>
  <c r="U4621" i="6" s="1"/>
  <c r="T4620" i="6"/>
  <c r="U4620" i="6" s="1"/>
  <c r="T4619" i="6"/>
  <c r="U4619" i="6" s="1"/>
  <c r="T4618" i="6"/>
  <c r="U4618" i="6" s="1"/>
  <c r="T4617" i="6"/>
  <c r="U4617" i="6" s="1"/>
  <c r="T4616" i="6"/>
  <c r="U4616" i="6" s="1"/>
  <c r="T4615" i="6"/>
  <c r="U4615" i="6" s="1"/>
  <c r="U4614" i="6"/>
  <c r="T4614" i="6"/>
  <c r="T4613" i="6"/>
  <c r="U4613" i="6" s="1"/>
  <c r="T4612" i="6"/>
  <c r="U4612" i="6" s="1"/>
  <c r="T4611" i="6"/>
  <c r="U4611" i="6" s="1"/>
  <c r="T4610" i="6"/>
  <c r="U4610" i="6" s="1"/>
  <c r="T4609" i="6"/>
  <c r="U4609" i="6" s="1"/>
  <c r="U4608" i="6"/>
  <c r="T4608" i="6"/>
  <c r="T4607" i="6"/>
  <c r="U4607" i="6" s="1"/>
  <c r="T4606" i="6"/>
  <c r="U4606" i="6" s="1"/>
  <c r="T4605" i="6"/>
  <c r="U4605" i="6" s="1"/>
  <c r="T4604" i="6"/>
  <c r="U4604" i="6" s="1"/>
  <c r="T4603" i="6"/>
  <c r="U4603" i="6" s="1"/>
  <c r="U4602" i="6"/>
  <c r="T4602" i="6"/>
  <c r="T4601" i="6"/>
  <c r="U4601" i="6" s="1"/>
  <c r="T4600" i="6"/>
  <c r="U4600" i="6" s="1"/>
  <c r="T4599" i="6"/>
  <c r="U4599" i="6" s="1"/>
  <c r="T4598" i="6"/>
  <c r="U4598" i="6" s="1"/>
  <c r="T4597" i="6"/>
  <c r="U4597" i="6" s="1"/>
  <c r="T4596" i="6"/>
  <c r="U4596" i="6" s="1"/>
  <c r="T4595" i="6"/>
  <c r="U4595" i="6" s="1"/>
  <c r="U4594" i="6"/>
  <c r="T4594" i="6"/>
  <c r="T4593" i="6"/>
  <c r="U4593" i="6" s="1"/>
  <c r="T4592" i="6"/>
  <c r="U4592" i="6" s="1"/>
  <c r="T4591" i="6"/>
  <c r="U4591" i="6" s="1"/>
  <c r="T4590" i="6"/>
  <c r="U4590" i="6" s="1"/>
  <c r="T4589" i="6"/>
  <c r="U4589" i="6" s="1"/>
  <c r="T4588" i="6"/>
  <c r="U4588" i="6" s="1"/>
  <c r="T4587" i="6"/>
  <c r="U4587" i="6" s="1"/>
  <c r="T4586" i="6"/>
  <c r="U4586" i="6" s="1"/>
  <c r="T4585" i="6"/>
  <c r="U4585" i="6" s="1"/>
  <c r="T4584" i="6"/>
  <c r="U4584" i="6" s="1"/>
  <c r="T4583" i="6"/>
  <c r="U4583" i="6" s="1"/>
  <c r="U4582" i="6"/>
  <c r="T4582" i="6"/>
  <c r="T4581" i="6"/>
  <c r="U4581" i="6" s="1"/>
  <c r="T4580" i="6"/>
  <c r="U4580" i="6" s="1"/>
  <c r="T4579" i="6"/>
  <c r="U4579" i="6" s="1"/>
  <c r="T4578" i="6"/>
  <c r="U4578" i="6" s="1"/>
  <c r="T4577" i="6"/>
  <c r="U4577" i="6" s="1"/>
  <c r="U4576" i="6"/>
  <c r="T4576" i="6"/>
  <c r="T4575" i="6"/>
  <c r="U4575" i="6" s="1"/>
  <c r="T4574" i="6"/>
  <c r="U4574" i="6" s="1"/>
  <c r="T4573" i="6"/>
  <c r="U4573" i="6" s="1"/>
  <c r="T4572" i="6"/>
  <c r="U4572" i="6" s="1"/>
  <c r="T4571" i="6"/>
  <c r="U4571" i="6" s="1"/>
  <c r="U4570" i="6"/>
  <c r="T4570" i="6"/>
  <c r="T4569" i="6"/>
  <c r="U4569" i="6" s="1"/>
  <c r="T4568" i="6"/>
  <c r="U4568" i="6" s="1"/>
  <c r="T4567" i="6"/>
  <c r="U4567" i="6" s="1"/>
  <c r="T4566" i="6"/>
  <c r="U4566" i="6" s="1"/>
  <c r="T4565" i="6"/>
  <c r="U4565" i="6" s="1"/>
  <c r="T4564" i="6"/>
  <c r="U4564" i="6" s="1"/>
  <c r="T4563" i="6"/>
  <c r="U4563" i="6" s="1"/>
  <c r="T4562" i="6"/>
  <c r="U4562" i="6" s="1"/>
  <c r="T4561" i="6"/>
  <c r="U4561" i="6" s="1"/>
  <c r="T4560" i="6"/>
  <c r="U4560" i="6" s="1"/>
  <c r="U4559" i="6"/>
  <c r="T4559" i="6"/>
  <c r="T4558" i="6"/>
  <c r="U4558" i="6" s="1"/>
  <c r="T4557" i="6"/>
  <c r="U4557" i="6" s="1"/>
  <c r="T4556" i="6"/>
  <c r="U4556" i="6" s="1"/>
  <c r="T4555" i="6"/>
  <c r="U4555" i="6" s="1"/>
  <c r="T4554" i="6"/>
  <c r="U4554" i="6" s="1"/>
  <c r="U4553" i="6"/>
  <c r="T4553" i="6"/>
  <c r="T4552" i="6"/>
  <c r="U4552" i="6" s="1"/>
  <c r="T4551" i="6"/>
  <c r="U4551" i="6" s="1"/>
  <c r="T4550" i="6"/>
  <c r="U4550" i="6" s="1"/>
  <c r="T4549" i="6"/>
  <c r="U4549" i="6" s="1"/>
  <c r="T4548" i="6"/>
  <c r="U4548" i="6" s="1"/>
  <c r="T4547" i="6"/>
  <c r="U4547" i="6" s="1"/>
  <c r="T4546" i="6"/>
  <c r="U4546" i="6" s="1"/>
  <c r="T4545" i="6"/>
  <c r="U4545" i="6" s="1"/>
  <c r="T4544" i="6"/>
  <c r="U4544" i="6" s="1"/>
  <c r="U4543" i="6"/>
  <c r="T4543" i="6"/>
  <c r="T4542" i="6"/>
  <c r="U4542" i="6" s="1"/>
  <c r="T4541" i="6"/>
  <c r="U4541" i="6" s="1"/>
  <c r="T4540" i="6"/>
  <c r="U4540" i="6" s="1"/>
  <c r="T4539" i="6"/>
  <c r="U4539" i="6" s="1"/>
  <c r="T4538" i="6"/>
  <c r="U4538" i="6" s="1"/>
  <c r="U4537" i="6"/>
  <c r="T4537" i="6"/>
  <c r="T4536" i="6"/>
  <c r="U4536" i="6" s="1"/>
  <c r="T4535" i="6"/>
  <c r="U4535" i="6" s="1"/>
  <c r="T4534" i="6"/>
  <c r="U4534" i="6" s="1"/>
  <c r="T4533" i="6"/>
  <c r="U4533" i="6" s="1"/>
  <c r="T4532" i="6"/>
  <c r="U4532" i="6" s="1"/>
  <c r="T4531" i="6"/>
  <c r="U4531" i="6" s="1"/>
  <c r="T4530" i="6"/>
  <c r="U4530" i="6" s="1"/>
  <c r="T4529" i="6"/>
  <c r="U4529" i="6" s="1"/>
  <c r="T4528" i="6"/>
  <c r="U4528" i="6" s="1"/>
  <c r="U4527" i="6"/>
  <c r="T4527" i="6"/>
  <c r="T4526" i="6"/>
  <c r="U4526" i="6" s="1"/>
  <c r="T4525" i="6"/>
  <c r="U4525" i="6" s="1"/>
  <c r="T4524" i="6"/>
  <c r="U4524" i="6" s="1"/>
  <c r="T4523" i="6"/>
  <c r="U4523" i="6" s="1"/>
  <c r="T4522" i="6"/>
  <c r="U4522" i="6" s="1"/>
  <c r="U4521" i="6"/>
  <c r="T4521" i="6"/>
  <c r="T4520" i="6"/>
  <c r="U4520" i="6" s="1"/>
  <c r="T4519" i="6"/>
  <c r="U4519" i="6" s="1"/>
  <c r="T4518" i="6"/>
  <c r="U4518" i="6" s="1"/>
  <c r="T4517" i="6"/>
  <c r="U4517" i="6" s="1"/>
  <c r="T4516" i="6"/>
  <c r="U4516" i="6" s="1"/>
  <c r="T4515" i="6"/>
  <c r="U4515" i="6" s="1"/>
  <c r="T4514" i="6"/>
  <c r="U4514" i="6" s="1"/>
  <c r="T4513" i="6"/>
  <c r="U4513" i="6" s="1"/>
  <c r="T4512" i="6"/>
  <c r="U4512" i="6" s="1"/>
  <c r="U4511" i="6"/>
  <c r="T4511" i="6"/>
  <c r="T4510" i="6"/>
  <c r="U4510" i="6" s="1"/>
  <c r="T4509" i="6"/>
  <c r="U4509" i="6" s="1"/>
  <c r="T4508" i="6"/>
  <c r="U4508" i="6" s="1"/>
  <c r="T4507" i="6"/>
  <c r="U4507" i="6" s="1"/>
  <c r="T4506" i="6"/>
  <c r="U4506" i="6" s="1"/>
  <c r="U4505" i="6"/>
  <c r="T4505" i="6"/>
  <c r="T4504" i="6"/>
  <c r="U4504" i="6" s="1"/>
  <c r="T4503" i="6"/>
  <c r="U4503" i="6" s="1"/>
  <c r="T4502" i="6"/>
  <c r="U4502" i="6" s="1"/>
  <c r="T4501" i="6"/>
  <c r="U4501" i="6" s="1"/>
  <c r="T4500" i="6"/>
  <c r="U4500" i="6" s="1"/>
  <c r="T4499" i="6"/>
  <c r="U4499" i="6" s="1"/>
  <c r="T4498" i="6"/>
  <c r="U4498" i="6" s="1"/>
  <c r="T4497" i="6"/>
  <c r="U4497" i="6" s="1"/>
  <c r="T4496" i="6"/>
  <c r="U4496" i="6" s="1"/>
  <c r="U4495" i="6"/>
  <c r="T4495" i="6"/>
  <c r="T4494" i="6"/>
  <c r="U4494" i="6" s="1"/>
  <c r="T4493" i="6"/>
  <c r="U4493" i="6" s="1"/>
  <c r="T4492" i="6"/>
  <c r="U4492" i="6" s="1"/>
  <c r="T4491" i="6"/>
  <c r="U4491" i="6" s="1"/>
  <c r="T4490" i="6"/>
  <c r="U4490" i="6" s="1"/>
  <c r="U4489" i="6"/>
  <c r="T4489" i="6"/>
  <c r="T4488" i="6"/>
  <c r="U4488" i="6" s="1"/>
  <c r="T4487" i="6"/>
  <c r="U4487" i="6" s="1"/>
  <c r="T4486" i="6"/>
  <c r="U4486" i="6" s="1"/>
  <c r="T4485" i="6"/>
  <c r="U4485" i="6" s="1"/>
  <c r="T4484" i="6"/>
  <c r="U4484" i="6" s="1"/>
  <c r="T4483" i="6"/>
  <c r="U4483" i="6" s="1"/>
  <c r="T4482" i="6"/>
  <c r="U4482" i="6" s="1"/>
  <c r="T4481" i="6"/>
  <c r="U4481" i="6" s="1"/>
  <c r="T4480" i="6"/>
  <c r="U4480" i="6" s="1"/>
  <c r="U4479" i="6"/>
  <c r="T4479" i="6"/>
  <c r="T4478" i="6"/>
  <c r="U4478" i="6" s="1"/>
  <c r="T4477" i="6"/>
  <c r="U4477" i="6" s="1"/>
  <c r="T4476" i="6"/>
  <c r="U4476" i="6" s="1"/>
  <c r="T4475" i="6"/>
  <c r="U4475" i="6" s="1"/>
  <c r="T4474" i="6"/>
  <c r="U4474" i="6" s="1"/>
  <c r="U4473" i="6"/>
  <c r="T4473" i="6"/>
  <c r="T4472" i="6"/>
  <c r="U4472" i="6" s="1"/>
  <c r="T4471" i="6"/>
  <c r="U4471" i="6" s="1"/>
  <c r="T4470" i="6"/>
  <c r="U4470" i="6" s="1"/>
  <c r="T4469" i="6"/>
  <c r="U4469" i="6" s="1"/>
  <c r="T4468" i="6"/>
  <c r="U4468" i="6" s="1"/>
  <c r="T4467" i="6"/>
  <c r="U4467" i="6" s="1"/>
  <c r="T4466" i="6"/>
  <c r="U4466" i="6" s="1"/>
  <c r="T4465" i="6"/>
  <c r="U4465" i="6" s="1"/>
  <c r="T4464" i="6"/>
  <c r="U4464" i="6" s="1"/>
  <c r="U4463" i="6"/>
  <c r="T4463" i="6"/>
  <c r="T4462" i="6"/>
  <c r="U4462" i="6" s="1"/>
  <c r="T4461" i="6"/>
  <c r="U4461" i="6" s="1"/>
  <c r="T4460" i="6"/>
  <c r="U4460" i="6" s="1"/>
  <c r="T4459" i="6"/>
  <c r="U4459" i="6" s="1"/>
  <c r="T4458" i="6"/>
  <c r="U4458" i="6" s="1"/>
  <c r="U4457" i="6"/>
  <c r="T4457" i="6"/>
  <c r="T4456" i="6"/>
  <c r="U4456" i="6" s="1"/>
  <c r="T4455" i="6"/>
  <c r="U4455" i="6" s="1"/>
  <c r="T4454" i="6"/>
  <c r="U4454" i="6" s="1"/>
  <c r="T4453" i="6"/>
  <c r="U4453" i="6" s="1"/>
  <c r="T4452" i="6"/>
  <c r="U4452" i="6" s="1"/>
  <c r="T4451" i="6"/>
  <c r="U4451" i="6" s="1"/>
  <c r="T4450" i="6"/>
  <c r="U4450" i="6" s="1"/>
  <c r="T4449" i="6"/>
  <c r="U4449" i="6" s="1"/>
  <c r="T4448" i="6"/>
  <c r="U4448" i="6" s="1"/>
  <c r="U4447" i="6"/>
  <c r="T4447" i="6"/>
  <c r="T4446" i="6"/>
  <c r="U4446" i="6" s="1"/>
  <c r="T4445" i="6"/>
  <c r="U4445" i="6" s="1"/>
  <c r="T4444" i="6"/>
  <c r="U4444" i="6" s="1"/>
  <c r="T4443" i="6"/>
  <c r="U4443" i="6" s="1"/>
  <c r="T4442" i="6"/>
  <c r="U4442" i="6" s="1"/>
  <c r="U4441" i="6"/>
  <c r="T4441" i="6"/>
  <c r="T4440" i="6"/>
  <c r="U4440" i="6" s="1"/>
  <c r="T4439" i="6"/>
  <c r="U4439" i="6" s="1"/>
  <c r="T4438" i="6"/>
  <c r="U4438" i="6" s="1"/>
  <c r="T4437" i="6"/>
  <c r="U4437" i="6" s="1"/>
  <c r="T4436" i="6"/>
  <c r="U4436" i="6" s="1"/>
  <c r="T4435" i="6"/>
  <c r="U4435" i="6" s="1"/>
  <c r="T4434" i="6"/>
  <c r="U4434" i="6" s="1"/>
  <c r="T4433" i="6"/>
  <c r="U4433" i="6" s="1"/>
  <c r="T4432" i="6"/>
  <c r="U4432" i="6" s="1"/>
  <c r="U4431" i="6"/>
  <c r="T4431" i="6"/>
  <c r="T4430" i="6"/>
  <c r="U4430" i="6" s="1"/>
  <c r="T4429" i="6"/>
  <c r="U4429" i="6" s="1"/>
  <c r="U4428" i="6"/>
  <c r="T4428" i="6"/>
  <c r="T4427" i="6"/>
  <c r="U4427" i="6" s="1"/>
  <c r="U4426" i="6"/>
  <c r="T4426" i="6"/>
  <c r="T4425" i="6"/>
  <c r="U4425" i="6" s="1"/>
  <c r="T4424" i="6"/>
  <c r="U4424" i="6" s="1"/>
  <c r="T4423" i="6"/>
  <c r="U4423" i="6" s="1"/>
  <c r="T4422" i="6"/>
  <c r="U4422" i="6" s="1"/>
  <c r="T4421" i="6"/>
  <c r="U4421" i="6" s="1"/>
  <c r="U4420" i="6"/>
  <c r="T4420" i="6"/>
  <c r="T4419" i="6"/>
  <c r="U4419" i="6" s="1"/>
  <c r="U4418" i="6"/>
  <c r="T4418" i="6"/>
  <c r="T4417" i="6"/>
  <c r="U4417" i="6" s="1"/>
  <c r="T4416" i="6"/>
  <c r="U4416" i="6" s="1"/>
  <c r="T4415" i="6"/>
  <c r="U4415" i="6" s="1"/>
  <c r="T4414" i="6"/>
  <c r="U4414" i="6" s="1"/>
  <c r="T4413" i="6"/>
  <c r="U4413" i="6" s="1"/>
  <c r="U4412" i="6"/>
  <c r="T4412" i="6"/>
  <c r="T4411" i="6"/>
  <c r="U4411" i="6" s="1"/>
  <c r="U4410" i="6"/>
  <c r="T4410" i="6"/>
  <c r="T4409" i="6"/>
  <c r="U4409" i="6" s="1"/>
  <c r="T4408" i="6"/>
  <c r="U4408" i="6" s="1"/>
  <c r="T4407" i="6"/>
  <c r="U4407" i="6" s="1"/>
  <c r="T4406" i="6"/>
  <c r="U4406" i="6" s="1"/>
  <c r="T4405" i="6"/>
  <c r="U4405" i="6" s="1"/>
  <c r="U4404" i="6"/>
  <c r="T4404" i="6"/>
  <c r="T4403" i="6"/>
  <c r="U4403" i="6" s="1"/>
  <c r="U4402" i="6"/>
  <c r="T4402" i="6"/>
  <c r="T4401" i="6"/>
  <c r="U4401" i="6" s="1"/>
  <c r="T4400" i="6"/>
  <c r="U4400" i="6" s="1"/>
  <c r="T4399" i="6"/>
  <c r="U4399" i="6" s="1"/>
  <c r="T4398" i="6"/>
  <c r="U4398" i="6" s="1"/>
  <c r="T4397" i="6"/>
  <c r="U4397" i="6" s="1"/>
  <c r="U4396" i="6"/>
  <c r="T4396" i="6"/>
  <c r="T4395" i="6"/>
  <c r="U4395" i="6" s="1"/>
  <c r="U4394" i="6"/>
  <c r="T4394" i="6"/>
  <c r="T4393" i="6"/>
  <c r="U4393" i="6" s="1"/>
  <c r="T4392" i="6"/>
  <c r="U4392" i="6" s="1"/>
  <c r="T4391" i="6"/>
  <c r="U4391" i="6" s="1"/>
  <c r="T4390" i="6"/>
  <c r="U4390" i="6" s="1"/>
  <c r="T4389" i="6"/>
  <c r="U4389" i="6" s="1"/>
  <c r="U4388" i="6"/>
  <c r="T4388" i="6"/>
  <c r="T4387" i="6"/>
  <c r="U4387" i="6" s="1"/>
  <c r="U4386" i="6"/>
  <c r="T4386" i="6"/>
  <c r="T4385" i="6"/>
  <c r="U4385" i="6" s="1"/>
  <c r="T4384" i="6"/>
  <c r="U4384" i="6" s="1"/>
  <c r="T4383" i="6"/>
  <c r="U4383" i="6" s="1"/>
  <c r="T4382" i="6"/>
  <c r="U4382" i="6" s="1"/>
  <c r="T4381" i="6"/>
  <c r="U4381" i="6" s="1"/>
  <c r="U4380" i="6"/>
  <c r="T4380" i="6"/>
  <c r="T4379" i="6"/>
  <c r="U4379" i="6" s="1"/>
  <c r="U4378" i="6"/>
  <c r="T4378" i="6"/>
  <c r="T4377" i="6"/>
  <c r="U4377" i="6" s="1"/>
  <c r="T4376" i="6"/>
  <c r="U4376" i="6" s="1"/>
  <c r="T4375" i="6"/>
  <c r="U4375" i="6" s="1"/>
  <c r="T4374" i="6"/>
  <c r="U4374" i="6" s="1"/>
  <c r="T4373" i="6"/>
  <c r="U4373" i="6" s="1"/>
  <c r="U4372" i="6"/>
  <c r="T4372" i="6"/>
  <c r="T4371" i="6"/>
  <c r="U4371" i="6" s="1"/>
  <c r="U4370" i="6"/>
  <c r="T4370" i="6"/>
  <c r="T4369" i="6"/>
  <c r="U4369" i="6" s="1"/>
  <c r="T4368" i="6"/>
  <c r="U4368" i="6" s="1"/>
  <c r="T4367" i="6"/>
  <c r="U4367" i="6" s="1"/>
  <c r="T4366" i="6"/>
  <c r="U4366" i="6" s="1"/>
  <c r="T4365" i="6"/>
  <c r="U4365" i="6" s="1"/>
  <c r="U4364" i="6"/>
  <c r="T4364" i="6"/>
  <c r="T4363" i="6"/>
  <c r="U4363" i="6" s="1"/>
  <c r="U4362" i="6"/>
  <c r="T4362" i="6"/>
  <c r="T4361" i="6"/>
  <c r="U4361" i="6" s="1"/>
  <c r="T4360" i="6"/>
  <c r="U4360" i="6" s="1"/>
  <c r="T4359" i="6"/>
  <c r="U4359" i="6" s="1"/>
  <c r="T4358" i="6"/>
  <c r="U4358" i="6" s="1"/>
  <c r="T4357" i="6"/>
  <c r="U4357" i="6" s="1"/>
  <c r="U4356" i="6"/>
  <c r="T4356" i="6"/>
  <c r="T4355" i="6"/>
  <c r="U4355" i="6" s="1"/>
  <c r="U4354" i="6"/>
  <c r="T4354" i="6"/>
  <c r="T4353" i="6"/>
  <c r="U4353" i="6" s="1"/>
  <c r="T4352" i="6"/>
  <c r="U4352" i="6" s="1"/>
  <c r="T4351" i="6"/>
  <c r="U4351" i="6" s="1"/>
  <c r="T4350" i="6"/>
  <c r="U4350" i="6" s="1"/>
  <c r="T4349" i="6"/>
  <c r="U4349" i="6" s="1"/>
  <c r="U4348" i="6"/>
  <c r="T4348" i="6"/>
  <c r="T4347" i="6"/>
  <c r="U4347" i="6" s="1"/>
  <c r="U4346" i="6"/>
  <c r="T4346" i="6"/>
  <c r="T4345" i="6"/>
  <c r="U4345" i="6" s="1"/>
  <c r="T4344" i="6"/>
  <c r="U4344" i="6" s="1"/>
  <c r="T4343" i="6"/>
  <c r="U4343" i="6" s="1"/>
  <c r="T4342" i="6"/>
  <c r="U4342" i="6" s="1"/>
  <c r="T4341" i="6"/>
  <c r="U4341" i="6" s="1"/>
  <c r="U4340" i="6"/>
  <c r="T4340" i="6"/>
  <c r="T4339" i="6"/>
  <c r="U4339" i="6" s="1"/>
  <c r="U4338" i="6"/>
  <c r="T4338" i="6"/>
  <c r="T4337" i="6"/>
  <c r="U4337" i="6" s="1"/>
  <c r="T4336" i="6"/>
  <c r="U4336" i="6" s="1"/>
  <c r="T4335" i="6"/>
  <c r="U4335" i="6" s="1"/>
  <c r="T4334" i="6"/>
  <c r="U4334" i="6" s="1"/>
  <c r="T4333" i="6"/>
  <c r="U4333" i="6" s="1"/>
  <c r="U4332" i="6"/>
  <c r="T4332" i="6"/>
  <c r="T4331" i="6"/>
  <c r="U4331" i="6" s="1"/>
  <c r="U4330" i="6"/>
  <c r="T4330" i="6"/>
  <c r="T4329" i="6"/>
  <c r="U4329" i="6" s="1"/>
  <c r="T4328" i="6"/>
  <c r="U4328" i="6" s="1"/>
  <c r="T4327" i="6"/>
  <c r="U4327" i="6" s="1"/>
  <c r="T4326" i="6"/>
  <c r="U4326" i="6" s="1"/>
  <c r="T4325" i="6"/>
  <c r="U4325" i="6" s="1"/>
  <c r="U4324" i="6"/>
  <c r="T4324" i="6"/>
  <c r="T4323" i="6"/>
  <c r="U4323" i="6" s="1"/>
  <c r="U4322" i="6"/>
  <c r="T4322" i="6"/>
  <c r="T4321" i="6"/>
  <c r="U4321" i="6" s="1"/>
  <c r="T4320" i="6"/>
  <c r="U4320" i="6" s="1"/>
  <c r="T4319" i="6"/>
  <c r="U4319" i="6" s="1"/>
  <c r="T4318" i="6"/>
  <c r="U4318" i="6" s="1"/>
  <c r="T4317" i="6"/>
  <c r="U4317" i="6" s="1"/>
  <c r="U4316" i="6"/>
  <c r="T4316" i="6"/>
  <c r="T4315" i="6"/>
  <c r="U4315" i="6" s="1"/>
  <c r="U4314" i="6"/>
  <c r="T4314" i="6"/>
  <c r="T4313" i="6"/>
  <c r="U4313" i="6" s="1"/>
  <c r="T4312" i="6"/>
  <c r="U4312" i="6" s="1"/>
  <c r="T4311" i="6"/>
  <c r="U4311" i="6" s="1"/>
  <c r="T4310" i="6"/>
  <c r="U4310" i="6" s="1"/>
  <c r="T4309" i="6"/>
  <c r="U4309" i="6" s="1"/>
  <c r="U4308" i="6"/>
  <c r="T4308" i="6"/>
  <c r="T4307" i="6"/>
  <c r="U4307" i="6" s="1"/>
  <c r="U4306" i="6"/>
  <c r="T4306" i="6"/>
  <c r="T4305" i="6"/>
  <c r="U4305" i="6" s="1"/>
  <c r="T4304" i="6"/>
  <c r="U4304" i="6" s="1"/>
  <c r="T4303" i="6"/>
  <c r="U4303" i="6" s="1"/>
  <c r="T4302" i="6"/>
  <c r="U4302" i="6" s="1"/>
  <c r="T4301" i="6"/>
  <c r="U4301" i="6" s="1"/>
  <c r="U4300" i="6"/>
  <c r="T4300" i="6"/>
  <c r="T4299" i="6"/>
  <c r="U4299" i="6" s="1"/>
  <c r="U4298" i="6"/>
  <c r="T4298" i="6"/>
  <c r="T4297" i="6"/>
  <c r="U4297" i="6" s="1"/>
  <c r="T4296" i="6"/>
  <c r="U4296" i="6" s="1"/>
  <c r="T4295" i="6"/>
  <c r="U4295" i="6" s="1"/>
  <c r="T4294" i="6"/>
  <c r="U4294" i="6" s="1"/>
  <c r="T4293" i="6"/>
  <c r="U4293" i="6" s="1"/>
  <c r="U4292" i="6"/>
  <c r="T4292" i="6"/>
  <c r="T4291" i="6"/>
  <c r="U4291" i="6" s="1"/>
  <c r="U4290" i="6"/>
  <c r="T4290" i="6"/>
  <c r="T4289" i="6"/>
  <c r="U4289" i="6" s="1"/>
  <c r="T4288" i="6"/>
  <c r="U4288" i="6" s="1"/>
  <c r="T4287" i="6"/>
  <c r="U4287" i="6" s="1"/>
  <c r="T4286" i="6"/>
  <c r="U4286" i="6" s="1"/>
  <c r="T4285" i="6"/>
  <c r="U4285" i="6" s="1"/>
  <c r="U4284" i="6"/>
  <c r="T4284" i="6"/>
  <c r="T4283" i="6"/>
  <c r="U4283" i="6" s="1"/>
  <c r="U4282" i="6"/>
  <c r="T4282" i="6"/>
  <c r="T4281" i="6"/>
  <c r="U4281" i="6" s="1"/>
  <c r="T4280" i="6"/>
  <c r="U4280" i="6" s="1"/>
  <c r="T4279" i="6"/>
  <c r="U4279" i="6" s="1"/>
  <c r="T4278" i="6"/>
  <c r="U4278" i="6" s="1"/>
  <c r="T4277" i="6"/>
  <c r="U4277" i="6" s="1"/>
  <c r="U4276" i="6"/>
  <c r="T4276" i="6"/>
  <c r="T4275" i="6"/>
  <c r="U4275" i="6" s="1"/>
  <c r="U4274" i="6"/>
  <c r="T4274" i="6"/>
  <c r="T4273" i="6"/>
  <c r="U4273" i="6" s="1"/>
  <c r="T4272" i="6"/>
  <c r="U4272" i="6" s="1"/>
  <c r="T4271" i="6"/>
  <c r="U4271" i="6" s="1"/>
  <c r="T4270" i="6"/>
  <c r="U4270" i="6" s="1"/>
  <c r="T4269" i="6"/>
  <c r="U4269" i="6" s="1"/>
  <c r="U4268" i="6"/>
  <c r="T4268" i="6"/>
  <c r="T4267" i="6"/>
  <c r="U4267" i="6" s="1"/>
  <c r="U4266" i="6"/>
  <c r="T4266" i="6"/>
  <c r="T4265" i="6"/>
  <c r="U4265" i="6" s="1"/>
  <c r="T4264" i="6"/>
  <c r="U4264" i="6" s="1"/>
  <c r="T4263" i="6"/>
  <c r="U4263" i="6" s="1"/>
  <c r="T4262" i="6"/>
  <c r="U4262" i="6" s="1"/>
  <c r="T4261" i="6"/>
  <c r="U4261" i="6" s="1"/>
  <c r="T4260" i="6"/>
  <c r="U4260" i="6" s="1"/>
  <c r="T4259" i="6"/>
  <c r="U4259" i="6" s="1"/>
  <c r="U4258" i="6"/>
  <c r="T4258" i="6"/>
  <c r="T4257" i="6"/>
  <c r="U4257" i="6" s="1"/>
  <c r="T4256" i="6"/>
  <c r="U4256" i="6" s="1"/>
  <c r="T4255" i="6"/>
  <c r="U4255" i="6" s="1"/>
  <c r="T4254" i="6"/>
  <c r="U4254" i="6" s="1"/>
  <c r="T4253" i="6"/>
  <c r="U4253" i="6" s="1"/>
  <c r="T4252" i="6"/>
  <c r="U4252" i="6" s="1"/>
  <c r="T4251" i="6"/>
  <c r="U4251" i="6" s="1"/>
  <c r="U4250" i="6"/>
  <c r="T4250" i="6"/>
  <c r="T4249" i="6"/>
  <c r="U4249" i="6" s="1"/>
  <c r="T4248" i="6"/>
  <c r="U4248" i="6" s="1"/>
  <c r="T4247" i="6"/>
  <c r="U4247" i="6" s="1"/>
  <c r="T4246" i="6"/>
  <c r="U4246" i="6" s="1"/>
  <c r="T4245" i="6"/>
  <c r="U4245" i="6" s="1"/>
  <c r="T4244" i="6"/>
  <c r="U4244" i="6" s="1"/>
  <c r="T4243" i="6"/>
  <c r="U4243" i="6" s="1"/>
  <c r="U4242" i="6"/>
  <c r="T4242" i="6"/>
  <c r="T4241" i="6"/>
  <c r="U4241" i="6" s="1"/>
  <c r="T4240" i="6"/>
  <c r="U4240" i="6" s="1"/>
  <c r="T4239" i="6"/>
  <c r="U4239" i="6" s="1"/>
  <c r="T4238" i="6"/>
  <c r="U4238" i="6" s="1"/>
  <c r="T4237" i="6"/>
  <c r="U4237" i="6" s="1"/>
  <c r="T4236" i="6"/>
  <c r="U4236" i="6" s="1"/>
  <c r="T4235" i="6"/>
  <c r="U4235" i="6" s="1"/>
  <c r="U4234" i="6"/>
  <c r="T4234" i="6"/>
  <c r="T4233" i="6"/>
  <c r="U4233" i="6" s="1"/>
  <c r="T4232" i="6"/>
  <c r="U4232" i="6" s="1"/>
  <c r="T4231" i="6"/>
  <c r="U4231" i="6" s="1"/>
  <c r="T4230" i="6"/>
  <c r="U4230" i="6" s="1"/>
  <c r="T4229" i="6"/>
  <c r="U4229" i="6" s="1"/>
  <c r="T4228" i="6"/>
  <c r="U4228" i="6" s="1"/>
  <c r="T4227" i="6"/>
  <c r="U4227" i="6" s="1"/>
  <c r="U4226" i="6"/>
  <c r="T4226" i="6"/>
  <c r="T4225" i="6"/>
  <c r="U4225" i="6" s="1"/>
  <c r="T4224" i="6"/>
  <c r="U4224" i="6" s="1"/>
  <c r="T4223" i="6"/>
  <c r="U4223" i="6" s="1"/>
  <c r="T4222" i="6"/>
  <c r="U4222" i="6" s="1"/>
  <c r="T4221" i="6"/>
  <c r="U4221" i="6" s="1"/>
  <c r="T4220" i="6"/>
  <c r="U4220" i="6" s="1"/>
  <c r="T4219" i="6"/>
  <c r="U4219" i="6" s="1"/>
  <c r="U4218" i="6"/>
  <c r="T4218" i="6"/>
  <c r="T4217" i="6"/>
  <c r="U4217" i="6" s="1"/>
  <c r="U4216" i="6"/>
  <c r="T4216" i="6"/>
  <c r="T4215" i="6"/>
  <c r="U4215" i="6" s="1"/>
  <c r="T4214" i="6"/>
  <c r="U4214" i="6" s="1"/>
  <c r="T4213" i="6"/>
  <c r="U4213" i="6" s="1"/>
  <c r="T4212" i="6"/>
  <c r="U4212" i="6" s="1"/>
  <c r="T4211" i="6"/>
  <c r="U4211" i="6" s="1"/>
  <c r="U4210" i="6"/>
  <c r="T4210" i="6"/>
  <c r="T4209" i="6"/>
  <c r="U4209" i="6" s="1"/>
  <c r="U4208" i="6"/>
  <c r="T4208" i="6"/>
  <c r="T4207" i="6"/>
  <c r="U4207" i="6" s="1"/>
  <c r="T4206" i="6"/>
  <c r="U4206" i="6" s="1"/>
  <c r="T4205" i="6"/>
  <c r="U4205" i="6" s="1"/>
  <c r="T4204" i="6"/>
  <c r="U4204" i="6" s="1"/>
  <c r="T4203" i="6"/>
  <c r="U4203" i="6" s="1"/>
  <c r="U4202" i="6"/>
  <c r="T4202" i="6"/>
  <c r="T4201" i="6"/>
  <c r="U4201" i="6" s="1"/>
  <c r="U4200" i="6"/>
  <c r="T4200" i="6"/>
  <c r="T4199" i="6"/>
  <c r="U4199" i="6" s="1"/>
  <c r="T4198" i="6"/>
  <c r="U4198" i="6" s="1"/>
  <c r="T4197" i="6"/>
  <c r="U4197" i="6" s="1"/>
  <c r="T4196" i="6"/>
  <c r="U4196" i="6" s="1"/>
  <c r="T4195" i="6"/>
  <c r="U4195" i="6" s="1"/>
  <c r="T4194" i="6"/>
  <c r="U4194" i="6" s="1"/>
  <c r="T4193" i="6"/>
  <c r="U4193" i="6" s="1"/>
  <c r="T4192" i="6"/>
  <c r="U4192" i="6" s="1"/>
  <c r="T4191" i="6"/>
  <c r="U4191" i="6" s="1"/>
  <c r="T4190" i="6"/>
  <c r="U4190" i="6" s="1"/>
  <c r="T4189" i="6"/>
  <c r="U4189" i="6" s="1"/>
  <c r="T4188" i="6"/>
  <c r="U4188" i="6" s="1"/>
  <c r="T4187" i="6"/>
  <c r="U4187" i="6" s="1"/>
  <c r="T4186" i="6"/>
  <c r="U4186" i="6" s="1"/>
  <c r="T4185" i="6"/>
  <c r="U4185" i="6" s="1"/>
  <c r="U4184" i="6"/>
  <c r="T4184" i="6"/>
  <c r="T4183" i="6"/>
  <c r="U4183" i="6" s="1"/>
  <c r="U4182" i="6"/>
  <c r="T4182" i="6"/>
  <c r="T4181" i="6"/>
  <c r="U4181" i="6" s="1"/>
  <c r="T4180" i="6"/>
  <c r="U4180" i="6" s="1"/>
  <c r="T4179" i="6"/>
  <c r="U4179" i="6" s="1"/>
  <c r="T4178" i="6"/>
  <c r="U4178" i="6" s="1"/>
  <c r="T4177" i="6"/>
  <c r="U4177" i="6" s="1"/>
  <c r="T4176" i="6"/>
  <c r="U4176" i="6" s="1"/>
  <c r="T4175" i="6"/>
  <c r="U4175" i="6" s="1"/>
  <c r="T4174" i="6"/>
  <c r="U4174" i="6" s="1"/>
  <c r="T4173" i="6"/>
  <c r="U4173" i="6" s="1"/>
  <c r="T4172" i="6"/>
  <c r="U4172" i="6" s="1"/>
  <c r="T4171" i="6"/>
  <c r="U4171" i="6" s="1"/>
  <c r="T4170" i="6"/>
  <c r="U4170" i="6" s="1"/>
  <c r="T4169" i="6"/>
  <c r="U4169" i="6" s="1"/>
  <c r="U4168" i="6"/>
  <c r="T4168" i="6"/>
  <c r="T4167" i="6"/>
  <c r="U4167" i="6" s="1"/>
  <c r="U4166" i="6"/>
  <c r="T4166" i="6"/>
  <c r="T4165" i="6"/>
  <c r="U4165" i="6" s="1"/>
  <c r="T4164" i="6"/>
  <c r="U4164" i="6" s="1"/>
  <c r="T4163" i="6"/>
  <c r="U4163" i="6" s="1"/>
  <c r="T4162" i="6"/>
  <c r="U4162" i="6" s="1"/>
  <c r="T4161" i="6"/>
  <c r="U4161" i="6" s="1"/>
  <c r="T4160" i="6"/>
  <c r="U4160" i="6" s="1"/>
  <c r="T4159" i="6"/>
  <c r="U4159" i="6" s="1"/>
  <c r="T4158" i="6"/>
  <c r="U4158" i="6" s="1"/>
  <c r="T4157" i="6"/>
  <c r="U4157" i="6" s="1"/>
  <c r="T4156" i="6"/>
  <c r="U4156" i="6" s="1"/>
  <c r="T4155" i="6"/>
  <c r="U4155" i="6" s="1"/>
  <c r="T4154" i="6"/>
  <c r="U4154" i="6" s="1"/>
  <c r="T4153" i="6"/>
  <c r="U4153" i="6" s="1"/>
  <c r="U4152" i="6"/>
  <c r="T4152" i="6"/>
  <c r="T4151" i="6"/>
  <c r="U4151" i="6" s="1"/>
  <c r="T4150" i="6"/>
  <c r="U4150" i="6" s="1"/>
  <c r="T4149" i="6"/>
  <c r="U4149" i="6" s="1"/>
  <c r="T4148" i="6"/>
  <c r="U4148" i="6" s="1"/>
  <c r="T4147" i="6"/>
  <c r="U4147" i="6" s="1"/>
  <c r="T4146" i="6"/>
  <c r="U4146" i="6" s="1"/>
  <c r="T4145" i="6"/>
  <c r="U4145" i="6" s="1"/>
  <c r="U4144" i="6"/>
  <c r="T4144" i="6"/>
  <c r="T4143" i="6"/>
  <c r="U4143" i="6" s="1"/>
  <c r="T4142" i="6"/>
  <c r="U4142" i="6" s="1"/>
  <c r="T4141" i="6"/>
  <c r="U4141" i="6" s="1"/>
  <c r="T4140" i="6"/>
  <c r="U4140" i="6" s="1"/>
  <c r="T4139" i="6"/>
  <c r="U4139" i="6" s="1"/>
  <c r="T4138" i="6"/>
  <c r="U4138" i="6" s="1"/>
  <c r="T4137" i="6"/>
  <c r="U4137" i="6" s="1"/>
  <c r="T4136" i="6"/>
  <c r="U4136" i="6" s="1"/>
  <c r="T4135" i="6"/>
  <c r="U4135" i="6" s="1"/>
  <c r="U4134" i="6"/>
  <c r="T4134" i="6"/>
  <c r="T4133" i="6"/>
  <c r="U4133" i="6" s="1"/>
  <c r="T4132" i="6"/>
  <c r="U4132" i="6" s="1"/>
  <c r="T4131" i="6"/>
  <c r="U4131" i="6" s="1"/>
  <c r="T4130" i="6"/>
  <c r="U4130" i="6" s="1"/>
  <c r="T4129" i="6"/>
  <c r="U4129" i="6" s="1"/>
  <c r="T4128" i="6"/>
  <c r="U4128" i="6" s="1"/>
  <c r="T4127" i="6"/>
  <c r="U4127" i="6" s="1"/>
  <c r="U4126" i="6"/>
  <c r="T4126" i="6"/>
  <c r="T4125" i="6"/>
  <c r="U4125" i="6" s="1"/>
  <c r="T4124" i="6"/>
  <c r="U4124" i="6" s="1"/>
  <c r="T4123" i="6"/>
  <c r="U4123" i="6" s="1"/>
  <c r="T4122" i="6"/>
  <c r="U4122" i="6" s="1"/>
  <c r="T4121" i="6"/>
  <c r="U4121" i="6" s="1"/>
  <c r="T4120" i="6"/>
  <c r="U4120" i="6" s="1"/>
  <c r="T4119" i="6"/>
  <c r="U4119" i="6" s="1"/>
  <c r="U4118" i="6"/>
  <c r="T4118" i="6"/>
  <c r="T4117" i="6"/>
  <c r="U4117" i="6" s="1"/>
  <c r="T4116" i="6"/>
  <c r="U4116" i="6" s="1"/>
  <c r="T4115" i="6"/>
  <c r="U4115" i="6" s="1"/>
  <c r="T4114" i="6"/>
  <c r="U4114" i="6" s="1"/>
  <c r="T4113" i="6"/>
  <c r="U4113" i="6" s="1"/>
  <c r="T4112" i="6"/>
  <c r="U4112" i="6" s="1"/>
  <c r="T4111" i="6"/>
  <c r="U4111" i="6" s="1"/>
  <c r="U4110" i="6"/>
  <c r="T4110" i="6"/>
  <c r="T4109" i="6"/>
  <c r="U4109" i="6" s="1"/>
  <c r="T4108" i="6"/>
  <c r="U4108" i="6" s="1"/>
  <c r="T4107" i="6"/>
  <c r="U4107" i="6" s="1"/>
  <c r="T4106" i="6"/>
  <c r="U4106" i="6" s="1"/>
  <c r="T4105" i="6"/>
  <c r="U4105" i="6" s="1"/>
  <c r="T4104" i="6"/>
  <c r="U4104" i="6" s="1"/>
  <c r="T4103" i="6"/>
  <c r="U4103" i="6" s="1"/>
  <c r="U4102" i="6"/>
  <c r="T4102" i="6"/>
  <c r="T4101" i="6"/>
  <c r="U4101" i="6" s="1"/>
  <c r="T4100" i="6"/>
  <c r="U4100" i="6" s="1"/>
  <c r="T4099" i="6"/>
  <c r="U4099" i="6" s="1"/>
  <c r="T4098" i="6"/>
  <c r="U4098" i="6" s="1"/>
  <c r="T4097" i="6"/>
  <c r="U4097" i="6" s="1"/>
  <c r="T4096" i="6"/>
  <c r="U4096" i="6" s="1"/>
  <c r="T4095" i="6"/>
  <c r="U4095" i="6" s="1"/>
  <c r="U4094" i="6"/>
  <c r="T4094" i="6"/>
  <c r="T4093" i="6"/>
  <c r="U4093" i="6" s="1"/>
  <c r="T4092" i="6"/>
  <c r="U4092" i="6" s="1"/>
  <c r="T4091" i="6"/>
  <c r="U4091" i="6" s="1"/>
  <c r="T4090" i="6"/>
  <c r="U4090" i="6" s="1"/>
  <c r="T4089" i="6"/>
  <c r="U4089" i="6" s="1"/>
  <c r="T4088" i="6"/>
  <c r="U4088" i="6" s="1"/>
  <c r="T4087" i="6"/>
  <c r="U4087" i="6" s="1"/>
  <c r="U4086" i="6"/>
  <c r="T4086" i="6"/>
  <c r="T4085" i="6"/>
  <c r="U4085" i="6" s="1"/>
  <c r="T4084" i="6"/>
  <c r="U4084" i="6" s="1"/>
  <c r="T4083" i="6"/>
  <c r="U4083" i="6" s="1"/>
  <c r="T4082" i="6"/>
  <c r="U4082" i="6" s="1"/>
  <c r="T4081" i="6"/>
  <c r="U4081" i="6" s="1"/>
  <c r="T4080" i="6"/>
  <c r="U4080" i="6" s="1"/>
  <c r="T4079" i="6"/>
  <c r="U4079" i="6" s="1"/>
  <c r="U4078" i="6"/>
  <c r="T4078" i="6"/>
  <c r="T4077" i="6"/>
  <c r="U4077" i="6" s="1"/>
  <c r="T4076" i="6"/>
  <c r="U4076" i="6" s="1"/>
  <c r="T4075" i="6"/>
  <c r="U4075" i="6" s="1"/>
  <c r="T4074" i="6"/>
  <c r="U4074" i="6" s="1"/>
  <c r="T4073" i="6"/>
  <c r="U4073" i="6" s="1"/>
  <c r="T4072" i="6"/>
  <c r="U4072" i="6" s="1"/>
  <c r="T4071" i="6"/>
  <c r="U4071" i="6" s="1"/>
  <c r="U4070" i="6"/>
  <c r="T4070" i="6"/>
  <c r="T4069" i="6"/>
  <c r="U4069" i="6" s="1"/>
  <c r="T4068" i="6"/>
  <c r="U4068" i="6" s="1"/>
  <c r="T4067" i="6"/>
  <c r="U4067" i="6" s="1"/>
  <c r="T4066" i="6"/>
  <c r="U4066" i="6" s="1"/>
  <c r="T4065" i="6"/>
  <c r="U4065" i="6" s="1"/>
  <c r="T4064" i="6"/>
  <c r="U4064" i="6" s="1"/>
  <c r="T4063" i="6"/>
  <c r="U4063" i="6" s="1"/>
  <c r="U4062" i="6"/>
  <c r="T4062" i="6"/>
  <c r="T4061" i="6"/>
  <c r="U4061" i="6" s="1"/>
  <c r="T4060" i="6"/>
  <c r="U4060" i="6" s="1"/>
  <c r="T4059" i="6"/>
  <c r="U4059" i="6" s="1"/>
  <c r="T4058" i="6"/>
  <c r="U4058" i="6" s="1"/>
  <c r="T4057" i="6"/>
  <c r="U4057" i="6" s="1"/>
  <c r="T4056" i="6"/>
  <c r="U4056" i="6" s="1"/>
  <c r="T4055" i="6"/>
  <c r="U4055" i="6" s="1"/>
  <c r="U4054" i="6"/>
  <c r="T4054" i="6"/>
  <c r="T4053" i="6"/>
  <c r="U4053" i="6" s="1"/>
  <c r="T4052" i="6"/>
  <c r="U4052" i="6" s="1"/>
  <c r="T4051" i="6"/>
  <c r="U4051" i="6" s="1"/>
  <c r="T4050" i="6"/>
  <c r="U4050" i="6" s="1"/>
  <c r="T4049" i="6"/>
  <c r="U4049" i="6" s="1"/>
  <c r="T4048" i="6"/>
  <c r="U4048" i="6" s="1"/>
  <c r="T4047" i="6"/>
  <c r="U4047" i="6" s="1"/>
  <c r="U4046" i="6"/>
  <c r="T4046" i="6"/>
  <c r="T4045" i="6"/>
  <c r="U4045" i="6" s="1"/>
  <c r="T4044" i="6"/>
  <c r="U4044" i="6" s="1"/>
  <c r="T4043" i="6"/>
  <c r="U4043" i="6" s="1"/>
  <c r="T4042" i="6"/>
  <c r="U4042" i="6" s="1"/>
  <c r="T4041" i="6"/>
  <c r="U4041" i="6" s="1"/>
  <c r="T4040" i="6"/>
  <c r="U4040" i="6" s="1"/>
  <c r="T4039" i="6"/>
  <c r="U4039" i="6" s="1"/>
  <c r="U4038" i="6"/>
  <c r="T4038" i="6"/>
  <c r="T4037" i="6"/>
  <c r="U4037" i="6" s="1"/>
  <c r="T4036" i="6"/>
  <c r="U4036" i="6" s="1"/>
  <c r="T4035" i="6"/>
  <c r="U4035" i="6" s="1"/>
  <c r="T4034" i="6"/>
  <c r="U4034" i="6" s="1"/>
  <c r="T4033" i="6"/>
  <c r="U4033" i="6" s="1"/>
  <c r="T4032" i="6"/>
  <c r="U4032" i="6" s="1"/>
  <c r="T4031" i="6"/>
  <c r="U4031" i="6" s="1"/>
  <c r="U4030" i="6"/>
  <c r="T4030" i="6"/>
  <c r="T4029" i="6"/>
  <c r="U4029" i="6" s="1"/>
  <c r="T4028" i="6"/>
  <c r="U4028" i="6" s="1"/>
  <c r="T4027" i="6"/>
  <c r="U4027" i="6" s="1"/>
  <c r="T4026" i="6"/>
  <c r="U4026" i="6" s="1"/>
  <c r="T4025" i="6"/>
  <c r="U4025" i="6" s="1"/>
  <c r="T4024" i="6"/>
  <c r="U4024" i="6" s="1"/>
  <c r="T4023" i="6"/>
  <c r="U4023" i="6" s="1"/>
  <c r="U4022" i="6"/>
  <c r="T4022" i="6"/>
  <c r="T4021" i="6"/>
  <c r="U4021" i="6" s="1"/>
  <c r="T4020" i="6"/>
  <c r="U4020" i="6" s="1"/>
  <c r="T4019" i="6"/>
  <c r="U4019" i="6" s="1"/>
  <c r="T4018" i="6"/>
  <c r="U4018" i="6" s="1"/>
  <c r="T4017" i="6"/>
  <c r="U4017" i="6" s="1"/>
  <c r="T4016" i="6"/>
  <c r="U4016" i="6" s="1"/>
  <c r="T4015" i="6"/>
  <c r="U4015" i="6" s="1"/>
  <c r="U4014" i="6"/>
  <c r="T4014" i="6"/>
  <c r="T4013" i="6"/>
  <c r="U4013" i="6" s="1"/>
  <c r="T4012" i="6"/>
  <c r="U4012" i="6" s="1"/>
  <c r="T4011" i="6"/>
  <c r="U4011" i="6" s="1"/>
  <c r="T4010" i="6"/>
  <c r="U4010" i="6" s="1"/>
  <c r="T4009" i="6"/>
  <c r="U4009" i="6" s="1"/>
  <c r="T4008" i="6"/>
  <c r="U4008" i="6" s="1"/>
  <c r="T4007" i="6"/>
  <c r="U4007" i="6" s="1"/>
  <c r="U4006" i="6"/>
  <c r="T4006" i="6"/>
  <c r="T4005" i="6"/>
  <c r="U4005" i="6" s="1"/>
  <c r="T4004" i="6"/>
  <c r="U4004" i="6" s="1"/>
  <c r="T4003" i="6"/>
  <c r="U4003" i="6" s="1"/>
  <c r="T4002" i="6"/>
  <c r="U4002" i="6" s="1"/>
  <c r="T4001" i="6"/>
  <c r="U4001" i="6" s="1"/>
  <c r="T4000" i="6"/>
  <c r="U4000" i="6" s="1"/>
  <c r="T3999" i="6"/>
  <c r="U3999" i="6" s="1"/>
  <c r="U3998" i="6"/>
  <c r="T3998" i="6"/>
  <c r="T3997" i="6"/>
  <c r="U3997" i="6" s="1"/>
  <c r="T3996" i="6"/>
  <c r="U3996" i="6" s="1"/>
  <c r="T3995" i="6"/>
  <c r="U3995" i="6" s="1"/>
  <c r="T3994" i="6"/>
  <c r="U3994" i="6" s="1"/>
  <c r="T3993" i="6"/>
  <c r="U3993" i="6" s="1"/>
  <c r="T3992" i="6"/>
  <c r="U3992" i="6" s="1"/>
  <c r="T3991" i="6"/>
  <c r="U3991" i="6" s="1"/>
  <c r="U3990" i="6"/>
  <c r="T3990" i="6"/>
  <c r="T3989" i="6"/>
  <c r="U3989" i="6" s="1"/>
  <c r="T3988" i="6"/>
  <c r="U3988" i="6" s="1"/>
  <c r="T3987" i="6"/>
  <c r="U3987" i="6" s="1"/>
  <c r="T3986" i="6"/>
  <c r="U3986" i="6" s="1"/>
  <c r="T3985" i="6"/>
  <c r="U3985" i="6" s="1"/>
  <c r="T3984" i="6"/>
  <c r="U3984" i="6" s="1"/>
  <c r="T3983" i="6"/>
  <c r="U3983" i="6" s="1"/>
  <c r="U3982" i="6"/>
  <c r="T3982" i="6"/>
  <c r="T3981" i="6"/>
  <c r="U3981" i="6" s="1"/>
  <c r="T3980" i="6"/>
  <c r="U3980" i="6" s="1"/>
  <c r="T3979" i="6"/>
  <c r="U3979" i="6" s="1"/>
  <c r="T3978" i="6"/>
  <c r="U3978" i="6" s="1"/>
  <c r="T3977" i="6"/>
  <c r="U3977" i="6" s="1"/>
  <c r="T3976" i="6"/>
  <c r="U3976" i="6" s="1"/>
  <c r="T3975" i="6"/>
  <c r="U3975" i="6" s="1"/>
  <c r="U3974" i="6"/>
  <c r="T3974" i="6"/>
  <c r="T3973" i="6"/>
  <c r="U3973" i="6" s="1"/>
  <c r="T3972" i="6"/>
  <c r="U3972" i="6" s="1"/>
  <c r="T3971" i="6"/>
  <c r="U3971" i="6" s="1"/>
  <c r="T3970" i="6"/>
  <c r="U3970" i="6" s="1"/>
  <c r="T3969" i="6"/>
  <c r="U3969" i="6" s="1"/>
  <c r="T3968" i="6"/>
  <c r="U3968" i="6" s="1"/>
  <c r="T3967" i="6"/>
  <c r="U3967" i="6" s="1"/>
  <c r="U3966" i="6"/>
  <c r="T3966" i="6"/>
  <c r="T3965" i="6"/>
  <c r="U3965" i="6" s="1"/>
  <c r="T3964" i="6"/>
  <c r="U3964" i="6" s="1"/>
  <c r="T3963" i="6"/>
  <c r="U3963" i="6" s="1"/>
  <c r="T3962" i="6"/>
  <c r="U3962" i="6" s="1"/>
  <c r="T3961" i="6"/>
  <c r="U3961" i="6" s="1"/>
  <c r="T3960" i="6"/>
  <c r="U3960" i="6" s="1"/>
  <c r="T3959" i="6"/>
  <c r="U3959" i="6" s="1"/>
  <c r="U3958" i="6"/>
  <c r="T3958" i="6"/>
  <c r="T3957" i="6"/>
  <c r="U3957" i="6" s="1"/>
  <c r="T3956" i="6"/>
  <c r="U3956" i="6" s="1"/>
  <c r="T3955" i="6"/>
  <c r="U3955" i="6" s="1"/>
  <c r="T3954" i="6"/>
  <c r="U3954" i="6" s="1"/>
  <c r="T3953" i="6"/>
  <c r="U3953" i="6" s="1"/>
  <c r="T3952" i="6"/>
  <c r="U3952" i="6" s="1"/>
  <c r="T3951" i="6"/>
  <c r="U3951" i="6" s="1"/>
  <c r="U3950" i="6"/>
  <c r="T3950" i="6"/>
  <c r="T3949" i="6"/>
  <c r="U3949" i="6" s="1"/>
  <c r="T3948" i="6"/>
  <c r="U3948" i="6" s="1"/>
  <c r="T3947" i="6"/>
  <c r="U3947" i="6" s="1"/>
  <c r="T3946" i="6"/>
  <c r="U3946" i="6" s="1"/>
  <c r="T3945" i="6"/>
  <c r="U3945" i="6" s="1"/>
  <c r="T3944" i="6"/>
  <c r="U3944" i="6" s="1"/>
  <c r="T3943" i="6"/>
  <c r="U3943" i="6" s="1"/>
  <c r="U3942" i="6"/>
  <c r="T3942" i="6"/>
  <c r="T3941" i="6"/>
  <c r="U3941" i="6" s="1"/>
  <c r="T3940" i="6"/>
  <c r="U3940" i="6" s="1"/>
  <c r="T3939" i="6"/>
  <c r="U3939" i="6" s="1"/>
  <c r="T3938" i="6"/>
  <c r="U3938" i="6" s="1"/>
  <c r="T3937" i="6"/>
  <c r="U3937" i="6" s="1"/>
  <c r="T3936" i="6"/>
  <c r="U3936" i="6" s="1"/>
  <c r="T3935" i="6"/>
  <c r="U3935" i="6" s="1"/>
  <c r="U3934" i="6"/>
  <c r="T3934" i="6"/>
  <c r="T3933" i="6"/>
  <c r="U3933" i="6" s="1"/>
  <c r="T3932" i="6"/>
  <c r="U3932" i="6" s="1"/>
  <c r="T3931" i="6"/>
  <c r="U3931" i="6" s="1"/>
  <c r="T3930" i="6"/>
  <c r="U3930" i="6" s="1"/>
  <c r="T3929" i="6"/>
  <c r="U3929" i="6" s="1"/>
  <c r="T3928" i="6"/>
  <c r="U3928" i="6" s="1"/>
  <c r="T3927" i="6"/>
  <c r="U3927" i="6" s="1"/>
  <c r="U3926" i="6"/>
  <c r="T3926" i="6"/>
  <c r="T3925" i="6"/>
  <c r="U3925" i="6" s="1"/>
  <c r="T3924" i="6"/>
  <c r="U3924" i="6" s="1"/>
  <c r="T3923" i="6"/>
  <c r="U3923" i="6" s="1"/>
  <c r="T3922" i="6"/>
  <c r="U3922" i="6" s="1"/>
  <c r="T3921" i="6"/>
  <c r="U3921" i="6" s="1"/>
  <c r="T3920" i="6"/>
  <c r="U3920" i="6" s="1"/>
  <c r="T3919" i="6"/>
  <c r="U3919" i="6" s="1"/>
  <c r="U3918" i="6"/>
  <c r="T3918" i="6"/>
  <c r="T3917" i="6"/>
  <c r="U3917" i="6" s="1"/>
  <c r="T3916" i="6"/>
  <c r="U3916" i="6" s="1"/>
  <c r="T3915" i="6"/>
  <c r="U3915" i="6" s="1"/>
  <c r="T3914" i="6"/>
  <c r="U3914" i="6" s="1"/>
  <c r="T3913" i="6"/>
  <c r="U3913" i="6" s="1"/>
  <c r="T3912" i="6"/>
  <c r="U3912" i="6" s="1"/>
  <c r="T3911" i="6"/>
  <c r="U3911" i="6" s="1"/>
  <c r="U3910" i="6"/>
  <c r="T3910" i="6"/>
  <c r="T3909" i="6"/>
  <c r="U3909" i="6" s="1"/>
  <c r="T3908" i="6"/>
  <c r="U3908" i="6" s="1"/>
  <c r="T3907" i="6"/>
  <c r="U3907" i="6" s="1"/>
  <c r="T3906" i="6"/>
  <c r="U3906" i="6" s="1"/>
  <c r="T3905" i="6"/>
  <c r="U3905" i="6" s="1"/>
  <c r="T3904" i="6"/>
  <c r="U3904" i="6" s="1"/>
  <c r="T3903" i="6"/>
  <c r="U3903" i="6" s="1"/>
  <c r="U3902" i="6"/>
  <c r="T3902" i="6"/>
  <c r="T3901" i="6"/>
  <c r="U3901" i="6" s="1"/>
  <c r="T3900" i="6"/>
  <c r="U3900" i="6" s="1"/>
  <c r="T3899" i="6"/>
  <c r="U3899" i="6" s="1"/>
  <c r="T3898" i="6"/>
  <c r="U3898" i="6" s="1"/>
  <c r="T3897" i="6"/>
  <c r="U3897" i="6" s="1"/>
  <c r="T3896" i="6"/>
  <c r="U3896" i="6" s="1"/>
  <c r="T3895" i="6"/>
  <c r="U3895" i="6" s="1"/>
  <c r="U3894" i="6"/>
  <c r="T3894" i="6"/>
  <c r="T3893" i="6"/>
  <c r="U3893" i="6" s="1"/>
  <c r="T3892" i="6"/>
  <c r="U3892" i="6" s="1"/>
  <c r="T3891" i="6"/>
  <c r="U3891" i="6" s="1"/>
  <c r="T3890" i="6"/>
  <c r="U3890" i="6" s="1"/>
  <c r="T3889" i="6"/>
  <c r="U3889" i="6" s="1"/>
  <c r="T3888" i="6"/>
  <c r="U3888" i="6" s="1"/>
  <c r="T3887" i="6"/>
  <c r="U3887" i="6" s="1"/>
  <c r="U3886" i="6"/>
  <c r="T3886" i="6"/>
  <c r="T3885" i="6"/>
  <c r="U3885" i="6" s="1"/>
  <c r="T3884" i="6"/>
  <c r="U3884" i="6" s="1"/>
  <c r="T3883" i="6"/>
  <c r="U3883" i="6" s="1"/>
  <c r="T3882" i="6"/>
  <c r="U3882" i="6" s="1"/>
  <c r="T3881" i="6"/>
  <c r="U3881" i="6" s="1"/>
  <c r="T3880" i="6"/>
  <c r="U3880" i="6" s="1"/>
  <c r="T3879" i="6"/>
  <c r="U3879" i="6" s="1"/>
  <c r="U3878" i="6"/>
  <c r="T3878" i="6"/>
  <c r="T3877" i="6"/>
  <c r="U3877" i="6" s="1"/>
  <c r="T3876" i="6"/>
  <c r="U3876" i="6" s="1"/>
  <c r="T3875" i="6"/>
  <c r="U3875" i="6" s="1"/>
  <c r="T3874" i="6"/>
  <c r="U3874" i="6" s="1"/>
  <c r="T3873" i="6"/>
  <c r="U3873" i="6" s="1"/>
  <c r="T3872" i="6"/>
  <c r="U3872" i="6" s="1"/>
  <c r="T3871" i="6"/>
  <c r="U3871" i="6" s="1"/>
  <c r="U3870" i="6"/>
  <c r="T3870" i="6"/>
  <c r="T3869" i="6"/>
  <c r="U3869" i="6" s="1"/>
  <c r="T3868" i="6"/>
  <c r="U3868" i="6" s="1"/>
  <c r="T3867" i="6"/>
  <c r="U3867" i="6" s="1"/>
  <c r="T3866" i="6"/>
  <c r="U3866" i="6" s="1"/>
  <c r="T3865" i="6"/>
  <c r="U3865" i="6" s="1"/>
  <c r="T3864" i="6"/>
  <c r="U3864" i="6" s="1"/>
  <c r="T3863" i="6"/>
  <c r="U3863" i="6" s="1"/>
  <c r="U3862" i="6"/>
  <c r="T3862" i="6"/>
  <c r="T3861" i="6"/>
  <c r="U3861" i="6" s="1"/>
  <c r="T3860" i="6"/>
  <c r="U3860" i="6" s="1"/>
  <c r="T3859" i="6"/>
  <c r="U3859" i="6" s="1"/>
  <c r="T3858" i="6"/>
  <c r="U3858" i="6" s="1"/>
  <c r="T3857" i="6"/>
  <c r="U3857" i="6" s="1"/>
  <c r="T3856" i="6"/>
  <c r="U3856" i="6" s="1"/>
  <c r="T3855" i="6"/>
  <c r="U3855" i="6" s="1"/>
  <c r="U3854" i="6"/>
  <c r="T3854" i="6"/>
  <c r="T3853" i="6"/>
  <c r="U3853" i="6" s="1"/>
  <c r="T3852" i="6"/>
  <c r="U3852" i="6" s="1"/>
  <c r="T3851" i="6"/>
  <c r="U3851" i="6" s="1"/>
  <c r="T3850" i="6"/>
  <c r="U3850" i="6" s="1"/>
  <c r="T3849" i="6"/>
  <c r="U3849" i="6" s="1"/>
  <c r="T3848" i="6"/>
  <c r="U3848" i="6" s="1"/>
  <c r="T3847" i="6"/>
  <c r="U3847" i="6" s="1"/>
  <c r="U3846" i="6"/>
  <c r="T3846" i="6"/>
  <c r="T3845" i="6"/>
  <c r="U3845" i="6" s="1"/>
  <c r="T3844" i="6"/>
  <c r="U3844" i="6" s="1"/>
  <c r="T3843" i="6"/>
  <c r="U3843" i="6" s="1"/>
  <c r="T3842" i="6"/>
  <c r="U3842" i="6" s="1"/>
  <c r="T3841" i="6"/>
  <c r="U3841" i="6" s="1"/>
  <c r="T3840" i="6"/>
  <c r="U3840" i="6" s="1"/>
  <c r="T3839" i="6"/>
  <c r="U3839" i="6" s="1"/>
  <c r="U3838" i="6"/>
  <c r="T3838" i="6"/>
  <c r="T3837" i="6"/>
  <c r="U3837" i="6" s="1"/>
  <c r="T3836" i="6"/>
  <c r="U3836" i="6" s="1"/>
  <c r="T3835" i="6"/>
  <c r="U3835" i="6" s="1"/>
  <c r="T3834" i="6"/>
  <c r="U3834" i="6" s="1"/>
  <c r="T3833" i="6"/>
  <c r="U3833" i="6" s="1"/>
  <c r="T3832" i="6"/>
  <c r="U3832" i="6" s="1"/>
  <c r="T3831" i="6"/>
  <c r="U3831" i="6" s="1"/>
  <c r="U3830" i="6"/>
  <c r="T3830" i="6"/>
  <c r="T3829" i="6"/>
  <c r="U3829" i="6" s="1"/>
  <c r="T3828" i="6"/>
  <c r="U3828" i="6" s="1"/>
  <c r="T3827" i="6"/>
  <c r="U3827" i="6" s="1"/>
  <c r="T3826" i="6"/>
  <c r="U3826" i="6" s="1"/>
  <c r="T3825" i="6"/>
  <c r="U3825" i="6" s="1"/>
  <c r="T3824" i="6"/>
  <c r="U3824" i="6" s="1"/>
  <c r="T3823" i="6"/>
  <c r="U3823" i="6" s="1"/>
  <c r="U3822" i="6"/>
  <c r="T3822" i="6"/>
  <c r="T3821" i="6"/>
  <c r="U3821" i="6" s="1"/>
  <c r="T3820" i="6"/>
  <c r="U3820" i="6" s="1"/>
  <c r="T3819" i="6"/>
  <c r="U3819" i="6" s="1"/>
  <c r="T3818" i="6"/>
  <c r="U3818" i="6" s="1"/>
  <c r="T3817" i="6"/>
  <c r="U3817" i="6" s="1"/>
  <c r="T3816" i="6"/>
  <c r="U3816" i="6" s="1"/>
  <c r="T3815" i="6"/>
  <c r="U3815" i="6" s="1"/>
  <c r="U3814" i="6"/>
  <c r="T3814" i="6"/>
  <c r="T3813" i="6"/>
  <c r="U3813" i="6" s="1"/>
  <c r="T3812" i="6"/>
  <c r="U3812" i="6" s="1"/>
  <c r="T3811" i="6"/>
  <c r="U3811" i="6" s="1"/>
  <c r="T3810" i="6"/>
  <c r="U3810" i="6" s="1"/>
  <c r="T3809" i="6"/>
  <c r="U3809" i="6" s="1"/>
  <c r="T3808" i="6"/>
  <c r="U3808" i="6" s="1"/>
  <c r="T3807" i="6"/>
  <c r="U3807" i="6" s="1"/>
  <c r="U3806" i="6"/>
  <c r="T3806" i="6"/>
  <c r="T3805" i="6"/>
  <c r="U3805" i="6" s="1"/>
  <c r="T3804" i="6"/>
  <c r="U3804" i="6" s="1"/>
  <c r="T3803" i="6"/>
  <c r="U3803" i="6" s="1"/>
  <c r="T3802" i="6"/>
  <c r="U3802" i="6" s="1"/>
  <c r="T3801" i="6"/>
  <c r="U3801" i="6" s="1"/>
  <c r="T3800" i="6"/>
  <c r="U3800" i="6" s="1"/>
  <c r="T3799" i="6"/>
  <c r="U3799" i="6" s="1"/>
  <c r="U3798" i="6"/>
  <c r="T3798" i="6"/>
  <c r="T3797" i="6"/>
  <c r="U3797" i="6" s="1"/>
  <c r="T3796" i="6"/>
  <c r="U3796" i="6" s="1"/>
  <c r="U3795" i="6"/>
  <c r="T3795" i="6"/>
  <c r="T3794" i="6"/>
  <c r="U3794" i="6" s="1"/>
  <c r="T3793" i="6"/>
  <c r="U3793" i="6" s="1"/>
  <c r="T3792" i="6"/>
  <c r="U3792" i="6" s="1"/>
  <c r="U3791" i="6"/>
  <c r="T3791" i="6"/>
  <c r="T3790" i="6"/>
  <c r="U3790" i="6" s="1"/>
  <c r="T3789" i="6"/>
  <c r="U3789" i="6" s="1"/>
  <c r="T3788" i="6"/>
  <c r="U3788" i="6" s="1"/>
  <c r="U3787" i="6"/>
  <c r="T3787" i="6"/>
  <c r="T3786" i="6"/>
  <c r="U3786" i="6" s="1"/>
  <c r="T3785" i="6"/>
  <c r="U3785" i="6" s="1"/>
  <c r="T3784" i="6"/>
  <c r="U3784" i="6" s="1"/>
  <c r="U3783" i="6"/>
  <c r="T3783" i="6"/>
  <c r="T3782" i="6"/>
  <c r="U3782" i="6" s="1"/>
  <c r="T3781" i="6"/>
  <c r="U3781" i="6" s="1"/>
  <c r="T3780" i="6"/>
  <c r="U3780" i="6" s="1"/>
  <c r="U3779" i="6"/>
  <c r="T3779" i="6"/>
  <c r="T3778" i="6"/>
  <c r="U3778" i="6" s="1"/>
  <c r="T3777" i="6"/>
  <c r="U3777" i="6" s="1"/>
  <c r="T3776" i="6"/>
  <c r="U3776" i="6" s="1"/>
  <c r="U3775" i="6"/>
  <c r="T3775" i="6"/>
  <c r="T3774" i="6"/>
  <c r="U3774" i="6" s="1"/>
  <c r="T3773" i="6"/>
  <c r="U3773" i="6" s="1"/>
  <c r="T3772" i="6"/>
  <c r="U3772" i="6" s="1"/>
  <c r="U3771" i="6"/>
  <c r="T3771" i="6"/>
  <c r="T3770" i="6"/>
  <c r="U3770" i="6" s="1"/>
  <c r="T3769" i="6"/>
  <c r="U3769" i="6" s="1"/>
  <c r="T3768" i="6"/>
  <c r="U3768" i="6" s="1"/>
  <c r="U3767" i="6"/>
  <c r="T3767" i="6"/>
  <c r="T3766" i="6"/>
  <c r="U3766" i="6" s="1"/>
  <c r="T3765" i="6"/>
  <c r="U3765" i="6" s="1"/>
  <c r="T3764" i="6"/>
  <c r="U3764" i="6" s="1"/>
  <c r="U3763" i="6"/>
  <c r="T3763" i="6"/>
  <c r="T3762" i="6"/>
  <c r="U3762" i="6" s="1"/>
  <c r="T3761" i="6"/>
  <c r="U3761" i="6" s="1"/>
  <c r="T3760" i="6"/>
  <c r="U3760" i="6" s="1"/>
  <c r="U3759" i="6"/>
  <c r="T3759" i="6"/>
  <c r="T3758" i="6"/>
  <c r="U3758" i="6" s="1"/>
  <c r="T3757" i="6"/>
  <c r="U3757" i="6" s="1"/>
  <c r="T3756" i="6"/>
  <c r="U3756" i="6" s="1"/>
  <c r="U3755" i="6"/>
  <c r="T3755" i="6"/>
  <c r="T3754" i="6"/>
  <c r="U3754" i="6" s="1"/>
  <c r="T3753" i="6"/>
  <c r="U3753" i="6" s="1"/>
  <c r="T3752" i="6"/>
  <c r="U3752" i="6" s="1"/>
  <c r="U3751" i="6"/>
  <c r="T3751" i="6"/>
  <c r="T3750" i="6"/>
  <c r="U3750" i="6" s="1"/>
  <c r="T3749" i="6"/>
  <c r="U3749" i="6" s="1"/>
  <c r="T3748" i="6"/>
  <c r="U3748" i="6" s="1"/>
  <c r="U3747" i="6"/>
  <c r="T3747" i="6"/>
  <c r="T3746" i="6"/>
  <c r="U3746" i="6" s="1"/>
  <c r="T3745" i="6"/>
  <c r="U3745" i="6" s="1"/>
  <c r="T3744" i="6"/>
  <c r="U3744" i="6" s="1"/>
  <c r="U3743" i="6"/>
  <c r="T3743" i="6"/>
  <c r="T3742" i="6"/>
  <c r="U3742" i="6" s="1"/>
  <c r="T3741" i="6"/>
  <c r="U3741" i="6" s="1"/>
  <c r="T3740" i="6"/>
  <c r="U3740" i="6" s="1"/>
  <c r="U3739" i="6"/>
  <c r="T3739" i="6"/>
  <c r="T3738" i="6"/>
  <c r="U3738" i="6" s="1"/>
  <c r="T3737" i="6"/>
  <c r="U3737" i="6" s="1"/>
  <c r="T3736" i="6"/>
  <c r="U3736" i="6" s="1"/>
  <c r="U3735" i="6"/>
  <c r="T3735" i="6"/>
  <c r="T3734" i="6"/>
  <c r="U3734" i="6" s="1"/>
  <c r="T3733" i="6"/>
  <c r="U3733" i="6" s="1"/>
  <c r="T3732" i="6"/>
  <c r="U3732" i="6" s="1"/>
  <c r="U3731" i="6"/>
  <c r="T3731" i="6"/>
  <c r="T3730" i="6"/>
  <c r="U3730" i="6" s="1"/>
  <c r="T3729" i="6"/>
  <c r="U3729" i="6" s="1"/>
  <c r="T3728" i="6"/>
  <c r="U3728" i="6" s="1"/>
  <c r="U3727" i="6"/>
  <c r="T3727" i="6"/>
  <c r="T3726" i="6"/>
  <c r="U3726" i="6" s="1"/>
  <c r="T3725" i="6"/>
  <c r="U3725" i="6" s="1"/>
  <c r="T3724" i="6"/>
  <c r="U3724" i="6" s="1"/>
  <c r="U3723" i="6"/>
  <c r="T3723" i="6"/>
  <c r="T3722" i="6"/>
  <c r="U3722" i="6" s="1"/>
  <c r="T3721" i="6"/>
  <c r="U3721" i="6" s="1"/>
  <c r="T3720" i="6"/>
  <c r="U3720" i="6" s="1"/>
  <c r="U3719" i="6"/>
  <c r="T3719" i="6"/>
  <c r="T3718" i="6"/>
  <c r="U3718" i="6" s="1"/>
  <c r="T3717" i="6"/>
  <c r="U3717" i="6" s="1"/>
  <c r="T3716" i="6"/>
  <c r="U3716" i="6" s="1"/>
  <c r="U3715" i="6"/>
  <c r="T3715" i="6"/>
  <c r="T3714" i="6"/>
  <c r="U3714" i="6" s="1"/>
  <c r="T3713" i="6"/>
  <c r="U3713" i="6" s="1"/>
  <c r="T3712" i="6"/>
  <c r="U3712" i="6" s="1"/>
  <c r="U3711" i="6"/>
  <c r="T3711" i="6"/>
  <c r="T3710" i="6"/>
  <c r="U3710" i="6" s="1"/>
  <c r="T3709" i="6"/>
  <c r="U3709" i="6" s="1"/>
  <c r="T3708" i="6"/>
  <c r="U3708" i="6" s="1"/>
  <c r="U3707" i="6"/>
  <c r="T3707" i="6"/>
  <c r="T3706" i="6"/>
  <c r="U3706" i="6" s="1"/>
  <c r="T3705" i="6"/>
  <c r="U3705" i="6" s="1"/>
  <c r="T3704" i="6"/>
  <c r="U3704" i="6" s="1"/>
  <c r="U3703" i="6"/>
  <c r="T3703" i="6"/>
  <c r="T3702" i="6"/>
  <c r="U3702" i="6" s="1"/>
  <c r="T3701" i="6"/>
  <c r="U3701" i="6" s="1"/>
  <c r="T3700" i="6"/>
  <c r="U3700" i="6" s="1"/>
  <c r="U3699" i="6"/>
  <c r="T3699" i="6"/>
  <c r="T3698" i="6"/>
  <c r="U3698" i="6" s="1"/>
  <c r="T3697" i="6"/>
  <c r="U3697" i="6" s="1"/>
  <c r="T3696" i="6"/>
  <c r="U3696" i="6" s="1"/>
  <c r="U3695" i="6"/>
  <c r="T3695" i="6"/>
  <c r="T3694" i="6"/>
  <c r="U3694" i="6" s="1"/>
  <c r="T3693" i="6"/>
  <c r="U3693" i="6" s="1"/>
  <c r="T3692" i="6"/>
  <c r="U3692" i="6" s="1"/>
  <c r="U3691" i="6"/>
  <c r="T3691" i="6"/>
  <c r="T3690" i="6"/>
  <c r="U3690" i="6" s="1"/>
  <c r="T3689" i="6"/>
  <c r="U3689" i="6" s="1"/>
  <c r="T3688" i="6"/>
  <c r="U3688" i="6" s="1"/>
  <c r="U3687" i="6"/>
  <c r="T3687" i="6"/>
  <c r="T3686" i="6"/>
  <c r="U3686" i="6" s="1"/>
  <c r="T3685" i="6"/>
  <c r="U3685" i="6" s="1"/>
  <c r="T3684" i="6"/>
  <c r="U3684" i="6" s="1"/>
  <c r="U3683" i="6"/>
  <c r="T3683" i="6"/>
  <c r="T3682" i="6"/>
  <c r="U3682" i="6" s="1"/>
  <c r="T3681" i="6"/>
  <c r="U3681" i="6" s="1"/>
  <c r="T3680" i="6"/>
  <c r="U3680" i="6" s="1"/>
  <c r="U3679" i="6"/>
  <c r="T3679" i="6"/>
  <c r="T3678" i="6"/>
  <c r="U3678" i="6" s="1"/>
  <c r="T3677" i="6"/>
  <c r="U3677" i="6" s="1"/>
  <c r="T3676" i="6"/>
  <c r="U3676" i="6" s="1"/>
  <c r="U3675" i="6"/>
  <c r="T3675" i="6"/>
  <c r="T3674" i="6"/>
  <c r="U3674" i="6" s="1"/>
  <c r="T3673" i="6"/>
  <c r="U3673" i="6" s="1"/>
  <c r="T3672" i="6"/>
  <c r="U3672" i="6" s="1"/>
  <c r="U3671" i="6"/>
  <c r="T3671" i="6"/>
  <c r="T3670" i="6"/>
  <c r="U3670" i="6" s="1"/>
  <c r="T3669" i="6"/>
  <c r="U3669" i="6" s="1"/>
  <c r="T3668" i="6"/>
  <c r="U3668" i="6" s="1"/>
  <c r="U3667" i="6"/>
  <c r="T3667" i="6"/>
  <c r="T3666" i="6"/>
  <c r="U3666" i="6" s="1"/>
  <c r="T3665" i="6"/>
  <c r="U3665" i="6" s="1"/>
  <c r="T3664" i="6"/>
  <c r="U3664" i="6" s="1"/>
  <c r="U3663" i="6"/>
  <c r="T3663" i="6"/>
  <c r="T3662" i="6"/>
  <c r="U3662" i="6" s="1"/>
  <c r="T3661" i="6"/>
  <c r="U3661" i="6" s="1"/>
  <c r="T3660" i="6"/>
  <c r="U3660" i="6" s="1"/>
  <c r="U3659" i="6"/>
  <c r="T3659" i="6"/>
  <c r="T3658" i="6"/>
  <c r="U3658" i="6" s="1"/>
  <c r="T3657" i="6"/>
  <c r="U3657" i="6" s="1"/>
  <c r="T3656" i="6"/>
  <c r="U3656" i="6" s="1"/>
  <c r="U3655" i="6"/>
  <c r="T3655" i="6"/>
  <c r="T3654" i="6"/>
  <c r="U3654" i="6" s="1"/>
  <c r="T3653" i="6"/>
  <c r="U3653" i="6" s="1"/>
  <c r="T3652" i="6"/>
  <c r="U3652" i="6" s="1"/>
  <c r="U3651" i="6"/>
  <c r="T3651" i="6"/>
  <c r="T3650" i="6"/>
  <c r="U3650" i="6" s="1"/>
  <c r="T3649" i="6"/>
  <c r="U3649" i="6" s="1"/>
  <c r="T3648" i="6"/>
  <c r="U3648" i="6" s="1"/>
  <c r="U3647" i="6"/>
  <c r="T3647" i="6"/>
  <c r="T3646" i="6"/>
  <c r="U3646" i="6" s="1"/>
  <c r="T3645" i="6"/>
  <c r="U3645" i="6" s="1"/>
  <c r="T3644" i="6"/>
  <c r="U3644" i="6" s="1"/>
  <c r="U3643" i="6"/>
  <c r="T3643" i="6"/>
  <c r="T3642" i="6"/>
  <c r="U3642" i="6" s="1"/>
  <c r="T3641" i="6"/>
  <c r="U3641" i="6" s="1"/>
  <c r="T3640" i="6"/>
  <c r="U3640" i="6" s="1"/>
  <c r="U3639" i="6"/>
  <c r="T3639" i="6"/>
  <c r="T3638" i="6"/>
  <c r="U3638" i="6" s="1"/>
  <c r="T3637" i="6"/>
  <c r="U3637" i="6" s="1"/>
  <c r="T3636" i="6"/>
  <c r="U3636" i="6" s="1"/>
  <c r="U3635" i="6"/>
  <c r="T3635" i="6"/>
  <c r="T3634" i="6"/>
  <c r="U3634" i="6" s="1"/>
  <c r="T3633" i="6"/>
  <c r="U3633" i="6" s="1"/>
  <c r="T3632" i="6"/>
  <c r="U3632" i="6" s="1"/>
  <c r="U3631" i="6"/>
  <c r="T3631" i="6"/>
  <c r="T3630" i="6"/>
  <c r="U3630" i="6" s="1"/>
  <c r="T3629" i="6"/>
  <c r="U3629" i="6" s="1"/>
  <c r="T3628" i="6"/>
  <c r="U3628" i="6" s="1"/>
  <c r="U3627" i="6"/>
  <c r="T3627" i="6"/>
  <c r="T3626" i="6"/>
  <c r="U3626" i="6" s="1"/>
  <c r="T3625" i="6"/>
  <c r="U3625" i="6" s="1"/>
  <c r="T3624" i="6"/>
  <c r="U3624" i="6" s="1"/>
  <c r="U3623" i="6"/>
  <c r="T3623" i="6"/>
  <c r="T3622" i="6"/>
  <c r="U3622" i="6" s="1"/>
  <c r="T3621" i="6"/>
  <c r="U3621" i="6" s="1"/>
  <c r="T3620" i="6"/>
  <c r="U3620" i="6" s="1"/>
  <c r="U3619" i="6"/>
  <c r="T3619" i="6"/>
  <c r="T3618" i="6"/>
  <c r="U3618" i="6" s="1"/>
  <c r="T3617" i="6"/>
  <c r="U3617" i="6" s="1"/>
  <c r="T3616" i="6"/>
  <c r="U3616" i="6" s="1"/>
  <c r="U3615" i="6"/>
  <c r="T3615" i="6"/>
  <c r="T3614" i="6"/>
  <c r="U3614" i="6" s="1"/>
  <c r="T3613" i="6"/>
  <c r="U3613" i="6" s="1"/>
  <c r="T3612" i="6"/>
  <c r="U3612" i="6" s="1"/>
  <c r="T3611" i="6"/>
  <c r="U3611" i="6" s="1"/>
  <c r="T3610" i="6"/>
  <c r="U3610" i="6" s="1"/>
  <c r="U3609" i="6"/>
  <c r="T3609" i="6"/>
  <c r="T3608" i="6"/>
  <c r="U3608" i="6" s="1"/>
  <c r="T3607" i="6"/>
  <c r="U3607" i="6" s="1"/>
  <c r="T3606" i="6"/>
  <c r="U3606" i="6" s="1"/>
  <c r="T3605" i="6"/>
  <c r="U3605" i="6" s="1"/>
  <c r="T3604" i="6"/>
  <c r="U3604" i="6" s="1"/>
  <c r="U3603" i="6"/>
  <c r="T3603" i="6"/>
  <c r="T3602" i="6"/>
  <c r="U3602" i="6" s="1"/>
  <c r="T3601" i="6"/>
  <c r="U3601" i="6" s="1"/>
  <c r="T3600" i="6"/>
  <c r="U3600" i="6" s="1"/>
  <c r="U3599" i="6"/>
  <c r="T3599" i="6"/>
  <c r="T3598" i="6"/>
  <c r="U3598" i="6" s="1"/>
  <c r="T3597" i="6"/>
  <c r="U3597" i="6" s="1"/>
  <c r="T3596" i="6"/>
  <c r="U3596" i="6" s="1"/>
  <c r="T3595" i="6"/>
  <c r="U3595" i="6" s="1"/>
  <c r="T3594" i="6"/>
  <c r="U3594" i="6" s="1"/>
  <c r="U3593" i="6"/>
  <c r="T3593" i="6"/>
  <c r="T3592" i="6"/>
  <c r="U3592" i="6" s="1"/>
  <c r="T3591" i="6"/>
  <c r="U3591" i="6" s="1"/>
  <c r="T3590" i="6"/>
  <c r="U3590" i="6" s="1"/>
  <c r="T3589" i="6"/>
  <c r="U3589" i="6" s="1"/>
  <c r="T3588" i="6"/>
  <c r="U3588" i="6" s="1"/>
  <c r="U3587" i="6"/>
  <c r="T3587" i="6"/>
  <c r="T3586" i="6"/>
  <c r="U3586" i="6" s="1"/>
  <c r="T3585" i="6"/>
  <c r="U3585" i="6" s="1"/>
  <c r="T3584" i="6"/>
  <c r="U3584" i="6" s="1"/>
  <c r="U3583" i="6"/>
  <c r="T3583" i="6"/>
  <c r="T3582" i="6"/>
  <c r="U3582" i="6" s="1"/>
  <c r="T3581" i="6"/>
  <c r="U3581" i="6" s="1"/>
  <c r="T3580" i="6"/>
  <c r="U3580" i="6" s="1"/>
  <c r="T3579" i="6"/>
  <c r="U3579" i="6" s="1"/>
  <c r="T3578" i="6"/>
  <c r="U3578" i="6" s="1"/>
  <c r="U3577" i="6"/>
  <c r="T3577" i="6"/>
  <c r="T3576" i="6"/>
  <c r="U3576" i="6" s="1"/>
  <c r="T3575" i="6"/>
  <c r="U3575" i="6" s="1"/>
  <c r="T3574" i="6"/>
  <c r="U3574" i="6" s="1"/>
  <c r="T3573" i="6"/>
  <c r="U3573" i="6" s="1"/>
  <c r="T3572" i="6"/>
  <c r="U3572" i="6" s="1"/>
  <c r="U3571" i="6"/>
  <c r="T3571" i="6"/>
  <c r="T3570" i="6"/>
  <c r="U3570" i="6" s="1"/>
  <c r="T3569" i="6"/>
  <c r="U3569" i="6" s="1"/>
  <c r="T3568" i="6"/>
  <c r="U3568" i="6" s="1"/>
  <c r="U3567" i="6"/>
  <c r="T3567" i="6"/>
  <c r="T3566" i="6"/>
  <c r="U3566" i="6" s="1"/>
  <c r="T3565" i="6"/>
  <c r="U3565" i="6" s="1"/>
  <c r="T3564" i="6"/>
  <c r="U3564" i="6" s="1"/>
  <c r="T3563" i="6"/>
  <c r="U3563" i="6" s="1"/>
  <c r="T3562" i="6"/>
  <c r="U3562" i="6" s="1"/>
  <c r="U3561" i="6"/>
  <c r="T3561" i="6"/>
  <c r="T3560" i="6"/>
  <c r="U3560" i="6" s="1"/>
  <c r="T3559" i="6"/>
  <c r="U3559" i="6" s="1"/>
  <c r="T3558" i="6"/>
  <c r="U3558" i="6" s="1"/>
  <c r="T3557" i="6"/>
  <c r="U3557" i="6" s="1"/>
  <c r="T3556" i="6"/>
  <c r="U3556" i="6" s="1"/>
  <c r="U3555" i="6"/>
  <c r="T3555" i="6"/>
  <c r="T3554" i="6"/>
  <c r="U3554" i="6" s="1"/>
  <c r="T3553" i="6"/>
  <c r="U3553" i="6" s="1"/>
  <c r="T3552" i="6"/>
  <c r="U3552" i="6" s="1"/>
  <c r="U3551" i="6"/>
  <c r="T3551" i="6"/>
  <c r="T3550" i="6"/>
  <c r="U3550" i="6" s="1"/>
  <c r="T3549" i="6"/>
  <c r="U3549" i="6" s="1"/>
  <c r="T3548" i="6"/>
  <c r="U3548" i="6" s="1"/>
  <c r="T3547" i="6"/>
  <c r="U3547" i="6" s="1"/>
  <c r="T3546" i="6"/>
  <c r="U3546" i="6" s="1"/>
  <c r="U3545" i="6"/>
  <c r="T3545" i="6"/>
  <c r="T3544" i="6"/>
  <c r="U3544" i="6" s="1"/>
  <c r="T3543" i="6"/>
  <c r="U3543" i="6" s="1"/>
  <c r="T3542" i="6"/>
  <c r="U3542" i="6" s="1"/>
  <c r="T3541" i="6"/>
  <c r="U3541" i="6" s="1"/>
  <c r="T3540" i="6"/>
  <c r="U3540" i="6" s="1"/>
  <c r="U3539" i="6"/>
  <c r="T3539" i="6"/>
  <c r="T3538" i="6"/>
  <c r="U3538" i="6" s="1"/>
  <c r="T3537" i="6"/>
  <c r="U3537" i="6" s="1"/>
  <c r="T3536" i="6"/>
  <c r="U3536" i="6" s="1"/>
  <c r="U3535" i="6"/>
  <c r="T3535" i="6"/>
  <c r="T3534" i="6"/>
  <c r="U3534" i="6" s="1"/>
  <c r="T3533" i="6"/>
  <c r="U3533" i="6" s="1"/>
  <c r="T3532" i="6"/>
  <c r="U3532" i="6" s="1"/>
  <c r="T3531" i="6"/>
  <c r="U3531" i="6" s="1"/>
  <c r="T3530" i="6"/>
  <c r="U3530" i="6" s="1"/>
  <c r="T3529" i="6"/>
  <c r="U3529" i="6" s="1"/>
  <c r="T3528" i="6"/>
  <c r="U3528" i="6" s="1"/>
  <c r="U3527" i="6"/>
  <c r="T3527" i="6"/>
  <c r="T3526" i="6"/>
  <c r="U3526" i="6" s="1"/>
  <c r="T3525" i="6"/>
  <c r="U3525" i="6" s="1"/>
  <c r="T3524" i="6"/>
  <c r="U3524" i="6" s="1"/>
  <c r="T3523" i="6"/>
  <c r="U3523" i="6" s="1"/>
  <c r="T3522" i="6"/>
  <c r="U3522" i="6" s="1"/>
  <c r="T3521" i="6"/>
  <c r="U3521" i="6" s="1"/>
  <c r="T3520" i="6"/>
  <c r="U3520" i="6" s="1"/>
  <c r="U3519" i="6"/>
  <c r="T3519" i="6"/>
  <c r="T3518" i="6"/>
  <c r="U3518" i="6" s="1"/>
  <c r="T3517" i="6"/>
  <c r="U3517" i="6" s="1"/>
  <c r="T3516" i="6"/>
  <c r="U3516" i="6" s="1"/>
  <c r="T3515" i="6"/>
  <c r="U3515" i="6" s="1"/>
  <c r="T3514" i="6"/>
  <c r="U3514" i="6" s="1"/>
  <c r="T3513" i="6"/>
  <c r="U3513" i="6" s="1"/>
  <c r="T3512" i="6"/>
  <c r="U3512" i="6" s="1"/>
  <c r="U3511" i="6"/>
  <c r="T3511" i="6"/>
  <c r="T3510" i="6"/>
  <c r="U3510" i="6" s="1"/>
  <c r="T3509" i="6"/>
  <c r="U3509" i="6" s="1"/>
  <c r="T3508" i="6"/>
  <c r="U3508" i="6" s="1"/>
  <c r="T3507" i="6"/>
  <c r="U3507" i="6" s="1"/>
  <c r="T3506" i="6"/>
  <c r="U3506" i="6" s="1"/>
  <c r="T3505" i="6"/>
  <c r="U3505" i="6" s="1"/>
  <c r="T3504" i="6"/>
  <c r="U3504" i="6" s="1"/>
  <c r="U3503" i="6"/>
  <c r="T3503" i="6"/>
  <c r="T3502" i="6"/>
  <c r="U3502" i="6" s="1"/>
  <c r="T3501" i="6"/>
  <c r="U3501" i="6" s="1"/>
  <c r="T3500" i="6"/>
  <c r="U3500" i="6" s="1"/>
  <c r="T3499" i="6"/>
  <c r="U3499" i="6" s="1"/>
  <c r="T3498" i="6"/>
  <c r="U3498" i="6" s="1"/>
  <c r="T3497" i="6"/>
  <c r="U3497" i="6" s="1"/>
  <c r="T3496" i="6"/>
  <c r="U3496" i="6" s="1"/>
  <c r="U3495" i="6"/>
  <c r="T3495" i="6"/>
  <c r="T3494" i="6"/>
  <c r="U3494" i="6" s="1"/>
  <c r="T3493" i="6"/>
  <c r="U3493" i="6" s="1"/>
  <c r="T3492" i="6"/>
  <c r="U3492" i="6" s="1"/>
  <c r="T3491" i="6"/>
  <c r="U3491" i="6" s="1"/>
  <c r="T3490" i="6"/>
  <c r="U3490" i="6" s="1"/>
  <c r="T3489" i="6"/>
  <c r="U3489" i="6" s="1"/>
  <c r="T3488" i="6"/>
  <c r="U3488" i="6" s="1"/>
  <c r="U3487" i="6"/>
  <c r="T3487" i="6"/>
  <c r="T3486" i="6"/>
  <c r="U3486" i="6" s="1"/>
  <c r="T3485" i="6"/>
  <c r="U3485" i="6" s="1"/>
  <c r="T3484" i="6"/>
  <c r="U3484" i="6" s="1"/>
  <c r="T3483" i="6"/>
  <c r="U3483" i="6" s="1"/>
  <c r="T3482" i="6"/>
  <c r="U3482" i="6" s="1"/>
  <c r="T3481" i="6"/>
  <c r="U3481" i="6" s="1"/>
  <c r="T3480" i="6"/>
  <c r="U3480" i="6" s="1"/>
  <c r="U3479" i="6"/>
  <c r="T3479" i="6"/>
  <c r="T3478" i="6"/>
  <c r="U3478" i="6" s="1"/>
  <c r="T3477" i="6"/>
  <c r="U3477" i="6" s="1"/>
  <c r="T3476" i="6"/>
  <c r="U3476" i="6" s="1"/>
  <c r="T3475" i="6"/>
  <c r="U3475" i="6" s="1"/>
  <c r="T3474" i="6"/>
  <c r="U3474" i="6" s="1"/>
  <c r="T3473" i="6"/>
  <c r="U3473" i="6" s="1"/>
  <c r="T3472" i="6"/>
  <c r="U3472" i="6" s="1"/>
  <c r="U3471" i="6"/>
  <c r="T3471" i="6"/>
  <c r="T3470" i="6"/>
  <c r="U3470" i="6" s="1"/>
  <c r="T3469" i="6"/>
  <c r="U3469" i="6" s="1"/>
  <c r="T3468" i="6"/>
  <c r="U3468" i="6" s="1"/>
  <c r="T3467" i="6"/>
  <c r="U3467" i="6" s="1"/>
  <c r="T3466" i="6"/>
  <c r="U3466" i="6" s="1"/>
  <c r="T3465" i="6"/>
  <c r="U3465" i="6" s="1"/>
  <c r="T3464" i="6"/>
  <c r="U3464" i="6" s="1"/>
  <c r="U3463" i="6"/>
  <c r="T3463" i="6"/>
  <c r="T3462" i="6"/>
  <c r="U3462" i="6" s="1"/>
  <c r="T3461" i="6"/>
  <c r="U3461" i="6" s="1"/>
  <c r="T3460" i="6"/>
  <c r="U3460" i="6" s="1"/>
  <c r="T3459" i="6"/>
  <c r="U3459" i="6" s="1"/>
  <c r="T3458" i="6"/>
  <c r="U3458" i="6" s="1"/>
  <c r="T3457" i="6"/>
  <c r="U3457" i="6" s="1"/>
  <c r="T3456" i="6"/>
  <c r="U3456" i="6" s="1"/>
  <c r="U3455" i="6"/>
  <c r="T3455" i="6"/>
  <c r="T3454" i="6"/>
  <c r="U3454" i="6" s="1"/>
  <c r="T3453" i="6"/>
  <c r="U3453" i="6" s="1"/>
  <c r="T3452" i="6"/>
  <c r="U3452" i="6" s="1"/>
  <c r="T3451" i="6"/>
  <c r="U3451" i="6" s="1"/>
  <c r="T3450" i="6"/>
  <c r="U3450" i="6" s="1"/>
  <c r="T3449" i="6"/>
  <c r="U3449" i="6" s="1"/>
  <c r="T3448" i="6"/>
  <c r="U3448" i="6" s="1"/>
  <c r="U3447" i="6"/>
  <c r="T3447" i="6"/>
  <c r="T3446" i="6"/>
  <c r="U3446" i="6" s="1"/>
  <c r="T3445" i="6"/>
  <c r="U3445" i="6" s="1"/>
  <c r="T3444" i="6"/>
  <c r="U3444" i="6" s="1"/>
  <c r="T3443" i="6"/>
  <c r="U3443" i="6" s="1"/>
  <c r="T3442" i="6"/>
  <c r="U3442" i="6" s="1"/>
  <c r="T3441" i="6"/>
  <c r="U3441" i="6" s="1"/>
  <c r="T3440" i="6"/>
  <c r="U3440" i="6" s="1"/>
  <c r="U3439" i="6"/>
  <c r="T3439" i="6"/>
  <c r="T3438" i="6"/>
  <c r="U3438" i="6" s="1"/>
  <c r="T3437" i="6"/>
  <c r="U3437" i="6" s="1"/>
  <c r="T3436" i="6"/>
  <c r="U3436" i="6" s="1"/>
  <c r="T3435" i="6"/>
  <c r="U3435" i="6" s="1"/>
  <c r="T3434" i="6"/>
  <c r="U3434" i="6" s="1"/>
  <c r="T3433" i="6"/>
  <c r="U3433" i="6" s="1"/>
  <c r="T3432" i="6"/>
  <c r="U3432" i="6" s="1"/>
  <c r="U3431" i="6"/>
  <c r="T3431" i="6"/>
  <c r="T3430" i="6"/>
  <c r="U3430" i="6" s="1"/>
  <c r="T3429" i="6"/>
  <c r="U3429" i="6" s="1"/>
  <c r="T3428" i="6"/>
  <c r="U3428" i="6" s="1"/>
  <c r="T3427" i="6"/>
  <c r="U3427" i="6" s="1"/>
  <c r="T3426" i="6"/>
  <c r="U3426" i="6" s="1"/>
  <c r="T3425" i="6"/>
  <c r="U3425" i="6" s="1"/>
  <c r="T3424" i="6"/>
  <c r="U3424" i="6" s="1"/>
  <c r="U3423" i="6"/>
  <c r="T3423" i="6"/>
  <c r="T3422" i="6"/>
  <c r="U3422" i="6" s="1"/>
  <c r="T3421" i="6"/>
  <c r="U3421" i="6" s="1"/>
  <c r="T3420" i="6"/>
  <c r="U3420" i="6" s="1"/>
  <c r="T3419" i="6"/>
  <c r="U3419" i="6" s="1"/>
  <c r="T3418" i="6"/>
  <c r="U3418" i="6" s="1"/>
  <c r="T3417" i="6"/>
  <c r="U3417" i="6" s="1"/>
  <c r="T3416" i="6"/>
  <c r="U3416" i="6" s="1"/>
  <c r="U3415" i="6"/>
  <c r="T3415" i="6"/>
  <c r="T3414" i="6"/>
  <c r="U3414" i="6" s="1"/>
  <c r="T3413" i="6"/>
  <c r="U3413" i="6" s="1"/>
  <c r="T3412" i="6"/>
  <c r="U3412" i="6" s="1"/>
  <c r="T3411" i="6"/>
  <c r="U3411" i="6" s="1"/>
  <c r="T3410" i="6"/>
  <c r="U3410" i="6" s="1"/>
  <c r="T3409" i="6"/>
  <c r="U3409" i="6" s="1"/>
  <c r="T3408" i="6"/>
  <c r="U3408" i="6" s="1"/>
  <c r="U3407" i="6"/>
  <c r="T3407" i="6"/>
  <c r="T3406" i="6"/>
  <c r="U3406" i="6" s="1"/>
  <c r="T3405" i="6"/>
  <c r="U3405" i="6" s="1"/>
  <c r="T3404" i="6"/>
  <c r="U3404" i="6" s="1"/>
  <c r="T3403" i="6"/>
  <c r="U3403" i="6" s="1"/>
  <c r="T3402" i="6"/>
  <c r="U3402" i="6" s="1"/>
  <c r="T3401" i="6"/>
  <c r="U3401" i="6" s="1"/>
  <c r="T3400" i="6"/>
  <c r="U3400" i="6" s="1"/>
  <c r="U3399" i="6"/>
  <c r="T3399" i="6"/>
  <c r="T3398" i="6"/>
  <c r="U3398" i="6" s="1"/>
  <c r="T3397" i="6"/>
  <c r="U3397" i="6" s="1"/>
  <c r="T3396" i="6"/>
  <c r="U3396" i="6" s="1"/>
  <c r="T3395" i="6"/>
  <c r="U3395" i="6" s="1"/>
  <c r="T3394" i="6"/>
  <c r="U3394" i="6" s="1"/>
  <c r="T3393" i="6"/>
  <c r="U3393" i="6" s="1"/>
  <c r="T3392" i="6"/>
  <c r="U3392" i="6" s="1"/>
  <c r="U3391" i="6"/>
  <c r="T3391" i="6"/>
  <c r="T3390" i="6"/>
  <c r="U3390" i="6" s="1"/>
  <c r="T3389" i="6"/>
  <c r="U3389" i="6" s="1"/>
  <c r="T3388" i="6"/>
  <c r="U3388" i="6" s="1"/>
  <c r="T3387" i="6"/>
  <c r="U3387" i="6" s="1"/>
  <c r="T3386" i="6"/>
  <c r="U3386" i="6" s="1"/>
  <c r="T3385" i="6"/>
  <c r="U3385" i="6" s="1"/>
  <c r="T3384" i="6"/>
  <c r="U3384" i="6" s="1"/>
  <c r="T3383" i="6"/>
  <c r="U3383" i="6" s="1"/>
  <c r="T3382" i="6"/>
  <c r="U3382" i="6" s="1"/>
  <c r="T3381" i="6"/>
  <c r="U3381" i="6" s="1"/>
  <c r="T3380" i="6"/>
  <c r="U3380" i="6" s="1"/>
  <c r="T3379" i="6"/>
  <c r="U3379" i="6" s="1"/>
  <c r="T3378" i="6"/>
  <c r="U3378" i="6" s="1"/>
  <c r="T3377" i="6"/>
  <c r="U3377" i="6" s="1"/>
  <c r="T3376" i="6"/>
  <c r="U3376" i="6" s="1"/>
  <c r="U3375" i="6"/>
  <c r="T3375" i="6"/>
  <c r="T3374" i="6"/>
  <c r="U3374" i="6" s="1"/>
  <c r="T3373" i="6"/>
  <c r="U3373" i="6" s="1"/>
  <c r="T3372" i="6"/>
  <c r="U3372" i="6" s="1"/>
  <c r="T3371" i="6"/>
  <c r="U3371" i="6" s="1"/>
  <c r="T3370" i="6"/>
  <c r="U3370" i="6" s="1"/>
  <c r="T3369" i="6"/>
  <c r="U3369" i="6" s="1"/>
  <c r="T3368" i="6"/>
  <c r="U3368" i="6" s="1"/>
  <c r="T3367" i="6"/>
  <c r="U3367" i="6" s="1"/>
  <c r="T3366" i="6"/>
  <c r="U3366" i="6" s="1"/>
  <c r="T3365" i="6"/>
  <c r="U3365" i="6" s="1"/>
  <c r="T3364" i="6"/>
  <c r="U3364" i="6" s="1"/>
  <c r="T3363" i="6"/>
  <c r="U3363" i="6" s="1"/>
  <c r="T3362" i="6"/>
  <c r="U3362" i="6" s="1"/>
  <c r="T3361" i="6"/>
  <c r="U3361" i="6" s="1"/>
  <c r="T3360" i="6"/>
  <c r="U3360" i="6" s="1"/>
  <c r="U3359" i="6"/>
  <c r="T3359" i="6"/>
  <c r="T3358" i="6"/>
  <c r="U3358" i="6" s="1"/>
  <c r="T3357" i="6"/>
  <c r="U3357" i="6" s="1"/>
  <c r="T3356" i="6"/>
  <c r="U3356" i="6" s="1"/>
  <c r="T3355" i="6"/>
  <c r="U3355" i="6" s="1"/>
  <c r="T3354" i="6"/>
  <c r="U3354" i="6" s="1"/>
  <c r="T3353" i="6"/>
  <c r="U3353" i="6" s="1"/>
  <c r="T3352" i="6"/>
  <c r="U3352" i="6" s="1"/>
  <c r="T3351" i="6"/>
  <c r="U3351" i="6" s="1"/>
  <c r="T3350" i="6"/>
  <c r="U3350" i="6" s="1"/>
  <c r="T3349" i="6"/>
  <c r="U3349" i="6" s="1"/>
  <c r="T3348" i="6"/>
  <c r="U3348" i="6" s="1"/>
  <c r="T3347" i="6"/>
  <c r="U3347" i="6" s="1"/>
  <c r="T3346" i="6"/>
  <c r="U3346" i="6" s="1"/>
  <c r="T3345" i="6"/>
  <c r="U3345" i="6" s="1"/>
  <c r="T3344" i="6"/>
  <c r="U3344" i="6" s="1"/>
  <c r="U3343" i="6"/>
  <c r="T3343" i="6"/>
  <c r="T3342" i="6"/>
  <c r="U3342" i="6" s="1"/>
  <c r="T3341" i="6"/>
  <c r="U3341" i="6" s="1"/>
  <c r="T3340" i="6"/>
  <c r="U3340" i="6" s="1"/>
  <c r="T3339" i="6"/>
  <c r="U3339" i="6" s="1"/>
  <c r="T3338" i="6"/>
  <c r="U3338" i="6" s="1"/>
  <c r="T3337" i="6"/>
  <c r="U3337" i="6" s="1"/>
  <c r="T3336" i="6"/>
  <c r="U3336" i="6" s="1"/>
  <c r="T3335" i="6"/>
  <c r="U3335" i="6" s="1"/>
  <c r="T3334" i="6"/>
  <c r="U3334" i="6" s="1"/>
  <c r="T3333" i="6"/>
  <c r="U3333" i="6" s="1"/>
  <c r="T3332" i="6"/>
  <c r="U3332" i="6" s="1"/>
  <c r="T3331" i="6"/>
  <c r="U3331" i="6" s="1"/>
  <c r="T3330" i="6"/>
  <c r="U3330" i="6" s="1"/>
  <c r="T3329" i="6"/>
  <c r="U3329" i="6" s="1"/>
  <c r="T3328" i="6"/>
  <c r="U3328" i="6" s="1"/>
  <c r="U3327" i="6"/>
  <c r="T3327" i="6"/>
  <c r="T3326" i="6"/>
  <c r="U3326" i="6" s="1"/>
  <c r="T3325" i="6"/>
  <c r="U3325" i="6" s="1"/>
  <c r="T3324" i="6"/>
  <c r="U3324" i="6" s="1"/>
  <c r="T3323" i="6"/>
  <c r="U3323" i="6" s="1"/>
  <c r="T3322" i="6"/>
  <c r="U3322" i="6" s="1"/>
  <c r="T3321" i="6"/>
  <c r="U3321" i="6" s="1"/>
  <c r="T3320" i="6"/>
  <c r="U3320" i="6" s="1"/>
  <c r="T3319" i="6"/>
  <c r="U3319" i="6" s="1"/>
  <c r="T3318" i="6"/>
  <c r="U3318" i="6" s="1"/>
  <c r="T3317" i="6"/>
  <c r="U3317" i="6" s="1"/>
  <c r="T3316" i="6"/>
  <c r="U3316" i="6" s="1"/>
  <c r="T3315" i="6"/>
  <c r="U3315" i="6" s="1"/>
  <c r="T3314" i="6"/>
  <c r="U3314" i="6" s="1"/>
  <c r="T3313" i="6"/>
  <c r="U3313" i="6" s="1"/>
  <c r="T3312" i="6"/>
  <c r="U3312" i="6" s="1"/>
  <c r="U3311" i="6"/>
  <c r="T3311" i="6"/>
  <c r="T3310" i="6"/>
  <c r="U3310" i="6" s="1"/>
  <c r="T3309" i="6"/>
  <c r="U3309" i="6" s="1"/>
  <c r="T3308" i="6"/>
  <c r="U3308" i="6" s="1"/>
  <c r="T3307" i="6"/>
  <c r="U3307" i="6" s="1"/>
  <c r="T3306" i="6"/>
  <c r="U3306" i="6" s="1"/>
  <c r="T3305" i="6"/>
  <c r="U3305" i="6" s="1"/>
  <c r="T3304" i="6"/>
  <c r="U3304" i="6" s="1"/>
  <c r="T3303" i="6"/>
  <c r="U3303" i="6" s="1"/>
  <c r="T3302" i="6"/>
  <c r="U3302" i="6" s="1"/>
  <c r="T3301" i="6"/>
  <c r="U3301" i="6" s="1"/>
  <c r="T3300" i="6"/>
  <c r="U3300" i="6" s="1"/>
  <c r="T3299" i="6"/>
  <c r="U3299" i="6" s="1"/>
  <c r="T3298" i="6"/>
  <c r="U3298" i="6" s="1"/>
  <c r="T3297" i="6"/>
  <c r="U3297" i="6" s="1"/>
  <c r="T3296" i="6"/>
  <c r="U3296" i="6" s="1"/>
  <c r="U3295" i="6"/>
  <c r="T3295" i="6"/>
  <c r="T3294" i="6"/>
  <c r="U3294" i="6" s="1"/>
  <c r="T3293" i="6"/>
  <c r="U3293" i="6" s="1"/>
  <c r="T3292" i="6"/>
  <c r="U3292" i="6" s="1"/>
  <c r="T3291" i="6"/>
  <c r="U3291" i="6" s="1"/>
  <c r="T3290" i="6"/>
  <c r="U3290" i="6" s="1"/>
  <c r="T3289" i="6"/>
  <c r="U3289" i="6" s="1"/>
  <c r="T3288" i="6"/>
  <c r="U3288" i="6" s="1"/>
  <c r="T3287" i="6"/>
  <c r="U3287" i="6" s="1"/>
  <c r="T3286" i="6"/>
  <c r="U3286" i="6" s="1"/>
  <c r="T3285" i="6"/>
  <c r="U3285" i="6" s="1"/>
  <c r="T3284" i="6"/>
  <c r="U3284" i="6" s="1"/>
  <c r="T3283" i="6"/>
  <c r="U3283" i="6" s="1"/>
  <c r="T3282" i="6"/>
  <c r="U3282" i="6" s="1"/>
  <c r="T3281" i="6"/>
  <c r="U3281" i="6" s="1"/>
  <c r="T3280" i="6"/>
  <c r="U3280" i="6" s="1"/>
  <c r="U3279" i="6"/>
  <c r="T3279" i="6"/>
  <c r="T3278" i="6"/>
  <c r="U3278" i="6" s="1"/>
  <c r="T3277" i="6"/>
  <c r="U3277" i="6" s="1"/>
  <c r="T3276" i="6"/>
  <c r="U3276" i="6" s="1"/>
  <c r="T3275" i="6"/>
  <c r="U3275" i="6" s="1"/>
  <c r="T3274" i="6"/>
  <c r="U3274" i="6" s="1"/>
  <c r="T3273" i="6"/>
  <c r="U3273" i="6" s="1"/>
  <c r="T3272" i="6"/>
  <c r="U3272" i="6" s="1"/>
  <c r="T3271" i="6"/>
  <c r="U3271" i="6" s="1"/>
  <c r="T3270" i="6"/>
  <c r="U3270" i="6" s="1"/>
  <c r="T3269" i="6"/>
  <c r="U3269" i="6" s="1"/>
  <c r="T3268" i="6"/>
  <c r="U3268" i="6" s="1"/>
  <c r="T3267" i="6"/>
  <c r="U3267" i="6" s="1"/>
  <c r="T3266" i="6"/>
  <c r="U3266" i="6" s="1"/>
  <c r="T3265" i="6"/>
  <c r="U3265" i="6" s="1"/>
  <c r="T3264" i="6"/>
  <c r="U3264" i="6" s="1"/>
  <c r="U3263" i="6"/>
  <c r="T3263" i="6"/>
  <c r="T3262" i="6"/>
  <c r="U3262" i="6" s="1"/>
  <c r="T3261" i="6"/>
  <c r="U3261" i="6" s="1"/>
  <c r="T3260" i="6"/>
  <c r="U3260" i="6" s="1"/>
  <c r="T3259" i="6"/>
  <c r="U3259" i="6" s="1"/>
  <c r="T3258" i="6"/>
  <c r="U3258" i="6" s="1"/>
  <c r="T3257" i="6"/>
  <c r="U3257" i="6" s="1"/>
  <c r="T3256" i="6"/>
  <c r="U3256" i="6" s="1"/>
  <c r="T3255" i="6"/>
  <c r="U3255" i="6" s="1"/>
  <c r="T3254" i="6"/>
  <c r="U3254" i="6" s="1"/>
  <c r="T3253" i="6"/>
  <c r="U3253" i="6" s="1"/>
  <c r="T3252" i="6"/>
  <c r="U3252" i="6" s="1"/>
  <c r="T3251" i="6"/>
  <c r="U3251" i="6" s="1"/>
  <c r="T3250" i="6"/>
  <c r="U3250" i="6" s="1"/>
  <c r="T3249" i="6"/>
  <c r="U3249" i="6" s="1"/>
  <c r="T3248" i="6"/>
  <c r="U3248" i="6" s="1"/>
  <c r="U3247" i="6"/>
  <c r="T3247" i="6"/>
  <c r="T3246" i="6"/>
  <c r="U3246" i="6" s="1"/>
  <c r="T3245" i="6"/>
  <c r="U3245" i="6" s="1"/>
  <c r="T3244" i="6"/>
  <c r="U3244" i="6" s="1"/>
  <c r="T3243" i="6"/>
  <c r="U3243" i="6" s="1"/>
  <c r="T3242" i="6"/>
  <c r="U3242" i="6" s="1"/>
  <c r="T3241" i="6"/>
  <c r="U3241" i="6" s="1"/>
  <c r="T3240" i="6"/>
  <c r="U3240" i="6" s="1"/>
  <c r="T3239" i="6"/>
  <c r="U3239" i="6" s="1"/>
  <c r="T3238" i="6"/>
  <c r="U3238" i="6" s="1"/>
  <c r="T3237" i="6"/>
  <c r="U3237" i="6" s="1"/>
  <c r="T3236" i="6"/>
  <c r="U3236" i="6" s="1"/>
  <c r="T3235" i="6"/>
  <c r="U3235" i="6" s="1"/>
  <c r="T3234" i="6"/>
  <c r="U3234" i="6" s="1"/>
  <c r="T3233" i="6"/>
  <c r="U3233" i="6" s="1"/>
  <c r="T3232" i="6"/>
  <c r="U3232" i="6" s="1"/>
  <c r="U3231" i="6"/>
  <c r="T3231" i="6"/>
  <c r="T3230" i="6"/>
  <c r="U3230" i="6" s="1"/>
  <c r="T3229" i="6"/>
  <c r="U3229" i="6" s="1"/>
  <c r="T3228" i="6"/>
  <c r="U3228" i="6" s="1"/>
  <c r="T3227" i="6"/>
  <c r="U3227" i="6" s="1"/>
  <c r="T3226" i="6"/>
  <c r="U3226" i="6" s="1"/>
  <c r="T3225" i="6"/>
  <c r="U3225" i="6" s="1"/>
  <c r="T3224" i="6"/>
  <c r="U3224" i="6" s="1"/>
  <c r="T3223" i="6"/>
  <c r="U3223" i="6" s="1"/>
  <c r="T3222" i="6"/>
  <c r="U3222" i="6" s="1"/>
  <c r="T3221" i="6"/>
  <c r="U3221" i="6" s="1"/>
  <c r="T3220" i="6"/>
  <c r="U3220" i="6" s="1"/>
  <c r="T3219" i="6"/>
  <c r="U3219" i="6" s="1"/>
  <c r="T3218" i="6"/>
  <c r="U3218" i="6" s="1"/>
  <c r="T3217" i="6"/>
  <c r="U3217" i="6" s="1"/>
  <c r="T3216" i="6"/>
  <c r="U3216" i="6" s="1"/>
  <c r="U3215" i="6"/>
  <c r="T3215" i="6"/>
  <c r="T3214" i="6"/>
  <c r="U3214" i="6" s="1"/>
  <c r="T3213" i="6"/>
  <c r="U3213" i="6" s="1"/>
  <c r="T3212" i="6"/>
  <c r="U3212" i="6" s="1"/>
  <c r="T3211" i="6"/>
  <c r="U3211" i="6" s="1"/>
  <c r="T3210" i="6"/>
  <c r="U3210" i="6" s="1"/>
  <c r="T3209" i="6"/>
  <c r="U3209" i="6" s="1"/>
  <c r="T3208" i="6"/>
  <c r="U3208" i="6" s="1"/>
  <c r="T3207" i="6"/>
  <c r="U3207" i="6" s="1"/>
  <c r="T3206" i="6"/>
  <c r="U3206" i="6" s="1"/>
  <c r="T3205" i="6"/>
  <c r="U3205" i="6" s="1"/>
  <c r="T3204" i="6"/>
  <c r="U3204" i="6" s="1"/>
  <c r="T3203" i="6"/>
  <c r="U3203" i="6" s="1"/>
  <c r="T3202" i="6"/>
  <c r="U3202" i="6" s="1"/>
  <c r="T3201" i="6"/>
  <c r="U3201" i="6" s="1"/>
  <c r="T3200" i="6"/>
  <c r="U3200" i="6" s="1"/>
  <c r="U3199" i="6"/>
  <c r="T3199" i="6"/>
  <c r="T3198" i="6"/>
  <c r="U3198" i="6" s="1"/>
  <c r="T3197" i="6"/>
  <c r="U3197" i="6" s="1"/>
  <c r="T3196" i="6"/>
  <c r="U3196" i="6" s="1"/>
  <c r="T3195" i="6"/>
  <c r="U3195" i="6" s="1"/>
  <c r="T3194" i="6"/>
  <c r="U3194" i="6" s="1"/>
  <c r="T3193" i="6"/>
  <c r="U3193" i="6" s="1"/>
  <c r="T3192" i="6"/>
  <c r="U3192" i="6" s="1"/>
  <c r="T3191" i="6"/>
  <c r="U3191" i="6" s="1"/>
  <c r="T3190" i="6"/>
  <c r="U3190" i="6" s="1"/>
  <c r="T3189" i="6"/>
  <c r="U3189" i="6" s="1"/>
  <c r="T3188" i="6"/>
  <c r="U3188" i="6" s="1"/>
  <c r="T3187" i="6"/>
  <c r="U3187" i="6" s="1"/>
  <c r="T3186" i="6"/>
  <c r="U3186" i="6" s="1"/>
  <c r="T3185" i="6"/>
  <c r="U3185" i="6" s="1"/>
  <c r="T3184" i="6"/>
  <c r="U3184" i="6" s="1"/>
  <c r="U3183" i="6"/>
  <c r="T3183" i="6"/>
  <c r="T3182" i="6"/>
  <c r="U3182" i="6" s="1"/>
  <c r="T3181" i="6"/>
  <c r="U3181" i="6" s="1"/>
  <c r="T3180" i="6"/>
  <c r="U3180" i="6" s="1"/>
  <c r="T3179" i="6"/>
  <c r="U3179" i="6" s="1"/>
  <c r="T3178" i="6"/>
  <c r="U3178" i="6" s="1"/>
  <c r="T3177" i="6"/>
  <c r="U3177" i="6" s="1"/>
  <c r="T3176" i="6"/>
  <c r="U3176" i="6" s="1"/>
  <c r="T3175" i="6"/>
  <c r="U3175" i="6" s="1"/>
  <c r="T3174" i="6"/>
  <c r="U3174" i="6" s="1"/>
  <c r="T3173" i="6"/>
  <c r="U3173" i="6" s="1"/>
  <c r="T3172" i="6"/>
  <c r="U3172" i="6" s="1"/>
  <c r="T3171" i="6"/>
  <c r="U3171" i="6" s="1"/>
  <c r="T3170" i="6"/>
  <c r="U3170" i="6" s="1"/>
  <c r="T3169" i="6"/>
  <c r="U3169" i="6" s="1"/>
  <c r="T3168" i="6"/>
  <c r="U3168" i="6" s="1"/>
  <c r="U3167" i="6"/>
  <c r="T3167" i="6"/>
  <c r="T3166" i="6"/>
  <c r="U3166" i="6" s="1"/>
  <c r="T3165" i="6"/>
  <c r="U3165" i="6" s="1"/>
  <c r="T3164" i="6"/>
  <c r="U3164" i="6" s="1"/>
  <c r="T3163" i="6"/>
  <c r="U3163" i="6" s="1"/>
  <c r="T3162" i="6"/>
  <c r="U3162" i="6" s="1"/>
  <c r="T3161" i="6"/>
  <c r="U3161" i="6" s="1"/>
  <c r="T3160" i="6"/>
  <c r="U3160" i="6" s="1"/>
  <c r="T3159" i="6"/>
  <c r="U3159" i="6" s="1"/>
  <c r="T3158" i="6"/>
  <c r="U3158" i="6" s="1"/>
  <c r="T3157" i="6"/>
  <c r="U3157" i="6" s="1"/>
  <c r="T3156" i="6"/>
  <c r="U3156" i="6" s="1"/>
  <c r="T3155" i="6"/>
  <c r="U3155" i="6" s="1"/>
  <c r="T3154" i="6"/>
  <c r="U3154" i="6" s="1"/>
  <c r="T3153" i="6"/>
  <c r="U3153" i="6" s="1"/>
  <c r="T3152" i="6"/>
  <c r="U3152" i="6" s="1"/>
  <c r="U3151" i="6"/>
  <c r="T3151" i="6"/>
  <c r="T3150" i="6"/>
  <c r="U3150" i="6" s="1"/>
  <c r="T3149" i="6"/>
  <c r="U3149" i="6" s="1"/>
  <c r="T3148" i="6"/>
  <c r="U3148" i="6" s="1"/>
  <c r="T3147" i="6"/>
  <c r="U3147" i="6" s="1"/>
  <c r="T3146" i="6"/>
  <c r="U3146" i="6" s="1"/>
  <c r="T3145" i="6"/>
  <c r="U3145" i="6" s="1"/>
  <c r="T3144" i="6"/>
  <c r="U3144" i="6" s="1"/>
  <c r="T3143" i="6"/>
  <c r="U3143" i="6" s="1"/>
  <c r="T3142" i="6"/>
  <c r="U3142" i="6" s="1"/>
  <c r="T3141" i="6"/>
  <c r="U3141" i="6" s="1"/>
  <c r="T3140" i="6"/>
  <c r="U3140" i="6" s="1"/>
  <c r="T3139" i="6"/>
  <c r="U3139" i="6" s="1"/>
  <c r="T3138" i="6"/>
  <c r="U3138" i="6" s="1"/>
  <c r="T3137" i="6"/>
  <c r="U3137" i="6" s="1"/>
  <c r="T3136" i="6"/>
  <c r="U3136" i="6" s="1"/>
  <c r="T3135" i="6"/>
  <c r="U3135" i="6" s="1"/>
  <c r="T3134" i="6"/>
  <c r="U3134" i="6" s="1"/>
  <c r="T3133" i="6"/>
  <c r="U3133" i="6" s="1"/>
  <c r="T3132" i="6"/>
  <c r="U3132" i="6" s="1"/>
  <c r="T3131" i="6"/>
  <c r="U3131" i="6" s="1"/>
  <c r="T3130" i="6"/>
  <c r="U3130" i="6" s="1"/>
  <c r="T3129" i="6"/>
  <c r="U3129" i="6" s="1"/>
  <c r="T3128" i="6"/>
  <c r="U3128" i="6" s="1"/>
  <c r="T3127" i="6"/>
  <c r="U3127" i="6" s="1"/>
  <c r="T3126" i="6"/>
  <c r="U3126" i="6" s="1"/>
  <c r="T3125" i="6"/>
  <c r="U3125" i="6" s="1"/>
  <c r="T3124" i="6"/>
  <c r="U3124" i="6" s="1"/>
  <c r="T3123" i="6"/>
  <c r="U3123" i="6" s="1"/>
  <c r="T3122" i="6"/>
  <c r="U3122" i="6" s="1"/>
  <c r="T3121" i="6"/>
  <c r="U3121" i="6" s="1"/>
  <c r="T3120" i="6"/>
  <c r="U3120" i="6" s="1"/>
  <c r="U3119" i="6"/>
  <c r="T3119" i="6"/>
  <c r="T3118" i="6"/>
  <c r="U3118" i="6" s="1"/>
  <c r="T3117" i="6"/>
  <c r="U3117" i="6" s="1"/>
  <c r="T3116" i="6"/>
  <c r="U3116" i="6" s="1"/>
  <c r="T3115" i="6"/>
  <c r="U3115" i="6" s="1"/>
  <c r="T3114" i="6"/>
  <c r="U3114" i="6" s="1"/>
  <c r="T3113" i="6"/>
  <c r="U3113" i="6" s="1"/>
  <c r="T3112" i="6"/>
  <c r="U3112" i="6" s="1"/>
  <c r="T3111" i="6"/>
  <c r="U3111" i="6" s="1"/>
  <c r="T3110" i="6"/>
  <c r="U3110" i="6" s="1"/>
  <c r="T3109" i="6"/>
  <c r="U3109" i="6" s="1"/>
  <c r="T3108" i="6"/>
  <c r="U3108" i="6" s="1"/>
  <c r="T3107" i="6"/>
  <c r="U3107" i="6" s="1"/>
  <c r="T3106" i="6"/>
  <c r="U3106" i="6" s="1"/>
  <c r="T3105" i="6"/>
  <c r="U3105" i="6" s="1"/>
  <c r="T3104" i="6"/>
  <c r="U3104" i="6" s="1"/>
  <c r="T3103" i="6"/>
  <c r="U3103" i="6" s="1"/>
  <c r="T3102" i="6"/>
  <c r="U3102" i="6" s="1"/>
  <c r="T3101" i="6"/>
  <c r="U3101" i="6" s="1"/>
  <c r="T3100" i="6"/>
  <c r="U3100" i="6" s="1"/>
  <c r="T3099" i="6"/>
  <c r="U3099" i="6" s="1"/>
  <c r="T3098" i="6"/>
  <c r="U3098" i="6" s="1"/>
  <c r="T3097" i="6"/>
  <c r="U3097" i="6" s="1"/>
  <c r="T3096" i="6"/>
  <c r="U3096" i="6" s="1"/>
  <c r="T3095" i="6"/>
  <c r="U3095" i="6" s="1"/>
  <c r="T3094" i="6"/>
  <c r="U3094" i="6" s="1"/>
  <c r="T3093" i="6"/>
  <c r="U3093" i="6" s="1"/>
  <c r="T3092" i="6"/>
  <c r="U3092" i="6" s="1"/>
  <c r="T3091" i="6"/>
  <c r="U3091" i="6" s="1"/>
  <c r="T3090" i="6"/>
  <c r="U3090" i="6" s="1"/>
  <c r="T3089" i="6"/>
  <c r="U3089" i="6" s="1"/>
  <c r="T3088" i="6"/>
  <c r="U3088" i="6" s="1"/>
  <c r="U3087" i="6"/>
  <c r="T3087" i="6"/>
  <c r="T3086" i="6"/>
  <c r="U3086" i="6" s="1"/>
  <c r="T3085" i="6"/>
  <c r="U3085" i="6" s="1"/>
  <c r="T3084" i="6"/>
  <c r="U3084" i="6" s="1"/>
  <c r="T3083" i="6"/>
  <c r="U3083" i="6" s="1"/>
  <c r="T3082" i="6"/>
  <c r="U3082" i="6" s="1"/>
  <c r="T3081" i="6"/>
  <c r="U3081" i="6" s="1"/>
  <c r="T3080" i="6"/>
  <c r="U3080" i="6" s="1"/>
  <c r="U3079" i="6"/>
  <c r="T3079" i="6"/>
  <c r="T3078" i="6"/>
  <c r="U3078" i="6" s="1"/>
  <c r="T3077" i="6"/>
  <c r="U3077" i="6" s="1"/>
  <c r="T3076" i="6"/>
  <c r="U3076" i="6" s="1"/>
  <c r="T3075" i="6"/>
  <c r="U3075" i="6" s="1"/>
  <c r="T3074" i="6"/>
  <c r="U3074" i="6" s="1"/>
  <c r="T3073" i="6"/>
  <c r="U3073" i="6" s="1"/>
  <c r="T3072" i="6"/>
  <c r="U3072" i="6" s="1"/>
  <c r="T3071" i="6"/>
  <c r="U3071" i="6" s="1"/>
  <c r="T3070" i="6"/>
  <c r="U3070" i="6" s="1"/>
  <c r="T3069" i="6"/>
  <c r="U3069" i="6" s="1"/>
  <c r="T3068" i="6"/>
  <c r="U3068" i="6" s="1"/>
  <c r="T3067" i="6"/>
  <c r="U3067" i="6" s="1"/>
  <c r="T3066" i="6"/>
  <c r="U3066" i="6" s="1"/>
  <c r="T3065" i="6"/>
  <c r="U3065" i="6" s="1"/>
  <c r="T3064" i="6"/>
  <c r="U3064" i="6" s="1"/>
  <c r="T3063" i="6"/>
  <c r="U3063" i="6" s="1"/>
  <c r="T3062" i="6"/>
  <c r="U3062" i="6" s="1"/>
  <c r="T3061" i="6"/>
  <c r="U3061" i="6" s="1"/>
  <c r="T3060" i="6"/>
  <c r="U3060" i="6" s="1"/>
  <c r="T3059" i="6"/>
  <c r="U3059" i="6" s="1"/>
  <c r="T3058" i="6"/>
  <c r="U3058" i="6" s="1"/>
  <c r="T3057" i="6"/>
  <c r="U3057" i="6" s="1"/>
  <c r="T3056" i="6"/>
  <c r="U3056" i="6" s="1"/>
  <c r="U3055" i="6"/>
  <c r="T3055" i="6"/>
  <c r="T3054" i="6"/>
  <c r="U3054" i="6" s="1"/>
  <c r="T3053" i="6"/>
  <c r="U3053" i="6" s="1"/>
  <c r="T3052" i="6"/>
  <c r="U3052" i="6" s="1"/>
  <c r="T3051" i="6"/>
  <c r="U3051" i="6" s="1"/>
  <c r="T3050" i="6"/>
  <c r="U3050" i="6" s="1"/>
  <c r="T3049" i="6"/>
  <c r="U3049" i="6" s="1"/>
  <c r="T3048" i="6"/>
  <c r="U3048" i="6" s="1"/>
  <c r="T3047" i="6"/>
  <c r="U3047" i="6" s="1"/>
  <c r="T3046" i="6"/>
  <c r="U3046" i="6" s="1"/>
  <c r="T3045" i="6"/>
  <c r="U3045" i="6" s="1"/>
  <c r="T3044" i="6"/>
  <c r="U3044" i="6" s="1"/>
  <c r="T3043" i="6"/>
  <c r="U3043" i="6" s="1"/>
  <c r="T3042" i="6"/>
  <c r="U3042" i="6" s="1"/>
  <c r="T3041" i="6"/>
  <c r="U3041" i="6" s="1"/>
  <c r="T3040" i="6"/>
  <c r="U3040" i="6" s="1"/>
  <c r="T3039" i="6"/>
  <c r="U3039" i="6" s="1"/>
  <c r="T3038" i="6"/>
  <c r="U3038" i="6" s="1"/>
  <c r="T3037" i="6"/>
  <c r="U3037" i="6" s="1"/>
  <c r="T3036" i="6"/>
  <c r="U3036" i="6" s="1"/>
  <c r="T3035" i="6"/>
  <c r="U3035" i="6" s="1"/>
  <c r="T3034" i="6"/>
  <c r="U3034" i="6" s="1"/>
  <c r="T3033" i="6"/>
  <c r="U3033" i="6" s="1"/>
  <c r="T3032" i="6"/>
  <c r="U3032" i="6" s="1"/>
  <c r="T3031" i="6"/>
  <c r="U3031" i="6" s="1"/>
  <c r="T3030" i="6"/>
  <c r="U3030" i="6" s="1"/>
  <c r="T3029" i="6"/>
  <c r="U3029" i="6" s="1"/>
  <c r="T3028" i="6"/>
  <c r="U3028" i="6" s="1"/>
  <c r="T3027" i="6"/>
  <c r="U3027" i="6" s="1"/>
  <c r="T3026" i="6"/>
  <c r="U3026" i="6" s="1"/>
  <c r="T3025" i="6"/>
  <c r="U3025" i="6" s="1"/>
  <c r="T3024" i="6"/>
  <c r="U3024" i="6" s="1"/>
  <c r="U3023" i="6"/>
  <c r="T3023" i="6"/>
  <c r="T3022" i="6"/>
  <c r="U3022" i="6" s="1"/>
  <c r="T3021" i="6"/>
  <c r="U3021" i="6" s="1"/>
  <c r="T3020" i="6"/>
  <c r="U3020" i="6" s="1"/>
  <c r="T3019" i="6"/>
  <c r="U3019" i="6" s="1"/>
  <c r="T3018" i="6"/>
  <c r="U3018" i="6" s="1"/>
  <c r="T3017" i="6"/>
  <c r="U3017" i="6" s="1"/>
  <c r="T3016" i="6"/>
  <c r="U3016" i="6" s="1"/>
  <c r="T3015" i="6"/>
  <c r="U3015" i="6" s="1"/>
  <c r="T3014" i="6"/>
  <c r="U3014" i="6" s="1"/>
  <c r="T3013" i="6"/>
  <c r="U3013" i="6" s="1"/>
  <c r="T3012" i="6"/>
  <c r="U3012" i="6" s="1"/>
  <c r="T3011" i="6"/>
  <c r="U3011" i="6" s="1"/>
  <c r="T3010" i="6"/>
  <c r="U3010" i="6" s="1"/>
  <c r="T3009" i="6"/>
  <c r="U3009" i="6" s="1"/>
  <c r="T3008" i="6"/>
  <c r="U3008" i="6" s="1"/>
  <c r="T3007" i="6"/>
  <c r="U3007" i="6" s="1"/>
  <c r="T3006" i="6"/>
  <c r="U3006" i="6" s="1"/>
  <c r="T3005" i="6"/>
  <c r="U3005" i="6" s="1"/>
  <c r="T3004" i="6"/>
  <c r="U3004" i="6" s="1"/>
  <c r="T3003" i="6"/>
  <c r="U3003" i="6" s="1"/>
  <c r="T3002" i="6"/>
  <c r="U3002" i="6" s="1"/>
  <c r="T3001" i="6"/>
  <c r="U3001" i="6" s="1"/>
  <c r="T3000" i="6"/>
  <c r="U3000" i="6" s="1"/>
  <c r="T2999" i="6"/>
  <c r="U2999" i="6" s="1"/>
  <c r="T2998" i="6"/>
  <c r="U2998" i="6" s="1"/>
  <c r="T2997" i="6"/>
  <c r="U2997" i="6" s="1"/>
  <c r="T2996" i="6"/>
  <c r="U2996" i="6" s="1"/>
  <c r="T2995" i="6"/>
  <c r="U2995" i="6" s="1"/>
  <c r="T2994" i="6"/>
  <c r="U2994" i="6" s="1"/>
  <c r="T2993" i="6"/>
  <c r="U2993" i="6" s="1"/>
  <c r="T2992" i="6"/>
  <c r="U2992" i="6" s="1"/>
  <c r="U2991" i="6"/>
  <c r="T2991" i="6"/>
  <c r="T2990" i="6"/>
  <c r="U2990" i="6" s="1"/>
  <c r="T2989" i="6"/>
  <c r="U2989" i="6" s="1"/>
  <c r="T2988" i="6"/>
  <c r="U2988" i="6" s="1"/>
  <c r="T2987" i="6"/>
  <c r="U2987" i="6" s="1"/>
  <c r="T2986" i="6"/>
  <c r="U2986" i="6" s="1"/>
  <c r="T2985" i="6"/>
  <c r="U2985" i="6" s="1"/>
  <c r="T2984" i="6"/>
  <c r="U2984" i="6" s="1"/>
  <c r="U2983" i="6"/>
  <c r="T2983" i="6"/>
  <c r="T2982" i="6"/>
  <c r="U2982" i="6" s="1"/>
  <c r="T2981" i="6"/>
  <c r="U2981" i="6" s="1"/>
  <c r="T2980" i="6"/>
  <c r="U2980" i="6" s="1"/>
  <c r="T2979" i="6"/>
  <c r="U2979" i="6" s="1"/>
  <c r="T2978" i="6"/>
  <c r="U2978" i="6" s="1"/>
  <c r="T2977" i="6"/>
  <c r="U2977" i="6" s="1"/>
  <c r="T2976" i="6"/>
  <c r="U2976" i="6" s="1"/>
  <c r="T2975" i="6"/>
  <c r="U2975" i="6" s="1"/>
  <c r="T2974" i="6"/>
  <c r="U2974" i="6" s="1"/>
  <c r="T2973" i="6"/>
  <c r="U2973" i="6" s="1"/>
  <c r="T2972" i="6"/>
  <c r="U2972" i="6" s="1"/>
  <c r="T2971" i="6"/>
  <c r="U2971" i="6" s="1"/>
  <c r="T2970" i="6"/>
  <c r="U2970" i="6" s="1"/>
  <c r="T2969" i="6"/>
  <c r="U2969" i="6" s="1"/>
  <c r="T2968" i="6"/>
  <c r="U2968" i="6" s="1"/>
  <c r="T2967" i="6"/>
  <c r="U2967" i="6" s="1"/>
  <c r="T2966" i="6"/>
  <c r="U2966" i="6" s="1"/>
  <c r="T2965" i="6"/>
  <c r="U2965" i="6" s="1"/>
  <c r="T2964" i="6"/>
  <c r="U2964" i="6" s="1"/>
  <c r="T2963" i="6"/>
  <c r="U2963" i="6" s="1"/>
  <c r="T2962" i="6"/>
  <c r="U2962" i="6" s="1"/>
  <c r="T2961" i="6"/>
  <c r="U2961" i="6" s="1"/>
  <c r="T2960" i="6"/>
  <c r="U2960" i="6" s="1"/>
  <c r="U2959" i="6"/>
  <c r="T2959" i="6"/>
  <c r="T2958" i="6"/>
  <c r="U2958" i="6" s="1"/>
  <c r="T2957" i="6"/>
  <c r="U2957" i="6" s="1"/>
  <c r="T2956" i="6"/>
  <c r="U2956" i="6" s="1"/>
  <c r="T2955" i="6"/>
  <c r="U2955" i="6" s="1"/>
  <c r="T2954" i="6"/>
  <c r="U2954" i="6" s="1"/>
  <c r="T2953" i="6"/>
  <c r="U2953" i="6" s="1"/>
  <c r="T2952" i="6"/>
  <c r="U2952" i="6" s="1"/>
  <c r="U2951" i="6"/>
  <c r="T2951" i="6"/>
  <c r="T2950" i="6"/>
  <c r="U2950" i="6" s="1"/>
  <c r="T2949" i="6"/>
  <c r="U2949" i="6" s="1"/>
  <c r="T2948" i="6"/>
  <c r="U2948" i="6" s="1"/>
  <c r="T2947" i="6"/>
  <c r="U2947" i="6" s="1"/>
  <c r="T2946" i="6"/>
  <c r="U2946" i="6" s="1"/>
  <c r="T2945" i="6"/>
  <c r="U2945" i="6" s="1"/>
  <c r="T2944" i="6"/>
  <c r="U2944" i="6" s="1"/>
  <c r="T2943" i="6"/>
  <c r="U2943" i="6" s="1"/>
  <c r="T2942" i="6"/>
  <c r="U2942" i="6" s="1"/>
  <c r="T2941" i="6"/>
  <c r="U2941" i="6" s="1"/>
  <c r="T2940" i="6"/>
  <c r="U2940" i="6" s="1"/>
  <c r="T2939" i="6"/>
  <c r="U2939" i="6" s="1"/>
  <c r="T2938" i="6"/>
  <c r="U2938" i="6" s="1"/>
  <c r="T2937" i="6"/>
  <c r="U2937" i="6" s="1"/>
  <c r="T2936" i="6"/>
  <c r="U2936" i="6" s="1"/>
  <c r="T2935" i="6"/>
  <c r="U2935" i="6" s="1"/>
  <c r="T2934" i="6"/>
  <c r="U2934" i="6" s="1"/>
  <c r="T2933" i="6"/>
  <c r="U2933" i="6" s="1"/>
  <c r="T2932" i="6"/>
  <c r="U2932" i="6" s="1"/>
  <c r="U2931" i="6"/>
  <c r="T2931" i="6"/>
  <c r="T2930" i="6"/>
  <c r="U2930" i="6" s="1"/>
  <c r="T2929" i="6"/>
  <c r="U2929" i="6" s="1"/>
  <c r="T2928" i="6"/>
  <c r="U2928" i="6" s="1"/>
  <c r="T2927" i="6"/>
  <c r="U2927" i="6" s="1"/>
  <c r="T2926" i="6"/>
  <c r="U2926" i="6" s="1"/>
  <c r="T2925" i="6"/>
  <c r="U2925" i="6" s="1"/>
  <c r="T2924" i="6"/>
  <c r="U2924" i="6" s="1"/>
  <c r="T2923" i="6"/>
  <c r="U2923" i="6" s="1"/>
  <c r="T2922" i="6"/>
  <c r="U2922" i="6" s="1"/>
  <c r="T2921" i="6"/>
  <c r="U2921" i="6" s="1"/>
  <c r="T2920" i="6"/>
  <c r="U2920" i="6" s="1"/>
  <c r="T2919" i="6"/>
  <c r="U2919" i="6" s="1"/>
  <c r="T2918" i="6"/>
  <c r="U2918" i="6" s="1"/>
  <c r="T2917" i="6"/>
  <c r="U2917" i="6" s="1"/>
  <c r="T2916" i="6"/>
  <c r="U2916" i="6" s="1"/>
  <c r="U2915" i="6"/>
  <c r="T2915" i="6"/>
  <c r="T2914" i="6"/>
  <c r="U2914" i="6" s="1"/>
  <c r="T2913" i="6"/>
  <c r="U2913" i="6" s="1"/>
  <c r="T2912" i="6"/>
  <c r="U2912" i="6" s="1"/>
  <c r="T2911" i="6"/>
  <c r="U2911" i="6" s="1"/>
  <c r="T2910" i="6"/>
  <c r="U2910" i="6" s="1"/>
  <c r="T2909" i="6"/>
  <c r="U2909" i="6" s="1"/>
  <c r="T2908" i="6"/>
  <c r="U2908" i="6" s="1"/>
  <c r="T2907" i="6"/>
  <c r="U2907" i="6" s="1"/>
  <c r="T2906" i="6"/>
  <c r="U2906" i="6" s="1"/>
  <c r="T2905" i="6"/>
  <c r="U2905" i="6" s="1"/>
  <c r="T2904" i="6"/>
  <c r="U2904" i="6" s="1"/>
  <c r="T2903" i="6"/>
  <c r="U2903" i="6" s="1"/>
  <c r="T2902" i="6"/>
  <c r="U2902" i="6" s="1"/>
  <c r="T2901" i="6"/>
  <c r="U2901" i="6" s="1"/>
  <c r="T2900" i="6"/>
  <c r="U2900" i="6" s="1"/>
  <c r="U2899" i="6"/>
  <c r="T2899" i="6"/>
  <c r="T2898" i="6"/>
  <c r="U2898" i="6" s="1"/>
  <c r="T2897" i="6"/>
  <c r="U2897" i="6" s="1"/>
  <c r="T2896" i="6"/>
  <c r="U2896" i="6" s="1"/>
  <c r="T2895" i="6"/>
  <c r="U2895" i="6" s="1"/>
  <c r="T2894" i="6"/>
  <c r="U2894" i="6" s="1"/>
  <c r="T2893" i="6"/>
  <c r="U2893" i="6" s="1"/>
  <c r="T2892" i="6"/>
  <c r="U2892" i="6" s="1"/>
  <c r="T2891" i="6"/>
  <c r="U2891" i="6" s="1"/>
  <c r="T2890" i="6"/>
  <c r="U2890" i="6" s="1"/>
  <c r="T2889" i="6"/>
  <c r="U2889" i="6" s="1"/>
  <c r="T2888" i="6"/>
  <c r="U2888" i="6" s="1"/>
  <c r="T2887" i="6"/>
  <c r="U2887" i="6" s="1"/>
  <c r="T2886" i="6"/>
  <c r="U2886" i="6" s="1"/>
  <c r="T2885" i="6"/>
  <c r="U2885" i="6" s="1"/>
  <c r="T2884" i="6"/>
  <c r="U2884" i="6" s="1"/>
  <c r="U2883" i="6"/>
  <c r="T2883" i="6"/>
  <c r="T2882" i="6"/>
  <c r="U2882" i="6" s="1"/>
  <c r="T2881" i="6"/>
  <c r="U2881" i="6" s="1"/>
  <c r="T2880" i="6"/>
  <c r="U2880" i="6" s="1"/>
  <c r="T2879" i="6"/>
  <c r="U2879" i="6" s="1"/>
  <c r="T2878" i="6"/>
  <c r="U2878" i="6" s="1"/>
  <c r="T2877" i="6"/>
  <c r="U2877" i="6" s="1"/>
  <c r="T2876" i="6"/>
  <c r="U2876" i="6" s="1"/>
  <c r="T2875" i="6"/>
  <c r="U2875" i="6" s="1"/>
  <c r="T2874" i="6"/>
  <c r="U2874" i="6" s="1"/>
  <c r="T2873" i="6"/>
  <c r="U2873" i="6" s="1"/>
  <c r="T2872" i="6"/>
  <c r="U2872" i="6" s="1"/>
  <c r="T2871" i="6"/>
  <c r="U2871" i="6" s="1"/>
  <c r="T2870" i="6"/>
  <c r="U2870" i="6" s="1"/>
  <c r="T2869" i="6"/>
  <c r="U2869" i="6" s="1"/>
  <c r="T2868" i="6"/>
  <c r="U2868" i="6" s="1"/>
  <c r="U2867" i="6"/>
  <c r="T2867" i="6"/>
  <c r="T2866" i="6"/>
  <c r="U2866" i="6" s="1"/>
  <c r="T2865" i="6"/>
  <c r="U2865" i="6" s="1"/>
  <c r="T2864" i="6"/>
  <c r="U2864" i="6" s="1"/>
  <c r="T2863" i="6"/>
  <c r="U2863" i="6" s="1"/>
  <c r="T2862" i="6"/>
  <c r="U2862" i="6" s="1"/>
  <c r="T2861" i="6"/>
  <c r="U2861" i="6" s="1"/>
  <c r="T2860" i="6"/>
  <c r="U2860" i="6" s="1"/>
  <c r="T2859" i="6"/>
  <c r="U2859" i="6" s="1"/>
  <c r="T2858" i="6"/>
  <c r="U2858" i="6" s="1"/>
  <c r="T2857" i="6"/>
  <c r="U2857" i="6" s="1"/>
  <c r="T2856" i="6"/>
  <c r="U2856" i="6" s="1"/>
  <c r="T2855" i="6"/>
  <c r="U2855" i="6" s="1"/>
  <c r="T2854" i="6"/>
  <c r="U2854" i="6" s="1"/>
  <c r="T2853" i="6"/>
  <c r="U2853" i="6" s="1"/>
  <c r="T2852" i="6"/>
  <c r="U2852" i="6" s="1"/>
  <c r="U2851" i="6"/>
  <c r="T2851" i="6"/>
  <c r="T2850" i="6"/>
  <c r="U2850" i="6" s="1"/>
  <c r="T2849" i="6"/>
  <c r="U2849" i="6" s="1"/>
  <c r="T2848" i="6"/>
  <c r="U2848" i="6" s="1"/>
  <c r="T2847" i="6"/>
  <c r="U2847" i="6" s="1"/>
  <c r="T2846" i="6"/>
  <c r="U2846" i="6" s="1"/>
  <c r="T2845" i="6"/>
  <c r="U2845" i="6" s="1"/>
  <c r="T2844" i="6"/>
  <c r="U2844" i="6" s="1"/>
  <c r="T2843" i="6"/>
  <c r="U2843" i="6" s="1"/>
  <c r="T2842" i="6"/>
  <c r="U2842" i="6" s="1"/>
  <c r="T2841" i="6"/>
  <c r="U2841" i="6" s="1"/>
  <c r="T2840" i="6"/>
  <c r="U2840" i="6" s="1"/>
  <c r="T2839" i="6"/>
  <c r="U2839" i="6" s="1"/>
  <c r="T2838" i="6"/>
  <c r="U2838" i="6" s="1"/>
  <c r="T2837" i="6"/>
  <c r="U2837" i="6" s="1"/>
  <c r="T2836" i="6"/>
  <c r="U2836" i="6" s="1"/>
  <c r="U2835" i="6"/>
  <c r="T2835" i="6"/>
  <c r="T2834" i="6"/>
  <c r="U2834" i="6" s="1"/>
  <c r="T2833" i="6"/>
  <c r="U2833" i="6" s="1"/>
  <c r="T2832" i="6"/>
  <c r="U2832" i="6" s="1"/>
  <c r="T2831" i="6"/>
  <c r="U2831" i="6" s="1"/>
  <c r="T2830" i="6"/>
  <c r="U2830" i="6" s="1"/>
  <c r="T2829" i="6"/>
  <c r="U2829" i="6" s="1"/>
  <c r="T2828" i="6"/>
  <c r="U2828" i="6" s="1"/>
  <c r="T2827" i="6"/>
  <c r="U2827" i="6" s="1"/>
  <c r="T2826" i="6"/>
  <c r="U2826" i="6" s="1"/>
  <c r="T2825" i="6"/>
  <c r="U2825" i="6" s="1"/>
  <c r="T2824" i="6"/>
  <c r="U2824" i="6" s="1"/>
  <c r="T2823" i="6"/>
  <c r="U2823" i="6" s="1"/>
  <c r="T2822" i="6"/>
  <c r="U2822" i="6" s="1"/>
  <c r="T2821" i="6"/>
  <c r="U2821" i="6" s="1"/>
  <c r="T2820" i="6"/>
  <c r="U2820" i="6" s="1"/>
  <c r="T2819" i="6"/>
  <c r="U2819" i="6" s="1"/>
  <c r="T2818" i="6"/>
  <c r="U2818" i="6" s="1"/>
  <c r="T2817" i="6"/>
  <c r="U2817" i="6" s="1"/>
  <c r="T2816" i="6"/>
  <c r="U2816" i="6" s="1"/>
  <c r="U2815" i="6"/>
  <c r="T2815" i="6"/>
  <c r="T2814" i="6"/>
  <c r="U2814" i="6" s="1"/>
  <c r="T2813" i="6"/>
  <c r="U2813" i="6" s="1"/>
  <c r="T2812" i="6"/>
  <c r="U2812" i="6" s="1"/>
  <c r="T2811" i="6"/>
  <c r="U2811" i="6" s="1"/>
  <c r="T2810" i="6"/>
  <c r="U2810" i="6" s="1"/>
  <c r="T2809" i="6"/>
  <c r="U2809" i="6" s="1"/>
  <c r="T2808" i="6"/>
  <c r="U2808" i="6" s="1"/>
  <c r="T2807" i="6"/>
  <c r="U2807" i="6" s="1"/>
  <c r="T2806" i="6"/>
  <c r="U2806" i="6" s="1"/>
  <c r="T2805" i="6"/>
  <c r="U2805" i="6" s="1"/>
  <c r="T2804" i="6"/>
  <c r="U2804" i="6" s="1"/>
  <c r="T2803" i="6"/>
  <c r="U2803" i="6" s="1"/>
  <c r="T2802" i="6"/>
  <c r="U2802" i="6" s="1"/>
  <c r="T2801" i="6"/>
  <c r="U2801" i="6" s="1"/>
  <c r="T2800" i="6"/>
  <c r="U2800" i="6" s="1"/>
  <c r="U2799" i="6"/>
  <c r="T2799" i="6"/>
  <c r="T2798" i="6"/>
  <c r="U2798" i="6" s="1"/>
  <c r="T2797" i="6"/>
  <c r="U2797" i="6" s="1"/>
  <c r="T2796" i="6"/>
  <c r="U2796" i="6" s="1"/>
  <c r="T2795" i="6"/>
  <c r="U2795" i="6" s="1"/>
  <c r="T2794" i="6"/>
  <c r="U2794" i="6" s="1"/>
  <c r="T2793" i="6"/>
  <c r="U2793" i="6" s="1"/>
  <c r="T2792" i="6"/>
  <c r="U2792" i="6" s="1"/>
  <c r="T2791" i="6"/>
  <c r="U2791" i="6" s="1"/>
  <c r="T2790" i="6"/>
  <c r="U2790" i="6" s="1"/>
  <c r="T2789" i="6"/>
  <c r="U2789" i="6" s="1"/>
  <c r="T2788" i="6"/>
  <c r="U2788" i="6" s="1"/>
  <c r="T2787" i="6"/>
  <c r="U2787" i="6" s="1"/>
  <c r="T2786" i="6"/>
  <c r="U2786" i="6" s="1"/>
  <c r="T2785" i="6"/>
  <c r="U2785" i="6" s="1"/>
  <c r="T2784" i="6"/>
  <c r="U2784" i="6" s="1"/>
  <c r="U2783" i="6"/>
  <c r="T2783" i="6"/>
  <c r="T2782" i="6"/>
  <c r="U2782" i="6" s="1"/>
  <c r="T2781" i="6"/>
  <c r="U2781" i="6" s="1"/>
  <c r="T2780" i="6"/>
  <c r="U2780" i="6" s="1"/>
  <c r="T2779" i="6"/>
  <c r="U2779" i="6" s="1"/>
  <c r="T2778" i="6"/>
  <c r="U2778" i="6" s="1"/>
  <c r="T2777" i="6"/>
  <c r="U2777" i="6" s="1"/>
  <c r="T2776" i="6"/>
  <c r="U2776" i="6" s="1"/>
  <c r="T2775" i="6"/>
  <c r="U2775" i="6" s="1"/>
  <c r="T2774" i="6"/>
  <c r="U2774" i="6" s="1"/>
  <c r="T2773" i="6"/>
  <c r="U2773" i="6" s="1"/>
  <c r="T2772" i="6"/>
  <c r="U2772" i="6" s="1"/>
  <c r="T2771" i="6"/>
  <c r="U2771" i="6" s="1"/>
  <c r="T2770" i="6"/>
  <c r="U2770" i="6" s="1"/>
  <c r="T2769" i="6"/>
  <c r="U2769" i="6" s="1"/>
  <c r="T2768" i="6"/>
  <c r="U2768" i="6" s="1"/>
  <c r="U2767" i="6"/>
  <c r="T2767" i="6"/>
  <c r="T2766" i="6"/>
  <c r="U2766" i="6" s="1"/>
  <c r="T2765" i="6"/>
  <c r="U2765" i="6" s="1"/>
  <c r="T2764" i="6"/>
  <c r="U2764" i="6" s="1"/>
  <c r="T2763" i="6"/>
  <c r="U2763" i="6" s="1"/>
  <c r="T2762" i="6"/>
  <c r="U2762" i="6" s="1"/>
  <c r="T2761" i="6"/>
  <c r="U2761" i="6" s="1"/>
  <c r="T2760" i="6"/>
  <c r="U2760" i="6" s="1"/>
  <c r="T2759" i="6"/>
  <c r="U2759" i="6" s="1"/>
  <c r="T2758" i="6"/>
  <c r="U2758" i="6" s="1"/>
  <c r="T2757" i="6"/>
  <c r="U2757" i="6" s="1"/>
  <c r="T2756" i="6"/>
  <c r="U2756" i="6" s="1"/>
  <c r="T2755" i="6"/>
  <c r="U2755" i="6" s="1"/>
  <c r="T2754" i="6"/>
  <c r="U2754" i="6" s="1"/>
  <c r="T2753" i="6"/>
  <c r="U2753" i="6" s="1"/>
  <c r="T2752" i="6"/>
  <c r="U2752" i="6" s="1"/>
  <c r="U2751" i="6"/>
  <c r="T2751" i="6"/>
  <c r="T2750" i="6"/>
  <c r="U2750" i="6" s="1"/>
  <c r="T2749" i="6"/>
  <c r="U2749" i="6" s="1"/>
  <c r="T2748" i="6"/>
  <c r="U2748" i="6" s="1"/>
  <c r="T2747" i="6"/>
  <c r="U2747" i="6" s="1"/>
  <c r="T2746" i="6"/>
  <c r="U2746" i="6" s="1"/>
  <c r="T2745" i="6"/>
  <c r="U2745" i="6" s="1"/>
  <c r="T2744" i="6"/>
  <c r="U2744" i="6" s="1"/>
  <c r="T2743" i="6"/>
  <c r="U2743" i="6" s="1"/>
  <c r="T2742" i="6"/>
  <c r="U2742" i="6" s="1"/>
  <c r="T2741" i="6"/>
  <c r="U2741" i="6" s="1"/>
  <c r="T2740" i="6"/>
  <c r="U2740" i="6" s="1"/>
  <c r="T2739" i="6"/>
  <c r="U2739" i="6" s="1"/>
  <c r="T2738" i="6"/>
  <c r="U2738" i="6" s="1"/>
  <c r="T2737" i="6"/>
  <c r="U2737" i="6" s="1"/>
  <c r="T2736" i="6"/>
  <c r="U2736" i="6" s="1"/>
  <c r="U2735" i="6"/>
  <c r="T2735" i="6"/>
  <c r="T2734" i="6"/>
  <c r="U2734" i="6" s="1"/>
  <c r="T2733" i="6"/>
  <c r="U2733" i="6" s="1"/>
  <c r="T2732" i="6"/>
  <c r="U2732" i="6" s="1"/>
  <c r="T2731" i="6"/>
  <c r="U2731" i="6" s="1"/>
  <c r="T2730" i="6"/>
  <c r="U2730" i="6" s="1"/>
  <c r="T2729" i="6"/>
  <c r="U2729" i="6" s="1"/>
  <c r="T2728" i="6"/>
  <c r="U2728" i="6" s="1"/>
  <c r="U2727" i="6"/>
  <c r="T2727" i="6"/>
  <c r="T2726" i="6"/>
  <c r="U2726" i="6" s="1"/>
  <c r="T2725" i="6"/>
  <c r="U2725" i="6" s="1"/>
  <c r="T2724" i="6"/>
  <c r="U2724" i="6" s="1"/>
  <c r="T2723" i="6"/>
  <c r="U2723" i="6" s="1"/>
  <c r="T2722" i="6"/>
  <c r="U2722" i="6" s="1"/>
  <c r="T2721" i="6"/>
  <c r="U2721" i="6" s="1"/>
  <c r="T2720" i="6"/>
  <c r="U2720" i="6" s="1"/>
  <c r="U2719" i="6"/>
  <c r="T2719" i="6"/>
  <c r="T2718" i="6"/>
  <c r="U2718" i="6" s="1"/>
  <c r="T2717" i="6"/>
  <c r="U2717" i="6" s="1"/>
  <c r="T2716" i="6"/>
  <c r="U2716" i="6" s="1"/>
  <c r="T2715" i="6"/>
  <c r="U2715" i="6" s="1"/>
  <c r="T2714" i="6"/>
  <c r="U2714" i="6" s="1"/>
  <c r="T2713" i="6"/>
  <c r="U2713" i="6" s="1"/>
  <c r="T2712" i="6"/>
  <c r="U2712" i="6" s="1"/>
  <c r="U2711" i="6"/>
  <c r="T2711" i="6"/>
  <c r="T2710" i="6"/>
  <c r="U2710" i="6" s="1"/>
  <c r="T2709" i="6"/>
  <c r="U2709" i="6" s="1"/>
  <c r="T2708" i="6"/>
  <c r="U2708" i="6" s="1"/>
  <c r="T2707" i="6"/>
  <c r="U2707" i="6" s="1"/>
  <c r="T2706" i="6"/>
  <c r="U2706" i="6" s="1"/>
  <c r="T2705" i="6"/>
  <c r="U2705" i="6" s="1"/>
  <c r="T2704" i="6"/>
  <c r="U2704" i="6" s="1"/>
  <c r="U2703" i="6"/>
  <c r="T2703" i="6"/>
  <c r="T2702" i="6"/>
  <c r="U2702" i="6" s="1"/>
  <c r="T2701" i="6"/>
  <c r="U2701" i="6" s="1"/>
  <c r="T2700" i="6"/>
  <c r="U2700" i="6" s="1"/>
  <c r="T2699" i="6"/>
  <c r="U2699" i="6" s="1"/>
  <c r="T2698" i="6"/>
  <c r="U2698" i="6" s="1"/>
  <c r="T2697" i="6"/>
  <c r="U2697" i="6" s="1"/>
  <c r="T2696" i="6"/>
  <c r="U2696" i="6" s="1"/>
  <c r="U2695" i="6"/>
  <c r="T2695" i="6"/>
  <c r="T2694" i="6"/>
  <c r="U2694" i="6" s="1"/>
  <c r="T2693" i="6"/>
  <c r="U2693" i="6" s="1"/>
  <c r="T2692" i="6"/>
  <c r="U2692" i="6" s="1"/>
  <c r="T2691" i="6"/>
  <c r="U2691" i="6" s="1"/>
  <c r="T2690" i="6"/>
  <c r="U2690" i="6" s="1"/>
  <c r="T2689" i="6"/>
  <c r="U2689" i="6" s="1"/>
  <c r="T2688" i="6"/>
  <c r="U2688" i="6" s="1"/>
  <c r="U2687" i="6"/>
  <c r="T2687" i="6"/>
  <c r="T2686" i="6"/>
  <c r="U2686" i="6" s="1"/>
  <c r="T2685" i="6"/>
  <c r="U2685" i="6" s="1"/>
  <c r="T2684" i="6"/>
  <c r="U2684" i="6" s="1"/>
  <c r="T2683" i="6"/>
  <c r="U2683" i="6" s="1"/>
  <c r="T2682" i="6"/>
  <c r="U2682" i="6" s="1"/>
  <c r="T2681" i="6"/>
  <c r="U2681" i="6" s="1"/>
  <c r="T2680" i="6"/>
  <c r="U2680" i="6" s="1"/>
  <c r="U2679" i="6"/>
  <c r="T2679" i="6"/>
  <c r="T2678" i="6"/>
  <c r="U2678" i="6" s="1"/>
  <c r="T2677" i="6"/>
  <c r="U2677" i="6" s="1"/>
  <c r="T2676" i="6"/>
  <c r="U2676" i="6" s="1"/>
  <c r="T2675" i="6"/>
  <c r="U2675" i="6" s="1"/>
  <c r="T2674" i="6"/>
  <c r="U2674" i="6" s="1"/>
  <c r="T2673" i="6"/>
  <c r="U2673" i="6" s="1"/>
  <c r="T2672" i="6"/>
  <c r="U2672" i="6" s="1"/>
  <c r="T2671" i="6"/>
  <c r="U2671" i="6" s="1"/>
  <c r="T2670" i="6"/>
  <c r="U2670" i="6" s="1"/>
  <c r="T2669" i="6"/>
  <c r="U2669" i="6" s="1"/>
  <c r="T2668" i="6"/>
  <c r="U2668" i="6" s="1"/>
  <c r="T2667" i="6"/>
  <c r="U2667" i="6" s="1"/>
  <c r="T2666" i="6"/>
  <c r="U2666" i="6" s="1"/>
  <c r="T2665" i="6"/>
  <c r="U2665" i="6" s="1"/>
  <c r="T2664" i="6"/>
  <c r="U2664" i="6" s="1"/>
  <c r="T2663" i="6"/>
  <c r="U2663" i="6" s="1"/>
  <c r="T2662" i="6"/>
  <c r="U2662" i="6" s="1"/>
  <c r="T2661" i="6"/>
  <c r="U2661" i="6" s="1"/>
  <c r="T2660" i="6"/>
  <c r="U2660" i="6" s="1"/>
  <c r="T2659" i="6"/>
  <c r="U2659" i="6" s="1"/>
  <c r="T2658" i="6"/>
  <c r="U2658" i="6" s="1"/>
  <c r="T2657" i="6"/>
  <c r="U2657" i="6" s="1"/>
  <c r="T2656" i="6"/>
  <c r="U2656" i="6" s="1"/>
  <c r="T2655" i="6"/>
  <c r="U2655" i="6" s="1"/>
  <c r="T2654" i="6"/>
  <c r="U2654" i="6" s="1"/>
  <c r="T2653" i="6"/>
  <c r="U2653" i="6" s="1"/>
  <c r="T2652" i="6"/>
  <c r="U2652" i="6" s="1"/>
  <c r="T2651" i="6"/>
  <c r="U2651" i="6" s="1"/>
  <c r="T2650" i="6"/>
  <c r="U2650" i="6" s="1"/>
  <c r="T2649" i="6"/>
  <c r="U2649" i="6" s="1"/>
  <c r="T2648" i="6"/>
  <c r="U2648" i="6" s="1"/>
  <c r="T2647" i="6"/>
  <c r="U2647" i="6" s="1"/>
  <c r="T2646" i="6"/>
  <c r="U2646" i="6" s="1"/>
  <c r="T2645" i="6"/>
  <c r="U2645" i="6" s="1"/>
  <c r="T2644" i="6"/>
  <c r="U2644" i="6" s="1"/>
  <c r="T2643" i="6"/>
  <c r="U2643" i="6" s="1"/>
  <c r="T2642" i="6"/>
  <c r="U2642" i="6" s="1"/>
  <c r="T2641" i="6"/>
  <c r="U2641" i="6" s="1"/>
  <c r="T2640" i="6"/>
  <c r="U2640" i="6" s="1"/>
  <c r="T2639" i="6"/>
  <c r="U2639" i="6" s="1"/>
  <c r="T2638" i="6"/>
  <c r="U2638" i="6" s="1"/>
  <c r="T2637" i="6"/>
  <c r="U2637" i="6" s="1"/>
  <c r="T2636" i="6"/>
  <c r="U2636" i="6" s="1"/>
  <c r="T2635" i="6"/>
  <c r="U2635" i="6" s="1"/>
  <c r="T2634" i="6"/>
  <c r="U2634" i="6" s="1"/>
  <c r="T2633" i="6"/>
  <c r="U2633" i="6" s="1"/>
  <c r="T2632" i="6"/>
  <c r="U2632" i="6" s="1"/>
  <c r="T2631" i="6"/>
  <c r="U2631" i="6" s="1"/>
  <c r="T2630" i="6"/>
  <c r="U2630" i="6" s="1"/>
  <c r="T2629" i="6"/>
  <c r="U2629" i="6" s="1"/>
  <c r="T2628" i="6"/>
  <c r="U2628" i="6" s="1"/>
  <c r="T2627" i="6"/>
  <c r="U2627" i="6" s="1"/>
  <c r="T2626" i="6"/>
  <c r="U2626" i="6" s="1"/>
  <c r="T2625" i="6"/>
  <c r="U2625" i="6" s="1"/>
  <c r="T2624" i="6"/>
  <c r="U2624" i="6" s="1"/>
  <c r="T2623" i="6"/>
  <c r="U2623" i="6" s="1"/>
  <c r="T2622" i="6"/>
  <c r="U2622" i="6" s="1"/>
  <c r="T2621" i="6"/>
  <c r="U2621" i="6" s="1"/>
  <c r="T2620" i="6"/>
  <c r="U2620" i="6" s="1"/>
  <c r="T2619" i="6"/>
  <c r="U2619" i="6" s="1"/>
  <c r="T2618" i="6"/>
  <c r="U2618" i="6" s="1"/>
  <c r="T2617" i="6"/>
  <c r="U2617" i="6" s="1"/>
  <c r="T2616" i="6"/>
  <c r="U2616" i="6" s="1"/>
  <c r="T2615" i="6"/>
  <c r="U2615" i="6" s="1"/>
  <c r="T2614" i="6"/>
  <c r="U2614" i="6" s="1"/>
  <c r="T2613" i="6"/>
  <c r="U2613" i="6" s="1"/>
  <c r="T2612" i="6"/>
  <c r="U2612" i="6" s="1"/>
  <c r="T2611" i="6"/>
  <c r="U2611" i="6" s="1"/>
  <c r="T2610" i="6"/>
  <c r="U2610" i="6" s="1"/>
  <c r="T2609" i="6"/>
  <c r="U2609" i="6" s="1"/>
  <c r="T2608" i="6"/>
  <c r="U2608" i="6" s="1"/>
  <c r="T2607" i="6"/>
  <c r="U2607" i="6" s="1"/>
  <c r="T2606" i="6"/>
  <c r="U2606" i="6" s="1"/>
  <c r="T2605" i="6"/>
  <c r="U2605" i="6" s="1"/>
  <c r="T2604" i="6"/>
  <c r="U2604" i="6" s="1"/>
  <c r="T2603" i="6"/>
  <c r="U2603" i="6" s="1"/>
  <c r="T2602" i="6"/>
  <c r="U2602" i="6" s="1"/>
  <c r="T2601" i="6"/>
  <c r="U2601" i="6" s="1"/>
  <c r="T2600" i="6"/>
  <c r="U2600" i="6" s="1"/>
  <c r="T2599" i="6"/>
  <c r="U2599" i="6" s="1"/>
  <c r="T2598" i="6"/>
  <c r="U2598" i="6" s="1"/>
  <c r="T2597" i="6"/>
  <c r="U2597" i="6" s="1"/>
  <c r="T2596" i="6"/>
  <c r="U2596" i="6" s="1"/>
  <c r="T2595" i="6"/>
  <c r="U2595" i="6" s="1"/>
  <c r="T2594" i="6"/>
  <c r="U2594" i="6" s="1"/>
  <c r="T2593" i="6"/>
  <c r="U2593" i="6" s="1"/>
  <c r="T2592" i="6"/>
  <c r="U2592" i="6" s="1"/>
  <c r="T2591" i="6"/>
  <c r="U2591" i="6" s="1"/>
  <c r="T2590" i="6"/>
  <c r="U2590" i="6" s="1"/>
  <c r="T2589" i="6"/>
  <c r="U2589" i="6" s="1"/>
  <c r="T2588" i="6"/>
  <c r="U2588" i="6" s="1"/>
  <c r="T2587" i="6"/>
  <c r="U2587" i="6" s="1"/>
  <c r="T2586" i="6"/>
  <c r="U2586" i="6" s="1"/>
  <c r="T2585" i="6"/>
  <c r="U2585" i="6" s="1"/>
  <c r="T2584" i="6"/>
  <c r="U2584" i="6" s="1"/>
  <c r="T2583" i="6"/>
  <c r="U2583" i="6" s="1"/>
  <c r="T2582" i="6"/>
  <c r="U2582" i="6" s="1"/>
  <c r="T2581" i="6"/>
  <c r="U2581" i="6" s="1"/>
  <c r="T2580" i="6"/>
  <c r="U2580" i="6" s="1"/>
  <c r="T2579" i="6"/>
  <c r="U2579" i="6" s="1"/>
  <c r="T2578" i="6"/>
  <c r="U2578" i="6" s="1"/>
  <c r="T2577" i="6"/>
  <c r="U2577" i="6" s="1"/>
  <c r="T2576" i="6"/>
  <c r="U2576" i="6" s="1"/>
  <c r="T2575" i="6"/>
  <c r="U2575" i="6" s="1"/>
  <c r="T2574" i="6"/>
  <c r="U2574" i="6" s="1"/>
  <c r="T2573" i="6"/>
  <c r="U2573" i="6" s="1"/>
  <c r="T2572" i="6"/>
  <c r="U2572" i="6" s="1"/>
  <c r="T2571" i="6"/>
  <c r="U2571" i="6" s="1"/>
  <c r="T2570" i="6"/>
  <c r="U2570" i="6" s="1"/>
  <c r="T2569" i="6"/>
  <c r="U2569" i="6" s="1"/>
  <c r="T2568" i="6"/>
  <c r="U2568" i="6" s="1"/>
  <c r="T2567" i="6"/>
  <c r="U2567" i="6" s="1"/>
  <c r="T2566" i="6"/>
  <c r="U2566" i="6" s="1"/>
  <c r="T2565" i="6"/>
  <c r="U2565" i="6" s="1"/>
  <c r="T2564" i="6"/>
  <c r="U2564" i="6" s="1"/>
  <c r="T2563" i="6"/>
  <c r="U2563" i="6" s="1"/>
  <c r="T2562" i="6"/>
  <c r="U2562" i="6" s="1"/>
  <c r="T2561" i="6"/>
  <c r="U2561" i="6" s="1"/>
  <c r="T2560" i="6"/>
  <c r="U2560" i="6" s="1"/>
  <c r="T2559" i="6"/>
  <c r="U2559" i="6" s="1"/>
  <c r="T2558" i="6"/>
  <c r="U2558" i="6" s="1"/>
  <c r="T2557" i="6"/>
  <c r="U2557" i="6" s="1"/>
  <c r="T2556" i="6"/>
  <c r="U2556" i="6" s="1"/>
  <c r="T2555" i="6"/>
  <c r="U2555" i="6" s="1"/>
  <c r="T2554" i="6"/>
  <c r="U2554" i="6" s="1"/>
  <c r="T2553" i="6"/>
  <c r="U2553" i="6" s="1"/>
  <c r="T2552" i="6"/>
  <c r="U2552" i="6" s="1"/>
  <c r="T2551" i="6"/>
  <c r="U2551" i="6" s="1"/>
  <c r="T2550" i="6"/>
  <c r="U2550" i="6" s="1"/>
  <c r="T2549" i="6"/>
  <c r="U2549" i="6" s="1"/>
  <c r="T2548" i="6"/>
  <c r="U2548" i="6" s="1"/>
  <c r="T2547" i="6"/>
  <c r="U2547" i="6" s="1"/>
  <c r="T2546" i="6"/>
  <c r="U2546" i="6" s="1"/>
  <c r="T2545" i="6"/>
  <c r="U2545" i="6" s="1"/>
  <c r="T2544" i="6"/>
  <c r="U2544" i="6" s="1"/>
  <c r="T2543" i="6"/>
  <c r="U2543" i="6" s="1"/>
  <c r="T2542" i="6"/>
  <c r="U2542" i="6" s="1"/>
  <c r="T2541" i="6"/>
  <c r="U2541" i="6" s="1"/>
  <c r="T2540" i="6"/>
  <c r="U2540" i="6" s="1"/>
  <c r="T2539" i="6"/>
  <c r="U2539" i="6" s="1"/>
  <c r="T2538" i="6"/>
  <c r="U2538" i="6" s="1"/>
  <c r="T2537" i="6"/>
  <c r="U2537" i="6" s="1"/>
  <c r="T2536" i="6"/>
  <c r="U2536" i="6" s="1"/>
  <c r="T2535" i="6"/>
  <c r="U2535" i="6" s="1"/>
  <c r="T2534" i="6"/>
  <c r="U2534" i="6" s="1"/>
  <c r="T2533" i="6"/>
  <c r="U2533" i="6" s="1"/>
  <c r="T2532" i="6"/>
  <c r="U2532" i="6" s="1"/>
  <c r="T2531" i="6"/>
  <c r="U2531" i="6" s="1"/>
  <c r="T2530" i="6"/>
  <c r="U2530" i="6" s="1"/>
  <c r="T2529" i="6"/>
  <c r="U2529" i="6" s="1"/>
  <c r="T2528" i="6"/>
  <c r="U2528" i="6" s="1"/>
  <c r="T2527" i="6"/>
  <c r="U2527" i="6" s="1"/>
  <c r="T2526" i="6"/>
  <c r="U2526" i="6" s="1"/>
  <c r="T2525" i="6"/>
  <c r="U2525" i="6" s="1"/>
  <c r="T2524" i="6"/>
  <c r="U2524" i="6" s="1"/>
  <c r="T2523" i="6"/>
  <c r="U2523" i="6" s="1"/>
  <c r="T2522" i="6"/>
  <c r="U2522" i="6" s="1"/>
  <c r="T2521" i="6"/>
  <c r="U2521" i="6" s="1"/>
  <c r="T2520" i="6"/>
  <c r="U2520" i="6" s="1"/>
  <c r="T2519" i="6"/>
  <c r="U2519" i="6" s="1"/>
  <c r="T2518" i="6"/>
  <c r="U2518" i="6" s="1"/>
  <c r="T2517" i="6"/>
  <c r="U2517" i="6" s="1"/>
  <c r="T2516" i="6"/>
  <c r="U2516" i="6" s="1"/>
  <c r="T2515" i="6"/>
  <c r="U2515" i="6" s="1"/>
  <c r="T2514" i="6"/>
  <c r="U2514" i="6" s="1"/>
  <c r="T2513" i="6"/>
  <c r="U2513" i="6" s="1"/>
  <c r="T2512" i="6"/>
  <c r="U2512" i="6" s="1"/>
  <c r="T2511" i="6"/>
  <c r="U2511" i="6" s="1"/>
  <c r="T2510" i="6"/>
  <c r="U2510" i="6" s="1"/>
  <c r="T2509" i="6"/>
  <c r="U2509" i="6" s="1"/>
  <c r="T2508" i="6"/>
  <c r="U2508" i="6" s="1"/>
  <c r="T2507" i="6"/>
  <c r="U2507" i="6" s="1"/>
  <c r="T2506" i="6"/>
  <c r="U2506" i="6" s="1"/>
  <c r="T2505" i="6"/>
  <c r="U2505" i="6" s="1"/>
  <c r="T2504" i="6"/>
  <c r="U2504" i="6" s="1"/>
  <c r="T2503" i="6"/>
  <c r="U2503" i="6" s="1"/>
  <c r="T2502" i="6"/>
  <c r="U2502" i="6" s="1"/>
  <c r="T2501" i="6"/>
  <c r="U2501" i="6" s="1"/>
  <c r="T2500" i="6"/>
  <c r="U2500" i="6" s="1"/>
  <c r="T2499" i="6"/>
  <c r="U2499" i="6" s="1"/>
  <c r="T2498" i="6"/>
  <c r="U2498" i="6" s="1"/>
  <c r="T2497" i="6"/>
  <c r="U2497" i="6" s="1"/>
  <c r="T2496" i="6"/>
  <c r="U2496" i="6" s="1"/>
  <c r="T2495" i="6"/>
  <c r="U2495" i="6" s="1"/>
  <c r="T2494" i="6"/>
  <c r="U2494" i="6" s="1"/>
  <c r="T2493" i="6"/>
  <c r="U2493" i="6" s="1"/>
  <c r="T2492" i="6"/>
  <c r="U2492" i="6" s="1"/>
  <c r="T2491" i="6"/>
  <c r="U2491" i="6" s="1"/>
  <c r="T2490" i="6"/>
  <c r="U2490" i="6" s="1"/>
  <c r="T2489" i="6"/>
  <c r="U2489" i="6" s="1"/>
  <c r="T2488" i="6"/>
  <c r="U2488" i="6" s="1"/>
  <c r="T2487" i="6"/>
  <c r="U2487" i="6" s="1"/>
  <c r="T2486" i="6"/>
  <c r="U2486" i="6" s="1"/>
  <c r="T2485" i="6"/>
  <c r="U2485" i="6" s="1"/>
  <c r="T2484" i="6"/>
  <c r="U2484" i="6" s="1"/>
  <c r="T2483" i="6"/>
  <c r="U2483" i="6" s="1"/>
  <c r="T2482" i="6"/>
  <c r="U2482" i="6" s="1"/>
  <c r="T2481" i="6"/>
  <c r="U2481" i="6" s="1"/>
  <c r="T2480" i="6"/>
  <c r="U2480" i="6" s="1"/>
  <c r="T2479" i="6"/>
  <c r="U2479" i="6" s="1"/>
  <c r="T2478" i="6"/>
  <c r="U2478" i="6" s="1"/>
  <c r="T2477" i="6"/>
  <c r="U2477" i="6" s="1"/>
  <c r="T2476" i="6"/>
  <c r="U2476" i="6" s="1"/>
  <c r="T2475" i="6"/>
  <c r="U2475" i="6" s="1"/>
  <c r="T2474" i="6"/>
  <c r="U2474" i="6" s="1"/>
  <c r="T2473" i="6"/>
  <c r="U2473" i="6" s="1"/>
  <c r="T2472" i="6"/>
  <c r="U2472" i="6" s="1"/>
  <c r="T2471" i="6"/>
  <c r="U2471" i="6" s="1"/>
  <c r="T2470" i="6"/>
  <c r="U2470" i="6" s="1"/>
  <c r="T2469" i="6"/>
  <c r="U2469" i="6" s="1"/>
  <c r="T2468" i="6"/>
  <c r="U2468" i="6" s="1"/>
  <c r="T2467" i="6"/>
  <c r="U2467" i="6" s="1"/>
  <c r="T2466" i="6"/>
  <c r="U2466" i="6" s="1"/>
  <c r="T2465" i="6"/>
  <c r="U2465" i="6" s="1"/>
  <c r="T2464" i="6"/>
  <c r="U2464" i="6" s="1"/>
  <c r="T2463" i="6"/>
  <c r="U2463" i="6" s="1"/>
  <c r="T2462" i="6"/>
  <c r="U2462" i="6" s="1"/>
  <c r="T2461" i="6"/>
  <c r="U2461" i="6" s="1"/>
  <c r="T2460" i="6"/>
  <c r="U2460" i="6" s="1"/>
  <c r="T2459" i="6"/>
  <c r="U2459" i="6" s="1"/>
  <c r="T2458" i="6"/>
  <c r="U2458" i="6" s="1"/>
  <c r="T2457" i="6"/>
  <c r="U2457" i="6" s="1"/>
  <c r="T2456" i="6"/>
  <c r="U2456" i="6" s="1"/>
  <c r="T2455" i="6"/>
  <c r="U2455" i="6" s="1"/>
  <c r="T2454" i="6"/>
  <c r="U2454" i="6" s="1"/>
  <c r="T2453" i="6"/>
  <c r="U2453" i="6" s="1"/>
  <c r="T2452" i="6"/>
  <c r="U2452" i="6" s="1"/>
  <c r="T2451" i="6"/>
  <c r="U2451" i="6" s="1"/>
  <c r="T2450" i="6"/>
  <c r="U2450" i="6" s="1"/>
  <c r="T2449" i="6"/>
  <c r="U2449" i="6" s="1"/>
  <c r="T2448" i="6"/>
  <c r="U2448" i="6" s="1"/>
  <c r="T2447" i="6"/>
  <c r="U2447" i="6" s="1"/>
  <c r="T2446" i="6"/>
  <c r="U2446" i="6" s="1"/>
  <c r="T2445" i="6"/>
  <c r="U2445" i="6" s="1"/>
  <c r="T2444" i="6"/>
  <c r="U2444" i="6" s="1"/>
  <c r="T2443" i="6"/>
  <c r="U2443" i="6" s="1"/>
  <c r="T2442" i="6"/>
  <c r="U2442" i="6" s="1"/>
  <c r="T2441" i="6"/>
  <c r="U2441" i="6" s="1"/>
  <c r="T2440" i="6"/>
  <c r="U2440" i="6" s="1"/>
  <c r="T2439" i="6"/>
  <c r="U2439" i="6" s="1"/>
  <c r="T2438" i="6"/>
  <c r="U2438" i="6" s="1"/>
  <c r="T2437" i="6"/>
  <c r="U2437" i="6" s="1"/>
  <c r="T2436" i="6"/>
  <c r="U2436" i="6" s="1"/>
  <c r="T2435" i="6"/>
  <c r="U2435" i="6" s="1"/>
  <c r="T2434" i="6"/>
  <c r="U2434" i="6" s="1"/>
  <c r="T2433" i="6"/>
  <c r="U2433" i="6" s="1"/>
  <c r="T2432" i="6"/>
  <c r="U2432" i="6" s="1"/>
  <c r="T2431" i="6"/>
  <c r="U2431" i="6" s="1"/>
  <c r="T2430" i="6"/>
  <c r="U2430" i="6" s="1"/>
  <c r="T2429" i="6"/>
  <c r="U2429" i="6" s="1"/>
  <c r="T2428" i="6"/>
  <c r="U2428" i="6" s="1"/>
  <c r="T2427" i="6"/>
  <c r="U2427" i="6" s="1"/>
  <c r="T2426" i="6"/>
  <c r="U2426" i="6" s="1"/>
  <c r="T2425" i="6"/>
  <c r="U2425" i="6" s="1"/>
  <c r="T2424" i="6"/>
  <c r="U2424" i="6" s="1"/>
  <c r="T2423" i="6"/>
  <c r="U2423" i="6" s="1"/>
  <c r="T2422" i="6"/>
  <c r="U2422" i="6" s="1"/>
  <c r="T2421" i="6"/>
  <c r="U2421" i="6" s="1"/>
  <c r="T2420" i="6"/>
  <c r="U2420" i="6" s="1"/>
  <c r="T2419" i="6"/>
  <c r="U2419" i="6" s="1"/>
  <c r="T2418" i="6"/>
  <c r="U2418" i="6" s="1"/>
  <c r="T2417" i="6"/>
  <c r="U2417" i="6" s="1"/>
  <c r="T2416" i="6"/>
  <c r="U2416" i="6" s="1"/>
  <c r="T2415" i="6"/>
  <c r="U2415" i="6" s="1"/>
  <c r="T2414" i="6"/>
  <c r="U2414" i="6" s="1"/>
  <c r="T2413" i="6"/>
  <c r="U2413" i="6" s="1"/>
  <c r="T2412" i="6"/>
  <c r="U2412" i="6" s="1"/>
  <c r="T2411" i="6"/>
  <c r="U2411" i="6" s="1"/>
  <c r="T2410" i="6"/>
  <c r="U2410" i="6" s="1"/>
  <c r="T2409" i="6"/>
  <c r="U2409" i="6" s="1"/>
  <c r="T2408" i="6"/>
  <c r="U2408" i="6" s="1"/>
  <c r="T2407" i="6"/>
  <c r="U2407" i="6" s="1"/>
  <c r="T2406" i="6"/>
  <c r="U2406" i="6" s="1"/>
  <c r="T2405" i="6"/>
  <c r="U2405" i="6" s="1"/>
  <c r="T2404" i="6"/>
  <c r="U2404" i="6" s="1"/>
  <c r="T2403" i="6"/>
  <c r="U2403" i="6" s="1"/>
  <c r="T2402" i="6"/>
  <c r="U2402" i="6" s="1"/>
  <c r="T2401" i="6"/>
  <c r="U2401" i="6" s="1"/>
  <c r="T2400" i="6"/>
  <c r="U2400" i="6" s="1"/>
  <c r="T2399" i="6"/>
  <c r="U2399" i="6" s="1"/>
  <c r="T2398" i="6"/>
  <c r="U2398" i="6" s="1"/>
  <c r="T2397" i="6"/>
  <c r="U2397" i="6" s="1"/>
  <c r="T2396" i="6"/>
  <c r="U2396" i="6" s="1"/>
  <c r="T2395" i="6"/>
  <c r="U2395" i="6" s="1"/>
  <c r="T2394" i="6"/>
  <c r="U2394" i="6" s="1"/>
  <c r="T2393" i="6"/>
  <c r="U2393" i="6" s="1"/>
  <c r="T2392" i="6"/>
  <c r="U2392" i="6" s="1"/>
  <c r="T2391" i="6"/>
  <c r="U2391" i="6" s="1"/>
  <c r="T2390" i="6"/>
  <c r="U2390" i="6" s="1"/>
  <c r="T2389" i="6"/>
  <c r="U2389" i="6" s="1"/>
  <c r="T2388" i="6"/>
  <c r="U2388" i="6" s="1"/>
  <c r="T2387" i="6"/>
  <c r="U2387" i="6" s="1"/>
  <c r="T2386" i="6"/>
  <c r="U2386" i="6" s="1"/>
  <c r="T2385" i="6"/>
  <c r="U2385" i="6" s="1"/>
  <c r="T2384" i="6"/>
  <c r="U2384" i="6" s="1"/>
  <c r="T2383" i="6"/>
  <c r="U2383" i="6" s="1"/>
  <c r="T2382" i="6"/>
  <c r="U2382" i="6" s="1"/>
  <c r="T2381" i="6"/>
  <c r="U2381" i="6" s="1"/>
  <c r="T2380" i="6"/>
  <c r="U2380" i="6" s="1"/>
  <c r="T2379" i="6"/>
  <c r="U2379" i="6" s="1"/>
  <c r="T2378" i="6"/>
  <c r="U2378" i="6" s="1"/>
  <c r="T2377" i="6"/>
  <c r="U2377" i="6" s="1"/>
  <c r="T2376" i="6"/>
  <c r="U2376" i="6" s="1"/>
  <c r="T2375" i="6"/>
  <c r="U2375" i="6" s="1"/>
  <c r="T2374" i="6"/>
  <c r="U2374" i="6" s="1"/>
  <c r="T2373" i="6"/>
  <c r="U2373" i="6" s="1"/>
  <c r="T2372" i="6"/>
  <c r="U2372" i="6" s="1"/>
  <c r="T2371" i="6"/>
  <c r="U2371" i="6" s="1"/>
  <c r="T2370" i="6"/>
  <c r="U2370" i="6" s="1"/>
  <c r="T2369" i="6"/>
  <c r="U2369" i="6" s="1"/>
  <c r="T2368" i="6"/>
  <c r="U2368" i="6" s="1"/>
  <c r="T2367" i="6"/>
  <c r="U2367" i="6" s="1"/>
  <c r="T2366" i="6"/>
  <c r="U2366" i="6" s="1"/>
  <c r="T2365" i="6"/>
  <c r="U2365" i="6" s="1"/>
  <c r="T2364" i="6"/>
  <c r="U2364" i="6" s="1"/>
  <c r="T2363" i="6"/>
  <c r="U2363" i="6" s="1"/>
  <c r="T2362" i="6"/>
  <c r="U2362" i="6" s="1"/>
  <c r="T2361" i="6"/>
  <c r="U2361" i="6" s="1"/>
  <c r="T2360" i="6"/>
  <c r="U2360" i="6" s="1"/>
  <c r="T2359" i="6"/>
  <c r="U2359" i="6" s="1"/>
  <c r="T2358" i="6"/>
  <c r="U2358" i="6" s="1"/>
  <c r="T2357" i="6"/>
  <c r="U2357" i="6" s="1"/>
  <c r="T2356" i="6"/>
  <c r="U2356" i="6" s="1"/>
  <c r="T2355" i="6"/>
  <c r="U2355" i="6" s="1"/>
  <c r="T2354" i="6"/>
  <c r="U2354" i="6" s="1"/>
  <c r="T2353" i="6"/>
  <c r="U2353" i="6" s="1"/>
  <c r="T2352" i="6"/>
  <c r="U2352" i="6" s="1"/>
  <c r="T2351" i="6"/>
  <c r="U2351" i="6" s="1"/>
  <c r="T2350" i="6"/>
  <c r="U2350" i="6" s="1"/>
  <c r="T2349" i="6"/>
  <c r="U2349" i="6" s="1"/>
  <c r="T2348" i="6"/>
  <c r="U2348" i="6" s="1"/>
  <c r="T2347" i="6"/>
  <c r="U2347" i="6" s="1"/>
  <c r="T2346" i="6"/>
  <c r="U2346" i="6" s="1"/>
  <c r="T2345" i="6"/>
  <c r="U2345" i="6" s="1"/>
  <c r="T2344" i="6"/>
  <c r="U2344" i="6" s="1"/>
  <c r="T2343" i="6"/>
  <c r="U2343" i="6" s="1"/>
  <c r="T2342" i="6"/>
  <c r="U2342" i="6" s="1"/>
  <c r="T2341" i="6"/>
  <c r="U2341" i="6" s="1"/>
  <c r="T2340" i="6"/>
  <c r="U2340" i="6" s="1"/>
  <c r="T2339" i="6"/>
  <c r="U2339" i="6" s="1"/>
  <c r="T2338" i="6"/>
  <c r="U2338" i="6" s="1"/>
  <c r="T2337" i="6"/>
  <c r="U2337" i="6" s="1"/>
  <c r="T2336" i="6"/>
  <c r="U2336" i="6" s="1"/>
  <c r="T2335" i="6"/>
  <c r="U2335" i="6" s="1"/>
  <c r="T2334" i="6"/>
  <c r="U2334" i="6" s="1"/>
  <c r="T2333" i="6"/>
  <c r="U2333" i="6" s="1"/>
  <c r="T2332" i="6"/>
  <c r="U2332" i="6" s="1"/>
  <c r="T2331" i="6"/>
  <c r="U2331" i="6" s="1"/>
  <c r="T2330" i="6"/>
  <c r="U2330" i="6" s="1"/>
  <c r="T2329" i="6"/>
  <c r="U2329" i="6" s="1"/>
  <c r="T2328" i="6"/>
  <c r="U2328" i="6" s="1"/>
  <c r="T2327" i="6"/>
  <c r="U2327" i="6" s="1"/>
  <c r="T2326" i="6"/>
  <c r="U2326" i="6" s="1"/>
  <c r="T2325" i="6"/>
  <c r="U2325" i="6" s="1"/>
  <c r="T2324" i="6"/>
  <c r="U2324" i="6" s="1"/>
  <c r="T2323" i="6"/>
  <c r="U2323" i="6" s="1"/>
  <c r="T2322" i="6"/>
  <c r="U2322" i="6" s="1"/>
  <c r="T2321" i="6"/>
  <c r="U2321" i="6" s="1"/>
  <c r="T2320" i="6"/>
  <c r="U2320" i="6" s="1"/>
  <c r="T2319" i="6"/>
  <c r="U2319" i="6" s="1"/>
  <c r="T2318" i="6"/>
  <c r="U2318" i="6" s="1"/>
  <c r="T2317" i="6"/>
  <c r="U2317" i="6" s="1"/>
  <c r="T2316" i="6"/>
  <c r="U2316" i="6" s="1"/>
  <c r="T2315" i="6"/>
  <c r="U2315" i="6" s="1"/>
  <c r="T2314" i="6"/>
  <c r="U2314" i="6" s="1"/>
  <c r="T2313" i="6"/>
  <c r="U2313" i="6" s="1"/>
  <c r="T2312" i="6"/>
  <c r="U2312" i="6" s="1"/>
  <c r="T2311" i="6"/>
  <c r="U2311" i="6" s="1"/>
  <c r="T2310" i="6"/>
  <c r="U2310" i="6" s="1"/>
  <c r="T2309" i="6"/>
  <c r="U2309" i="6" s="1"/>
  <c r="T2308" i="6"/>
  <c r="U2308" i="6" s="1"/>
  <c r="T2307" i="6"/>
  <c r="U2307" i="6" s="1"/>
  <c r="T2306" i="6"/>
  <c r="U2306" i="6" s="1"/>
  <c r="T2305" i="6"/>
  <c r="U2305" i="6" s="1"/>
  <c r="T2304" i="6"/>
  <c r="U2304" i="6" s="1"/>
  <c r="T2303" i="6"/>
  <c r="U2303" i="6" s="1"/>
  <c r="T2302" i="6"/>
  <c r="U2302" i="6" s="1"/>
  <c r="T2301" i="6"/>
  <c r="U2301" i="6" s="1"/>
  <c r="T2300" i="6"/>
  <c r="U2300" i="6" s="1"/>
  <c r="T2299" i="6"/>
  <c r="U2299" i="6" s="1"/>
  <c r="M1" i="3"/>
  <c r="T1238" i="6" s="1"/>
  <c r="U1238" i="6" s="1"/>
  <c r="L1" i="3"/>
  <c r="T2283" i="6" l="1"/>
  <c r="U2283" i="6" s="1"/>
  <c r="T2262" i="6"/>
  <c r="U2262" i="6" s="1"/>
  <c r="T2240" i="6"/>
  <c r="U2240" i="6" s="1"/>
  <c r="T2219" i="6"/>
  <c r="U2219" i="6" s="1"/>
  <c r="T2182" i="6"/>
  <c r="U2182" i="6" s="1"/>
  <c r="T2155" i="6"/>
  <c r="U2155" i="6" s="1"/>
  <c r="T2134" i="6"/>
  <c r="U2134" i="6" s="1"/>
  <c r="T2107" i="6"/>
  <c r="U2107" i="6" s="1"/>
  <c r="T2086" i="6"/>
  <c r="U2086" i="6" s="1"/>
  <c r="T2064" i="6"/>
  <c r="U2064" i="6" s="1"/>
  <c r="T2043" i="6"/>
  <c r="U2043" i="6" s="1"/>
  <c r="T2011" i="6"/>
  <c r="U2011" i="6" s="1"/>
  <c r="T1984" i="6"/>
  <c r="U1984" i="6" s="1"/>
  <c r="T1963" i="6"/>
  <c r="U1963" i="6" s="1"/>
  <c r="T1931" i="6"/>
  <c r="U1931" i="6" s="1"/>
  <c r="T2292" i="6"/>
  <c r="U2292" i="6" s="1"/>
  <c r="T2276" i="6"/>
  <c r="U2276" i="6" s="1"/>
  <c r="T2255" i="6"/>
  <c r="U2255" i="6" s="1"/>
  <c r="T2239" i="6"/>
  <c r="U2239" i="6" s="1"/>
  <c r="T2228" i="6"/>
  <c r="U2228" i="6" s="1"/>
  <c r="T2207" i="6"/>
  <c r="U2207" i="6" s="1"/>
  <c r="T2191" i="6"/>
  <c r="U2191" i="6" s="1"/>
  <c r="T2170" i="6"/>
  <c r="U2170" i="6" s="1"/>
  <c r="T2154" i="6"/>
  <c r="U2154" i="6" s="1"/>
  <c r="T2138" i="6"/>
  <c r="U2138" i="6" s="1"/>
  <c r="T2116" i="6"/>
  <c r="U2116" i="6" s="1"/>
  <c r="T2095" i="6"/>
  <c r="U2095" i="6" s="1"/>
  <c r="T2068" i="6"/>
  <c r="U2068" i="6" s="1"/>
  <c r="T2052" i="6"/>
  <c r="U2052" i="6" s="1"/>
  <c r="T2031" i="6"/>
  <c r="U2031" i="6" s="1"/>
  <c r="T2010" i="6"/>
  <c r="U2010" i="6" s="1"/>
  <c r="T1988" i="6"/>
  <c r="U1988" i="6" s="1"/>
  <c r="T1956" i="6"/>
  <c r="U1956" i="6" s="1"/>
  <c r="T1855" i="6"/>
  <c r="U1855" i="6" s="1"/>
  <c r="T2295" i="6"/>
  <c r="U2295" i="6" s="1"/>
  <c r="T2290" i="6"/>
  <c r="U2290" i="6" s="1"/>
  <c r="T2284" i="6"/>
  <c r="U2284" i="6" s="1"/>
  <c r="T2279" i="6"/>
  <c r="U2279" i="6" s="1"/>
  <c r="T2274" i="6"/>
  <c r="U2274" i="6" s="1"/>
  <c r="T2268" i="6"/>
  <c r="U2268" i="6" s="1"/>
  <c r="T2263" i="6"/>
  <c r="U2263" i="6" s="1"/>
  <c r="T2258" i="6"/>
  <c r="U2258" i="6" s="1"/>
  <c r="T2252" i="6"/>
  <c r="U2252" i="6" s="1"/>
  <c r="T2247" i="6"/>
  <c r="U2247" i="6" s="1"/>
  <c r="T2242" i="6"/>
  <c r="U2242" i="6" s="1"/>
  <c r="T2236" i="6"/>
  <c r="U2236" i="6" s="1"/>
  <c r="T2231" i="6"/>
  <c r="U2231" i="6" s="1"/>
  <c r="T2226" i="6"/>
  <c r="U2226" i="6" s="1"/>
  <c r="T2220" i="6"/>
  <c r="U2220" i="6" s="1"/>
  <c r="T2215" i="6"/>
  <c r="U2215" i="6" s="1"/>
  <c r="T2210" i="6"/>
  <c r="U2210" i="6" s="1"/>
  <c r="T2204" i="6"/>
  <c r="U2204" i="6" s="1"/>
  <c r="T2199" i="6"/>
  <c r="U2199" i="6" s="1"/>
  <c r="T2194" i="6"/>
  <c r="U2194" i="6" s="1"/>
  <c r="T2188" i="6"/>
  <c r="U2188" i="6" s="1"/>
  <c r="T2183" i="6"/>
  <c r="U2183" i="6" s="1"/>
  <c r="T2178" i="6"/>
  <c r="U2178" i="6" s="1"/>
  <c r="T2172" i="6"/>
  <c r="U2172" i="6" s="1"/>
  <c r="T2167" i="6"/>
  <c r="U2167" i="6" s="1"/>
  <c r="T2162" i="6"/>
  <c r="U2162" i="6" s="1"/>
  <c r="T2156" i="6"/>
  <c r="U2156" i="6" s="1"/>
  <c r="T2151" i="6"/>
  <c r="U2151" i="6" s="1"/>
  <c r="T2146" i="6"/>
  <c r="U2146" i="6" s="1"/>
  <c r="T2140" i="6"/>
  <c r="U2140" i="6" s="1"/>
  <c r="T2135" i="6"/>
  <c r="U2135" i="6" s="1"/>
  <c r="T2130" i="6"/>
  <c r="U2130" i="6" s="1"/>
  <c r="T2124" i="6"/>
  <c r="U2124" i="6" s="1"/>
  <c r="T2119" i="6"/>
  <c r="U2119" i="6" s="1"/>
  <c r="T2114" i="6"/>
  <c r="U2114" i="6" s="1"/>
  <c r="T2108" i="6"/>
  <c r="U2108" i="6" s="1"/>
  <c r="T2103" i="6"/>
  <c r="U2103" i="6" s="1"/>
  <c r="T2098" i="6"/>
  <c r="U2098" i="6" s="1"/>
  <c r="T2092" i="6"/>
  <c r="U2092" i="6" s="1"/>
  <c r="T2087" i="6"/>
  <c r="U2087" i="6" s="1"/>
  <c r="T2082" i="6"/>
  <c r="U2082" i="6" s="1"/>
  <c r="T2076" i="6"/>
  <c r="U2076" i="6" s="1"/>
  <c r="T2071" i="6"/>
  <c r="U2071" i="6" s="1"/>
  <c r="T2066" i="6"/>
  <c r="U2066" i="6" s="1"/>
  <c r="T2060" i="6"/>
  <c r="U2060" i="6" s="1"/>
  <c r="T2055" i="6"/>
  <c r="U2055" i="6" s="1"/>
  <c r="T2050" i="6"/>
  <c r="U2050" i="6" s="1"/>
  <c r="T2044" i="6"/>
  <c r="U2044" i="6" s="1"/>
  <c r="T2039" i="6"/>
  <c r="U2039" i="6" s="1"/>
  <c r="T2034" i="6"/>
  <c r="U2034" i="6" s="1"/>
  <c r="T2028" i="6"/>
  <c r="U2028" i="6" s="1"/>
  <c r="T2023" i="6"/>
  <c r="U2023" i="6" s="1"/>
  <c r="T2018" i="6"/>
  <c r="U2018" i="6" s="1"/>
  <c r="T2012" i="6"/>
  <c r="U2012" i="6" s="1"/>
  <c r="T2007" i="6"/>
  <c r="U2007" i="6" s="1"/>
  <c r="T2002" i="6"/>
  <c r="U2002" i="6" s="1"/>
  <c r="T1996" i="6"/>
  <c r="U1996" i="6" s="1"/>
  <c r="T1991" i="6"/>
  <c r="U1991" i="6" s="1"/>
  <c r="T1986" i="6"/>
  <c r="U1986" i="6" s="1"/>
  <c r="T1980" i="6"/>
  <c r="U1980" i="6" s="1"/>
  <c r="T1975" i="6"/>
  <c r="U1975" i="6" s="1"/>
  <c r="T1970" i="6"/>
  <c r="U1970" i="6" s="1"/>
  <c r="T1964" i="6"/>
  <c r="U1964" i="6" s="1"/>
  <c r="T1959" i="6"/>
  <c r="U1959" i="6" s="1"/>
  <c r="T1954" i="6"/>
  <c r="U1954" i="6" s="1"/>
  <c r="T1948" i="6"/>
  <c r="U1948" i="6" s="1"/>
  <c r="T1943" i="6"/>
  <c r="U1943" i="6" s="1"/>
  <c r="T1938" i="6"/>
  <c r="U1938" i="6" s="1"/>
  <c r="T1932" i="6"/>
  <c r="U1932" i="6" s="1"/>
  <c r="T1927" i="6"/>
  <c r="U1927" i="6" s="1"/>
  <c r="T1922" i="6"/>
  <c r="U1922" i="6" s="1"/>
  <c r="T1916" i="6"/>
  <c r="U1916" i="6" s="1"/>
  <c r="T1911" i="6"/>
  <c r="U1911" i="6" s="1"/>
  <c r="T1906" i="6"/>
  <c r="U1906" i="6" s="1"/>
  <c r="T1900" i="6"/>
  <c r="U1900" i="6" s="1"/>
  <c r="T1895" i="6"/>
  <c r="U1895" i="6" s="1"/>
  <c r="T1890" i="6"/>
  <c r="U1890" i="6" s="1"/>
  <c r="T1884" i="6"/>
  <c r="U1884" i="6" s="1"/>
  <c r="T1879" i="6"/>
  <c r="U1879" i="6" s="1"/>
  <c r="T1874" i="6"/>
  <c r="U1874" i="6" s="1"/>
  <c r="T1868" i="6"/>
  <c r="U1868" i="6" s="1"/>
  <c r="T1863" i="6"/>
  <c r="U1863" i="6" s="1"/>
  <c r="T1858" i="6"/>
  <c r="U1858" i="6" s="1"/>
  <c r="T1852" i="6"/>
  <c r="U1852" i="6" s="1"/>
  <c r="T1847" i="6"/>
  <c r="U1847" i="6" s="1"/>
  <c r="T1842" i="6"/>
  <c r="U1842" i="6" s="1"/>
  <c r="T1836" i="6"/>
  <c r="U1836" i="6" s="1"/>
  <c r="T1831" i="6"/>
  <c r="U1831" i="6" s="1"/>
  <c r="T1824" i="6"/>
  <c r="U1824" i="6" s="1"/>
  <c r="T1816" i="6"/>
  <c r="U1816" i="6" s="1"/>
  <c r="T1808" i="6"/>
  <c r="U1808" i="6" s="1"/>
  <c r="T1800" i="6"/>
  <c r="U1800" i="6" s="1"/>
  <c r="T1792" i="6"/>
  <c r="U1792" i="6" s="1"/>
  <c r="T1784" i="6"/>
  <c r="U1784" i="6" s="1"/>
  <c r="T1776" i="6"/>
  <c r="U1776" i="6" s="1"/>
  <c r="T1768" i="6"/>
  <c r="U1768" i="6" s="1"/>
  <c r="T1760" i="6"/>
  <c r="U1760" i="6" s="1"/>
  <c r="T1752" i="6"/>
  <c r="U1752" i="6" s="1"/>
  <c r="T1744" i="6"/>
  <c r="U1744" i="6" s="1"/>
  <c r="T1736" i="6"/>
  <c r="U1736" i="6" s="1"/>
  <c r="T1728" i="6"/>
  <c r="U1728" i="6" s="1"/>
  <c r="T1720" i="6"/>
  <c r="U1720" i="6" s="1"/>
  <c r="T1712" i="6"/>
  <c r="U1712" i="6" s="1"/>
  <c r="T1704" i="6"/>
  <c r="U1704" i="6" s="1"/>
  <c r="T1696" i="6"/>
  <c r="U1696" i="6" s="1"/>
  <c r="T1688" i="6"/>
  <c r="U1688" i="6" s="1"/>
  <c r="T1680" i="6"/>
  <c r="U1680" i="6" s="1"/>
  <c r="T1672" i="6"/>
  <c r="U1672" i="6" s="1"/>
  <c r="T1664" i="6"/>
  <c r="U1664" i="6" s="1"/>
  <c r="T1656" i="6"/>
  <c r="U1656" i="6" s="1"/>
  <c r="T1648" i="6"/>
  <c r="U1648" i="6" s="1"/>
  <c r="T1640" i="6"/>
  <c r="U1640" i="6" s="1"/>
  <c r="T1632" i="6"/>
  <c r="U1632" i="6" s="1"/>
  <c r="T1624" i="6"/>
  <c r="U1624" i="6" s="1"/>
  <c r="T1616" i="6"/>
  <c r="U1616" i="6" s="1"/>
  <c r="T1608" i="6"/>
  <c r="U1608" i="6" s="1"/>
  <c r="T1600" i="6"/>
  <c r="U1600" i="6" s="1"/>
  <c r="T1592" i="6"/>
  <c r="U1592" i="6" s="1"/>
  <c r="T1584" i="6"/>
  <c r="U1584" i="6" s="1"/>
  <c r="T1576" i="6"/>
  <c r="U1576" i="6" s="1"/>
  <c r="T1568" i="6"/>
  <c r="U1568" i="6" s="1"/>
  <c r="T1560" i="6"/>
  <c r="U1560" i="6" s="1"/>
  <c r="T1552" i="6"/>
  <c r="U1552" i="6" s="1"/>
  <c r="T1544" i="6"/>
  <c r="U1544" i="6" s="1"/>
  <c r="T1536" i="6"/>
  <c r="U1536" i="6" s="1"/>
  <c r="T1528" i="6"/>
  <c r="U1528" i="6" s="1"/>
  <c r="T1520" i="6"/>
  <c r="U1520" i="6" s="1"/>
  <c r="T1512" i="6"/>
  <c r="U1512" i="6" s="1"/>
  <c r="T1504" i="6"/>
  <c r="U1504" i="6" s="1"/>
  <c r="T1494" i="6"/>
  <c r="U1494" i="6" s="1"/>
  <c r="T1484" i="6"/>
  <c r="U1484" i="6" s="1"/>
  <c r="T1473" i="6"/>
  <c r="U1473" i="6" s="1"/>
  <c r="T1462" i="6"/>
  <c r="U1462" i="6" s="1"/>
  <c r="T1452" i="6"/>
  <c r="U1452" i="6" s="1"/>
  <c r="T1430" i="6"/>
  <c r="U1430" i="6" s="1"/>
  <c r="T1409" i="6"/>
  <c r="U1409" i="6" s="1"/>
  <c r="T1388" i="6"/>
  <c r="U1388" i="6" s="1"/>
  <c r="T1366" i="6"/>
  <c r="U1366" i="6" s="1"/>
  <c r="T1345" i="6"/>
  <c r="U1345" i="6" s="1"/>
  <c r="T1324" i="6"/>
  <c r="U1324" i="6" s="1"/>
  <c r="T1302" i="6"/>
  <c r="U1302" i="6" s="1"/>
  <c r="T1281" i="6"/>
  <c r="U1281" i="6" s="1"/>
  <c r="T1260" i="6"/>
  <c r="U1260" i="6" s="1"/>
  <c r="L4" i="3"/>
  <c r="T5" i="6"/>
  <c r="U5" i="6" s="1"/>
  <c r="T9" i="6"/>
  <c r="U9" i="6" s="1"/>
  <c r="T13" i="6"/>
  <c r="U13" i="6" s="1"/>
  <c r="T17" i="6"/>
  <c r="U17" i="6" s="1"/>
  <c r="T21" i="6"/>
  <c r="U21" i="6" s="1"/>
  <c r="T25" i="6"/>
  <c r="U25" i="6" s="1"/>
  <c r="T29" i="6"/>
  <c r="U29" i="6" s="1"/>
  <c r="T33" i="6"/>
  <c r="U33" i="6" s="1"/>
  <c r="T37" i="6"/>
  <c r="U37" i="6" s="1"/>
  <c r="T41" i="6"/>
  <c r="U41" i="6" s="1"/>
  <c r="T45" i="6"/>
  <c r="U45" i="6" s="1"/>
  <c r="T49" i="6"/>
  <c r="U49" i="6" s="1"/>
  <c r="T53" i="6"/>
  <c r="U53" i="6" s="1"/>
  <c r="T57" i="6"/>
  <c r="U57" i="6" s="1"/>
  <c r="T61" i="6"/>
  <c r="U61" i="6" s="1"/>
  <c r="T65" i="6"/>
  <c r="U65" i="6" s="1"/>
  <c r="T69" i="6"/>
  <c r="U69" i="6" s="1"/>
  <c r="T73" i="6"/>
  <c r="U73" i="6" s="1"/>
  <c r="T77" i="6"/>
  <c r="U77" i="6" s="1"/>
  <c r="T81" i="6"/>
  <c r="U81" i="6" s="1"/>
  <c r="T85" i="6"/>
  <c r="U85" i="6" s="1"/>
  <c r="T89" i="6"/>
  <c r="U89" i="6" s="1"/>
  <c r="T93" i="6"/>
  <c r="U93" i="6" s="1"/>
  <c r="T97" i="6"/>
  <c r="U97" i="6" s="1"/>
  <c r="T101" i="6"/>
  <c r="U101" i="6" s="1"/>
  <c r="T105" i="6"/>
  <c r="U105" i="6" s="1"/>
  <c r="T109" i="6"/>
  <c r="U109" i="6" s="1"/>
  <c r="T113" i="6"/>
  <c r="U113" i="6" s="1"/>
  <c r="T117" i="6"/>
  <c r="U117" i="6" s="1"/>
  <c r="T121" i="6"/>
  <c r="U121" i="6" s="1"/>
  <c r="T125" i="6"/>
  <c r="U125" i="6" s="1"/>
  <c r="T129" i="6"/>
  <c r="U129" i="6" s="1"/>
  <c r="T133" i="6"/>
  <c r="U133" i="6" s="1"/>
  <c r="T137" i="6"/>
  <c r="U137" i="6" s="1"/>
  <c r="T141" i="6"/>
  <c r="U141" i="6" s="1"/>
  <c r="T145" i="6"/>
  <c r="U145" i="6" s="1"/>
  <c r="T149" i="6"/>
  <c r="U149" i="6" s="1"/>
  <c r="T153" i="6"/>
  <c r="U153" i="6" s="1"/>
  <c r="T157" i="6"/>
  <c r="U157" i="6" s="1"/>
  <c r="T161" i="6"/>
  <c r="U161" i="6" s="1"/>
  <c r="T165" i="6"/>
  <c r="U165" i="6" s="1"/>
  <c r="T169" i="6"/>
  <c r="U169" i="6" s="1"/>
  <c r="T173" i="6"/>
  <c r="U173" i="6" s="1"/>
  <c r="T177" i="6"/>
  <c r="U177" i="6" s="1"/>
  <c r="T181" i="6"/>
  <c r="U181" i="6" s="1"/>
  <c r="T185" i="6"/>
  <c r="U185" i="6" s="1"/>
  <c r="T189" i="6"/>
  <c r="U189" i="6" s="1"/>
  <c r="T193" i="6"/>
  <c r="U193" i="6" s="1"/>
  <c r="T197" i="6"/>
  <c r="U197" i="6" s="1"/>
  <c r="T201" i="6"/>
  <c r="U201" i="6" s="1"/>
  <c r="T205" i="6"/>
  <c r="U205" i="6" s="1"/>
  <c r="T209" i="6"/>
  <c r="U209" i="6" s="1"/>
  <c r="T213" i="6"/>
  <c r="U213" i="6" s="1"/>
  <c r="T217" i="6"/>
  <c r="U217" i="6" s="1"/>
  <c r="T221" i="6"/>
  <c r="U221" i="6" s="1"/>
  <c r="T225" i="6"/>
  <c r="U225" i="6" s="1"/>
  <c r="T229" i="6"/>
  <c r="U229" i="6" s="1"/>
  <c r="T233" i="6"/>
  <c r="U233" i="6" s="1"/>
  <c r="T237" i="6"/>
  <c r="U237" i="6" s="1"/>
  <c r="T241" i="6"/>
  <c r="U241" i="6" s="1"/>
  <c r="T245" i="6"/>
  <c r="U245" i="6" s="1"/>
  <c r="T249" i="6"/>
  <c r="U249" i="6" s="1"/>
  <c r="T253" i="6"/>
  <c r="U253" i="6" s="1"/>
  <c r="T257" i="6"/>
  <c r="U257" i="6" s="1"/>
  <c r="T261" i="6"/>
  <c r="U261" i="6" s="1"/>
  <c r="T265" i="6"/>
  <c r="U265" i="6" s="1"/>
  <c r="T269" i="6"/>
  <c r="U269" i="6" s="1"/>
  <c r="T273" i="6"/>
  <c r="U273" i="6" s="1"/>
  <c r="T277" i="6"/>
  <c r="U277" i="6" s="1"/>
  <c r="T281" i="6"/>
  <c r="U281" i="6" s="1"/>
  <c r="T285" i="6"/>
  <c r="U285" i="6" s="1"/>
  <c r="T289" i="6"/>
  <c r="U289" i="6" s="1"/>
  <c r="T293" i="6"/>
  <c r="U293" i="6" s="1"/>
  <c r="T297" i="6"/>
  <c r="U297" i="6" s="1"/>
  <c r="T301" i="6"/>
  <c r="U301" i="6" s="1"/>
  <c r="T305" i="6"/>
  <c r="U305" i="6" s="1"/>
  <c r="T309" i="6"/>
  <c r="U309" i="6" s="1"/>
  <c r="T313" i="6"/>
  <c r="U313" i="6" s="1"/>
  <c r="T317" i="6"/>
  <c r="U317" i="6" s="1"/>
  <c r="T321" i="6"/>
  <c r="U321" i="6" s="1"/>
  <c r="T325" i="6"/>
  <c r="U325" i="6" s="1"/>
  <c r="T329" i="6"/>
  <c r="U329" i="6" s="1"/>
  <c r="T333" i="6"/>
  <c r="U333" i="6" s="1"/>
  <c r="T337" i="6"/>
  <c r="U337" i="6" s="1"/>
  <c r="T341" i="6"/>
  <c r="U341" i="6" s="1"/>
  <c r="T345" i="6"/>
  <c r="U345" i="6" s="1"/>
  <c r="T349" i="6"/>
  <c r="U349" i="6" s="1"/>
  <c r="T353" i="6"/>
  <c r="U353" i="6" s="1"/>
  <c r="T357" i="6"/>
  <c r="U357" i="6" s="1"/>
  <c r="T361" i="6"/>
  <c r="U361" i="6" s="1"/>
  <c r="T365" i="6"/>
  <c r="U365" i="6" s="1"/>
  <c r="T369" i="6"/>
  <c r="U369" i="6" s="1"/>
  <c r="T373" i="6"/>
  <c r="U373" i="6" s="1"/>
  <c r="T377" i="6"/>
  <c r="U377" i="6" s="1"/>
  <c r="T381" i="6"/>
  <c r="U381" i="6" s="1"/>
  <c r="T385" i="6"/>
  <c r="U385" i="6" s="1"/>
  <c r="T2" i="6"/>
  <c r="T7" i="6"/>
  <c r="U7" i="6" s="1"/>
  <c r="T12" i="6"/>
  <c r="U12" i="6" s="1"/>
  <c r="T18" i="6"/>
  <c r="U18" i="6" s="1"/>
  <c r="T23" i="6"/>
  <c r="U23" i="6" s="1"/>
  <c r="T28" i="6"/>
  <c r="U28" i="6" s="1"/>
  <c r="T34" i="6"/>
  <c r="U34" i="6" s="1"/>
  <c r="T39" i="6"/>
  <c r="U39" i="6" s="1"/>
  <c r="T44" i="6"/>
  <c r="U44" i="6" s="1"/>
  <c r="T50" i="6"/>
  <c r="U50" i="6" s="1"/>
  <c r="T55" i="6"/>
  <c r="U55" i="6" s="1"/>
  <c r="T60" i="6"/>
  <c r="U60" i="6" s="1"/>
  <c r="T66" i="6"/>
  <c r="U66" i="6" s="1"/>
  <c r="T71" i="6"/>
  <c r="U71" i="6" s="1"/>
  <c r="T76" i="6"/>
  <c r="U76" i="6" s="1"/>
  <c r="T82" i="6"/>
  <c r="U82" i="6" s="1"/>
  <c r="T87" i="6"/>
  <c r="U87" i="6" s="1"/>
  <c r="T92" i="6"/>
  <c r="U92" i="6" s="1"/>
  <c r="T98" i="6"/>
  <c r="U98" i="6" s="1"/>
  <c r="T103" i="6"/>
  <c r="U103" i="6" s="1"/>
  <c r="T108" i="6"/>
  <c r="U108" i="6" s="1"/>
  <c r="T114" i="6"/>
  <c r="U114" i="6" s="1"/>
  <c r="T119" i="6"/>
  <c r="U119" i="6" s="1"/>
  <c r="T124" i="6"/>
  <c r="U124" i="6" s="1"/>
  <c r="T130" i="6"/>
  <c r="U130" i="6" s="1"/>
  <c r="T135" i="6"/>
  <c r="U135" i="6" s="1"/>
  <c r="T140" i="6"/>
  <c r="U140" i="6" s="1"/>
  <c r="T6" i="6"/>
  <c r="U6" i="6" s="1"/>
  <c r="T11" i="6"/>
  <c r="U11" i="6" s="1"/>
  <c r="T16" i="6"/>
  <c r="U16" i="6" s="1"/>
  <c r="T22" i="6"/>
  <c r="U22" i="6" s="1"/>
  <c r="T27" i="6"/>
  <c r="U27" i="6" s="1"/>
  <c r="T32" i="6"/>
  <c r="U32" i="6" s="1"/>
  <c r="T38" i="6"/>
  <c r="U38" i="6" s="1"/>
  <c r="T43" i="6"/>
  <c r="U43" i="6" s="1"/>
  <c r="T48" i="6"/>
  <c r="U48" i="6" s="1"/>
  <c r="T54" i="6"/>
  <c r="U54" i="6" s="1"/>
  <c r="T59" i="6"/>
  <c r="U59" i="6" s="1"/>
  <c r="T64" i="6"/>
  <c r="U64" i="6" s="1"/>
  <c r="T70" i="6"/>
  <c r="U70" i="6" s="1"/>
  <c r="T75" i="6"/>
  <c r="U75" i="6" s="1"/>
  <c r="T80" i="6"/>
  <c r="U80" i="6" s="1"/>
  <c r="T86" i="6"/>
  <c r="U86" i="6" s="1"/>
  <c r="T91" i="6"/>
  <c r="U91" i="6" s="1"/>
  <c r="T96" i="6"/>
  <c r="U96" i="6" s="1"/>
  <c r="T102" i="6"/>
  <c r="U102" i="6" s="1"/>
  <c r="T107" i="6"/>
  <c r="U107" i="6" s="1"/>
  <c r="T112" i="6"/>
  <c r="U112" i="6" s="1"/>
  <c r="T118" i="6"/>
  <c r="U118" i="6" s="1"/>
  <c r="T123" i="6"/>
  <c r="U123" i="6" s="1"/>
  <c r="T128" i="6"/>
  <c r="U128" i="6" s="1"/>
  <c r="T134" i="6"/>
  <c r="U134" i="6" s="1"/>
  <c r="T139" i="6"/>
  <c r="U139" i="6" s="1"/>
  <c r="T144" i="6"/>
  <c r="U144" i="6" s="1"/>
  <c r="T150" i="6"/>
  <c r="U150" i="6" s="1"/>
  <c r="T155" i="6"/>
  <c r="U155" i="6" s="1"/>
  <c r="T160" i="6"/>
  <c r="U160" i="6" s="1"/>
  <c r="T166" i="6"/>
  <c r="U166" i="6" s="1"/>
  <c r="T171" i="6"/>
  <c r="U171" i="6" s="1"/>
  <c r="T176" i="6"/>
  <c r="U176" i="6" s="1"/>
  <c r="T182" i="6"/>
  <c r="U182" i="6" s="1"/>
  <c r="T187" i="6"/>
  <c r="U187" i="6" s="1"/>
  <c r="T192" i="6"/>
  <c r="U192" i="6" s="1"/>
  <c r="T198" i="6"/>
  <c r="U198" i="6" s="1"/>
  <c r="T203" i="6"/>
  <c r="U203" i="6" s="1"/>
  <c r="T208" i="6"/>
  <c r="U208" i="6" s="1"/>
  <c r="T214" i="6"/>
  <c r="U214" i="6" s="1"/>
  <c r="T219" i="6"/>
  <c r="U219" i="6" s="1"/>
  <c r="T224" i="6"/>
  <c r="U224" i="6" s="1"/>
  <c r="T230" i="6"/>
  <c r="U230" i="6" s="1"/>
  <c r="T235" i="6"/>
  <c r="U235" i="6" s="1"/>
  <c r="T240" i="6"/>
  <c r="U240" i="6" s="1"/>
  <c r="T246" i="6"/>
  <c r="U246" i="6" s="1"/>
  <c r="T251" i="6"/>
  <c r="U251" i="6" s="1"/>
  <c r="T256" i="6"/>
  <c r="U256" i="6" s="1"/>
  <c r="T262" i="6"/>
  <c r="U262" i="6" s="1"/>
  <c r="T267" i="6"/>
  <c r="U267" i="6" s="1"/>
  <c r="T272" i="6"/>
  <c r="U272" i="6" s="1"/>
  <c r="T278" i="6"/>
  <c r="U278" i="6" s="1"/>
  <c r="T283" i="6"/>
  <c r="U283" i="6" s="1"/>
  <c r="T288" i="6"/>
  <c r="U288" i="6" s="1"/>
  <c r="T294" i="6"/>
  <c r="U294" i="6" s="1"/>
  <c r="T299" i="6"/>
  <c r="U299" i="6" s="1"/>
  <c r="T304" i="6"/>
  <c r="U304" i="6" s="1"/>
  <c r="T310" i="6"/>
  <c r="U310" i="6" s="1"/>
  <c r="T315" i="6"/>
  <c r="U315" i="6" s="1"/>
  <c r="T320" i="6"/>
  <c r="U320" i="6" s="1"/>
  <c r="T326" i="6"/>
  <c r="U326" i="6" s="1"/>
  <c r="T331" i="6"/>
  <c r="U331" i="6" s="1"/>
  <c r="T336" i="6"/>
  <c r="U336" i="6" s="1"/>
  <c r="T342" i="6"/>
  <c r="U342" i="6" s="1"/>
  <c r="T347" i="6"/>
  <c r="U347" i="6" s="1"/>
  <c r="T352" i="6"/>
  <c r="U352" i="6" s="1"/>
  <c r="T358" i="6"/>
  <c r="U358" i="6" s="1"/>
  <c r="T363" i="6"/>
  <c r="U363" i="6" s="1"/>
  <c r="T368" i="6"/>
  <c r="U368" i="6" s="1"/>
  <c r="T374" i="6"/>
  <c r="U374" i="6" s="1"/>
  <c r="T379" i="6"/>
  <c r="U379" i="6" s="1"/>
  <c r="T384" i="6"/>
  <c r="U384" i="6" s="1"/>
  <c r="T389" i="6"/>
  <c r="U389" i="6" s="1"/>
  <c r="T393" i="6"/>
  <c r="U393" i="6" s="1"/>
  <c r="T397" i="6"/>
  <c r="U397" i="6" s="1"/>
  <c r="T401" i="6"/>
  <c r="U401" i="6" s="1"/>
  <c r="T405" i="6"/>
  <c r="U405" i="6" s="1"/>
  <c r="T409" i="6"/>
  <c r="U409" i="6" s="1"/>
  <c r="T413" i="6"/>
  <c r="U413" i="6" s="1"/>
  <c r="T417" i="6"/>
  <c r="U417" i="6" s="1"/>
  <c r="T421" i="6"/>
  <c r="U421" i="6" s="1"/>
  <c r="T425" i="6"/>
  <c r="U425" i="6" s="1"/>
  <c r="T429" i="6"/>
  <c r="U429" i="6" s="1"/>
  <c r="T433" i="6"/>
  <c r="U433" i="6" s="1"/>
  <c r="T437" i="6"/>
  <c r="U437" i="6" s="1"/>
  <c r="T441" i="6"/>
  <c r="U441" i="6" s="1"/>
  <c r="T445" i="6"/>
  <c r="U445" i="6" s="1"/>
  <c r="T449" i="6"/>
  <c r="U449" i="6" s="1"/>
  <c r="T453" i="6"/>
  <c r="U453" i="6" s="1"/>
  <c r="T457" i="6"/>
  <c r="U457" i="6" s="1"/>
  <c r="T461" i="6"/>
  <c r="U461" i="6" s="1"/>
  <c r="T465" i="6"/>
  <c r="U465" i="6" s="1"/>
  <c r="T469" i="6"/>
  <c r="U469" i="6" s="1"/>
  <c r="T473" i="6"/>
  <c r="U473" i="6" s="1"/>
  <c r="T477" i="6"/>
  <c r="U477" i="6" s="1"/>
  <c r="T481" i="6"/>
  <c r="U481" i="6" s="1"/>
  <c r="T485" i="6"/>
  <c r="U485" i="6" s="1"/>
  <c r="T489" i="6"/>
  <c r="U489" i="6" s="1"/>
  <c r="T493" i="6"/>
  <c r="U493" i="6" s="1"/>
  <c r="T497" i="6"/>
  <c r="U497" i="6" s="1"/>
  <c r="T501" i="6"/>
  <c r="U501" i="6" s="1"/>
  <c r="T505" i="6"/>
  <c r="U505" i="6" s="1"/>
  <c r="T509" i="6"/>
  <c r="U509" i="6" s="1"/>
  <c r="T513" i="6"/>
  <c r="U513" i="6" s="1"/>
  <c r="T517" i="6"/>
  <c r="U517" i="6" s="1"/>
  <c r="T521" i="6"/>
  <c r="U521" i="6" s="1"/>
  <c r="T525" i="6"/>
  <c r="U525" i="6" s="1"/>
  <c r="T529" i="6"/>
  <c r="U529" i="6" s="1"/>
  <c r="T533" i="6"/>
  <c r="U533" i="6" s="1"/>
  <c r="T537" i="6"/>
  <c r="U537" i="6" s="1"/>
  <c r="T541" i="6"/>
  <c r="U541" i="6" s="1"/>
  <c r="T545" i="6"/>
  <c r="U545" i="6" s="1"/>
  <c r="T549" i="6"/>
  <c r="U549" i="6" s="1"/>
  <c r="T553" i="6"/>
  <c r="U553" i="6" s="1"/>
  <c r="T557" i="6"/>
  <c r="U557" i="6" s="1"/>
  <c r="T561" i="6"/>
  <c r="U561" i="6" s="1"/>
  <c r="T565" i="6"/>
  <c r="U565" i="6" s="1"/>
  <c r="T569" i="6"/>
  <c r="U569" i="6" s="1"/>
  <c r="T573" i="6"/>
  <c r="U573" i="6" s="1"/>
  <c r="T577" i="6"/>
  <c r="U577" i="6" s="1"/>
  <c r="T581" i="6"/>
  <c r="U581" i="6" s="1"/>
  <c r="T585" i="6"/>
  <c r="U585" i="6" s="1"/>
  <c r="T589" i="6"/>
  <c r="U589" i="6" s="1"/>
  <c r="T593" i="6"/>
  <c r="U593" i="6" s="1"/>
  <c r="T597" i="6"/>
  <c r="U597" i="6" s="1"/>
  <c r="T601" i="6"/>
  <c r="U601" i="6" s="1"/>
  <c r="T605" i="6"/>
  <c r="U605" i="6" s="1"/>
  <c r="T609" i="6"/>
  <c r="U609" i="6" s="1"/>
  <c r="T613" i="6"/>
  <c r="U613" i="6" s="1"/>
  <c r="T617" i="6"/>
  <c r="U617" i="6" s="1"/>
  <c r="T621" i="6"/>
  <c r="U621" i="6" s="1"/>
  <c r="T625" i="6"/>
  <c r="U625" i="6" s="1"/>
  <c r="T629" i="6"/>
  <c r="U629" i="6" s="1"/>
  <c r="T633" i="6"/>
  <c r="U633" i="6" s="1"/>
  <c r="T637" i="6"/>
  <c r="U637" i="6" s="1"/>
  <c r="T641" i="6"/>
  <c r="U641" i="6" s="1"/>
  <c r="T645" i="6"/>
  <c r="U645" i="6" s="1"/>
  <c r="T649" i="6"/>
  <c r="U649" i="6" s="1"/>
  <c r="T653" i="6"/>
  <c r="U653" i="6" s="1"/>
  <c r="T657" i="6"/>
  <c r="U657" i="6" s="1"/>
  <c r="T661" i="6"/>
  <c r="U661" i="6" s="1"/>
  <c r="T665" i="6"/>
  <c r="U665" i="6" s="1"/>
  <c r="T669" i="6"/>
  <c r="U669" i="6" s="1"/>
  <c r="T673" i="6"/>
  <c r="U673" i="6" s="1"/>
  <c r="T677" i="6"/>
  <c r="U677" i="6" s="1"/>
  <c r="T681" i="6"/>
  <c r="U681" i="6" s="1"/>
  <c r="T685" i="6"/>
  <c r="U685" i="6" s="1"/>
  <c r="T689" i="6"/>
  <c r="U689" i="6" s="1"/>
  <c r="T693" i="6"/>
  <c r="U693" i="6" s="1"/>
  <c r="T697" i="6"/>
  <c r="U697" i="6" s="1"/>
  <c r="T701" i="6"/>
  <c r="U701" i="6" s="1"/>
  <c r="T705" i="6"/>
  <c r="U705" i="6" s="1"/>
  <c r="T709" i="6"/>
  <c r="U709" i="6" s="1"/>
  <c r="T713" i="6"/>
  <c r="U713" i="6" s="1"/>
  <c r="T717" i="6"/>
  <c r="U717" i="6" s="1"/>
  <c r="T721" i="6"/>
  <c r="U721" i="6" s="1"/>
  <c r="T725" i="6"/>
  <c r="U725" i="6" s="1"/>
  <c r="T729" i="6"/>
  <c r="U729" i="6" s="1"/>
  <c r="T733" i="6"/>
  <c r="U733" i="6" s="1"/>
  <c r="T737" i="6"/>
  <c r="U737" i="6" s="1"/>
  <c r="T741" i="6"/>
  <c r="U741" i="6" s="1"/>
  <c r="T745" i="6"/>
  <c r="U745" i="6" s="1"/>
  <c r="T749" i="6"/>
  <c r="U749" i="6" s="1"/>
  <c r="T753" i="6"/>
  <c r="U753" i="6" s="1"/>
  <c r="T757" i="6"/>
  <c r="U757" i="6" s="1"/>
  <c r="T761" i="6"/>
  <c r="U761" i="6" s="1"/>
  <c r="T765" i="6"/>
  <c r="U765" i="6" s="1"/>
  <c r="T769" i="6"/>
  <c r="U769" i="6" s="1"/>
  <c r="T773" i="6"/>
  <c r="U773" i="6" s="1"/>
  <c r="T777" i="6"/>
  <c r="U777" i="6" s="1"/>
  <c r="T781" i="6"/>
  <c r="U781" i="6" s="1"/>
  <c r="T785" i="6"/>
  <c r="U785" i="6" s="1"/>
  <c r="T789" i="6"/>
  <c r="U789" i="6" s="1"/>
  <c r="T793" i="6"/>
  <c r="U793" i="6" s="1"/>
  <c r="T797" i="6"/>
  <c r="U797" i="6" s="1"/>
  <c r="T801" i="6"/>
  <c r="U801" i="6" s="1"/>
  <c r="T805" i="6"/>
  <c r="U805" i="6" s="1"/>
  <c r="T809" i="6"/>
  <c r="U809" i="6" s="1"/>
  <c r="T813" i="6"/>
  <c r="U813" i="6" s="1"/>
  <c r="T817" i="6"/>
  <c r="U817" i="6" s="1"/>
  <c r="T821" i="6"/>
  <c r="U821" i="6" s="1"/>
  <c r="T825" i="6"/>
  <c r="U825" i="6" s="1"/>
  <c r="T829" i="6"/>
  <c r="U829" i="6" s="1"/>
  <c r="T833" i="6"/>
  <c r="U833" i="6" s="1"/>
  <c r="T837" i="6"/>
  <c r="U837" i="6" s="1"/>
  <c r="T841" i="6"/>
  <c r="U841" i="6" s="1"/>
  <c r="T845" i="6"/>
  <c r="U845" i="6" s="1"/>
  <c r="T849" i="6"/>
  <c r="U849" i="6" s="1"/>
  <c r="T853" i="6"/>
  <c r="U853" i="6" s="1"/>
  <c r="T857" i="6"/>
  <c r="U857" i="6" s="1"/>
  <c r="T861" i="6"/>
  <c r="U861" i="6" s="1"/>
  <c r="T865" i="6"/>
  <c r="U865" i="6" s="1"/>
  <c r="T869" i="6"/>
  <c r="U869" i="6" s="1"/>
  <c r="T873" i="6"/>
  <c r="U873" i="6" s="1"/>
  <c r="T877" i="6"/>
  <c r="U877" i="6" s="1"/>
  <c r="T881" i="6"/>
  <c r="U881" i="6" s="1"/>
  <c r="T885" i="6"/>
  <c r="U885" i="6" s="1"/>
  <c r="T889" i="6"/>
  <c r="U889" i="6" s="1"/>
  <c r="T893" i="6"/>
  <c r="U893" i="6" s="1"/>
  <c r="T897" i="6"/>
  <c r="U897" i="6" s="1"/>
  <c r="T901" i="6"/>
  <c r="U901" i="6" s="1"/>
  <c r="T905" i="6"/>
  <c r="U905" i="6" s="1"/>
  <c r="T909" i="6"/>
  <c r="U909" i="6" s="1"/>
  <c r="T913" i="6"/>
  <c r="U913" i="6" s="1"/>
  <c r="T917" i="6"/>
  <c r="U917" i="6" s="1"/>
  <c r="T921" i="6"/>
  <c r="U921" i="6" s="1"/>
  <c r="T925" i="6"/>
  <c r="U925" i="6" s="1"/>
  <c r="T929" i="6"/>
  <c r="U929" i="6" s="1"/>
  <c r="T933" i="6"/>
  <c r="U933" i="6" s="1"/>
  <c r="T937" i="6"/>
  <c r="U937" i="6" s="1"/>
  <c r="T941" i="6"/>
  <c r="U941" i="6" s="1"/>
  <c r="T945" i="6"/>
  <c r="U945" i="6" s="1"/>
  <c r="T949" i="6"/>
  <c r="U949" i="6" s="1"/>
  <c r="T953" i="6"/>
  <c r="U953" i="6" s="1"/>
  <c r="T957" i="6"/>
  <c r="U957" i="6" s="1"/>
  <c r="T961" i="6"/>
  <c r="U961" i="6" s="1"/>
  <c r="T965" i="6"/>
  <c r="U965" i="6" s="1"/>
  <c r="T969" i="6"/>
  <c r="U969" i="6" s="1"/>
  <c r="T4" i="6"/>
  <c r="U4" i="6" s="1"/>
  <c r="T15" i="6"/>
  <c r="U15" i="6" s="1"/>
  <c r="T26" i="6"/>
  <c r="U26" i="6" s="1"/>
  <c r="T36" i="6"/>
  <c r="U36" i="6" s="1"/>
  <c r="T47" i="6"/>
  <c r="U47" i="6" s="1"/>
  <c r="T58" i="6"/>
  <c r="U58" i="6" s="1"/>
  <c r="T68" i="6"/>
  <c r="U68" i="6" s="1"/>
  <c r="T79" i="6"/>
  <c r="U79" i="6" s="1"/>
  <c r="T90" i="6"/>
  <c r="U90" i="6" s="1"/>
  <c r="T100" i="6"/>
  <c r="U100" i="6" s="1"/>
  <c r="T111" i="6"/>
  <c r="U111" i="6" s="1"/>
  <c r="T122" i="6"/>
  <c r="U122" i="6" s="1"/>
  <c r="T132" i="6"/>
  <c r="U132" i="6" s="1"/>
  <c r="T143" i="6"/>
  <c r="U143" i="6" s="1"/>
  <c r="T151" i="6"/>
  <c r="U151" i="6" s="1"/>
  <c r="T158" i="6"/>
  <c r="U158" i="6" s="1"/>
  <c r="T164" i="6"/>
  <c r="U164" i="6" s="1"/>
  <c r="T172" i="6"/>
  <c r="U172" i="6" s="1"/>
  <c r="T179" i="6"/>
  <c r="U179" i="6" s="1"/>
  <c r="T186" i="6"/>
  <c r="U186" i="6" s="1"/>
  <c r="T194" i="6"/>
  <c r="U194" i="6" s="1"/>
  <c r="T200" i="6"/>
  <c r="U200" i="6" s="1"/>
  <c r="T207" i="6"/>
  <c r="U207" i="6" s="1"/>
  <c r="T215" i="6"/>
  <c r="U215" i="6" s="1"/>
  <c r="T222" i="6"/>
  <c r="U222" i="6" s="1"/>
  <c r="T228" i="6"/>
  <c r="U228" i="6" s="1"/>
  <c r="T236" i="6"/>
  <c r="U236" i="6" s="1"/>
  <c r="T243" i="6"/>
  <c r="U243" i="6" s="1"/>
  <c r="T250" i="6"/>
  <c r="U250" i="6" s="1"/>
  <c r="T258" i="6"/>
  <c r="U258" i="6" s="1"/>
  <c r="T264" i="6"/>
  <c r="U264" i="6" s="1"/>
  <c r="T271" i="6"/>
  <c r="U271" i="6" s="1"/>
  <c r="T279" i="6"/>
  <c r="U279" i="6" s="1"/>
  <c r="T286" i="6"/>
  <c r="U286" i="6" s="1"/>
  <c r="T292" i="6"/>
  <c r="U292" i="6" s="1"/>
  <c r="T300" i="6"/>
  <c r="U300" i="6" s="1"/>
  <c r="T307" i="6"/>
  <c r="U307" i="6" s="1"/>
  <c r="T314" i="6"/>
  <c r="U314" i="6" s="1"/>
  <c r="T322" i="6"/>
  <c r="U322" i="6" s="1"/>
  <c r="T328" i="6"/>
  <c r="U328" i="6" s="1"/>
  <c r="T335" i="6"/>
  <c r="U335" i="6" s="1"/>
  <c r="T343" i="6"/>
  <c r="U343" i="6" s="1"/>
  <c r="T350" i="6"/>
  <c r="U350" i="6" s="1"/>
  <c r="T356" i="6"/>
  <c r="U356" i="6" s="1"/>
  <c r="T364" i="6"/>
  <c r="U364" i="6" s="1"/>
  <c r="T371" i="6"/>
  <c r="U371" i="6" s="1"/>
  <c r="T378" i="6"/>
  <c r="U378" i="6" s="1"/>
  <c r="T386" i="6"/>
  <c r="U386" i="6" s="1"/>
  <c r="T391" i="6"/>
  <c r="U391" i="6" s="1"/>
  <c r="T396" i="6"/>
  <c r="U396" i="6" s="1"/>
  <c r="T402" i="6"/>
  <c r="U402" i="6" s="1"/>
  <c r="T407" i="6"/>
  <c r="U407" i="6" s="1"/>
  <c r="T412" i="6"/>
  <c r="U412" i="6" s="1"/>
  <c r="T418" i="6"/>
  <c r="U418" i="6" s="1"/>
  <c r="T423" i="6"/>
  <c r="U423" i="6" s="1"/>
  <c r="T428" i="6"/>
  <c r="U428" i="6" s="1"/>
  <c r="T434" i="6"/>
  <c r="U434" i="6" s="1"/>
  <c r="T439" i="6"/>
  <c r="U439" i="6" s="1"/>
  <c r="T444" i="6"/>
  <c r="U444" i="6" s="1"/>
  <c r="T450" i="6"/>
  <c r="U450" i="6" s="1"/>
  <c r="T455" i="6"/>
  <c r="U455" i="6" s="1"/>
  <c r="T460" i="6"/>
  <c r="U460" i="6" s="1"/>
  <c r="T466" i="6"/>
  <c r="U466" i="6" s="1"/>
  <c r="T471" i="6"/>
  <c r="U471" i="6" s="1"/>
  <c r="T476" i="6"/>
  <c r="U476" i="6" s="1"/>
  <c r="T482" i="6"/>
  <c r="U482" i="6" s="1"/>
  <c r="T487" i="6"/>
  <c r="U487" i="6" s="1"/>
  <c r="T492" i="6"/>
  <c r="U492" i="6" s="1"/>
  <c r="T498" i="6"/>
  <c r="U498" i="6" s="1"/>
  <c r="T503" i="6"/>
  <c r="U503" i="6" s="1"/>
  <c r="T508" i="6"/>
  <c r="U508" i="6" s="1"/>
  <c r="T514" i="6"/>
  <c r="U514" i="6" s="1"/>
  <c r="T519" i="6"/>
  <c r="U519" i="6" s="1"/>
  <c r="T524" i="6"/>
  <c r="U524" i="6" s="1"/>
  <c r="T530" i="6"/>
  <c r="U530" i="6" s="1"/>
  <c r="T535" i="6"/>
  <c r="U535" i="6" s="1"/>
  <c r="T540" i="6"/>
  <c r="U540" i="6" s="1"/>
  <c r="T546" i="6"/>
  <c r="U546" i="6" s="1"/>
  <c r="T551" i="6"/>
  <c r="U551" i="6" s="1"/>
  <c r="T556" i="6"/>
  <c r="U556" i="6" s="1"/>
  <c r="T562" i="6"/>
  <c r="U562" i="6" s="1"/>
  <c r="T567" i="6"/>
  <c r="U567" i="6" s="1"/>
  <c r="T572" i="6"/>
  <c r="U572" i="6" s="1"/>
  <c r="T578" i="6"/>
  <c r="U578" i="6" s="1"/>
  <c r="T583" i="6"/>
  <c r="U583" i="6" s="1"/>
  <c r="T588" i="6"/>
  <c r="U588" i="6" s="1"/>
  <c r="T594" i="6"/>
  <c r="U594" i="6" s="1"/>
  <c r="T599" i="6"/>
  <c r="U599" i="6" s="1"/>
  <c r="T604" i="6"/>
  <c r="U604" i="6" s="1"/>
  <c r="T610" i="6"/>
  <c r="U610" i="6" s="1"/>
  <c r="T615" i="6"/>
  <c r="U615" i="6" s="1"/>
  <c r="T620" i="6"/>
  <c r="U620" i="6" s="1"/>
  <c r="T626" i="6"/>
  <c r="U626" i="6" s="1"/>
  <c r="T631" i="6"/>
  <c r="U631" i="6" s="1"/>
  <c r="T636" i="6"/>
  <c r="U636" i="6" s="1"/>
  <c r="T642" i="6"/>
  <c r="U642" i="6" s="1"/>
  <c r="T647" i="6"/>
  <c r="U647" i="6" s="1"/>
  <c r="T652" i="6"/>
  <c r="U652" i="6" s="1"/>
  <c r="T658" i="6"/>
  <c r="U658" i="6" s="1"/>
  <c r="T663" i="6"/>
  <c r="U663" i="6" s="1"/>
  <c r="T668" i="6"/>
  <c r="U668" i="6" s="1"/>
  <c r="T674" i="6"/>
  <c r="U674" i="6" s="1"/>
  <c r="T679" i="6"/>
  <c r="U679" i="6" s="1"/>
  <c r="T684" i="6"/>
  <c r="U684" i="6" s="1"/>
  <c r="T690" i="6"/>
  <c r="U690" i="6" s="1"/>
  <c r="T695" i="6"/>
  <c r="U695" i="6" s="1"/>
  <c r="T700" i="6"/>
  <c r="U700" i="6" s="1"/>
  <c r="T706" i="6"/>
  <c r="U706" i="6" s="1"/>
  <c r="T711" i="6"/>
  <c r="U711" i="6" s="1"/>
  <c r="T716" i="6"/>
  <c r="U716" i="6" s="1"/>
  <c r="T722" i="6"/>
  <c r="U722" i="6" s="1"/>
  <c r="T727" i="6"/>
  <c r="U727" i="6" s="1"/>
  <c r="T732" i="6"/>
  <c r="U732" i="6" s="1"/>
  <c r="T738" i="6"/>
  <c r="U738" i="6" s="1"/>
  <c r="T743" i="6"/>
  <c r="U743" i="6" s="1"/>
  <c r="T748" i="6"/>
  <c r="U748" i="6" s="1"/>
  <c r="T754" i="6"/>
  <c r="U754" i="6" s="1"/>
  <c r="T759" i="6"/>
  <c r="U759" i="6" s="1"/>
  <c r="T764" i="6"/>
  <c r="U764" i="6" s="1"/>
  <c r="T770" i="6"/>
  <c r="U770" i="6" s="1"/>
  <c r="T775" i="6"/>
  <c r="U775" i="6" s="1"/>
  <c r="T780" i="6"/>
  <c r="U780" i="6" s="1"/>
  <c r="T786" i="6"/>
  <c r="U786" i="6" s="1"/>
  <c r="T791" i="6"/>
  <c r="U791" i="6" s="1"/>
  <c r="T796" i="6"/>
  <c r="U796" i="6" s="1"/>
  <c r="T802" i="6"/>
  <c r="U802" i="6" s="1"/>
  <c r="T807" i="6"/>
  <c r="U807" i="6" s="1"/>
  <c r="T812" i="6"/>
  <c r="U812" i="6" s="1"/>
  <c r="T818" i="6"/>
  <c r="U818" i="6" s="1"/>
  <c r="T823" i="6"/>
  <c r="U823" i="6" s="1"/>
  <c r="T8" i="6"/>
  <c r="U8" i="6" s="1"/>
  <c r="T19" i="6"/>
  <c r="U19" i="6" s="1"/>
  <c r="T30" i="6"/>
  <c r="U30" i="6" s="1"/>
  <c r="T40" i="6"/>
  <c r="U40" i="6" s="1"/>
  <c r="T51" i="6"/>
  <c r="U51" i="6" s="1"/>
  <c r="T62" i="6"/>
  <c r="U62" i="6" s="1"/>
  <c r="T72" i="6"/>
  <c r="U72" i="6" s="1"/>
  <c r="T83" i="6"/>
  <c r="U83" i="6" s="1"/>
  <c r="T94" i="6"/>
  <c r="U94" i="6" s="1"/>
  <c r="T104" i="6"/>
  <c r="U104" i="6" s="1"/>
  <c r="T115" i="6"/>
  <c r="U115" i="6" s="1"/>
  <c r="T126" i="6"/>
  <c r="U126" i="6" s="1"/>
  <c r="T136" i="6"/>
  <c r="U136" i="6" s="1"/>
  <c r="T146" i="6"/>
  <c r="U146" i="6" s="1"/>
  <c r="T152" i="6"/>
  <c r="U152" i="6" s="1"/>
  <c r="T159" i="6"/>
  <c r="U159" i="6" s="1"/>
  <c r="T167" i="6"/>
  <c r="U167" i="6" s="1"/>
  <c r="T174" i="6"/>
  <c r="U174" i="6" s="1"/>
  <c r="T180" i="6"/>
  <c r="U180" i="6" s="1"/>
  <c r="T188" i="6"/>
  <c r="U188" i="6" s="1"/>
  <c r="T195" i="6"/>
  <c r="U195" i="6" s="1"/>
  <c r="T202" i="6"/>
  <c r="U202" i="6" s="1"/>
  <c r="T210" i="6"/>
  <c r="U210" i="6" s="1"/>
  <c r="T216" i="6"/>
  <c r="U216" i="6" s="1"/>
  <c r="T223" i="6"/>
  <c r="U223" i="6" s="1"/>
  <c r="T231" i="6"/>
  <c r="U231" i="6" s="1"/>
  <c r="T238" i="6"/>
  <c r="U238" i="6" s="1"/>
  <c r="T244" i="6"/>
  <c r="U244" i="6" s="1"/>
  <c r="T252" i="6"/>
  <c r="U252" i="6" s="1"/>
  <c r="T259" i="6"/>
  <c r="U259" i="6" s="1"/>
  <c r="T266" i="6"/>
  <c r="U266" i="6" s="1"/>
  <c r="T274" i="6"/>
  <c r="U274" i="6" s="1"/>
  <c r="T280" i="6"/>
  <c r="U280" i="6" s="1"/>
  <c r="T287" i="6"/>
  <c r="U287" i="6" s="1"/>
  <c r="T295" i="6"/>
  <c r="U295" i="6" s="1"/>
  <c r="T302" i="6"/>
  <c r="U302" i="6" s="1"/>
  <c r="T308" i="6"/>
  <c r="U308" i="6" s="1"/>
  <c r="T316" i="6"/>
  <c r="U316" i="6" s="1"/>
  <c r="T323" i="6"/>
  <c r="U323" i="6" s="1"/>
  <c r="T330" i="6"/>
  <c r="U330" i="6" s="1"/>
  <c r="T338" i="6"/>
  <c r="U338" i="6" s="1"/>
  <c r="T344" i="6"/>
  <c r="U344" i="6" s="1"/>
  <c r="T351" i="6"/>
  <c r="U351" i="6" s="1"/>
  <c r="T359" i="6"/>
  <c r="U359" i="6" s="1"/>
  <c r="T366" i="6"/>
  <c r="U366" i="6" s="1"/>
  <c r="T372" i="6"/>
  <c r="U372" i="6" s="1"/>
  <c r="T380" i="6"/>
  <c r="U380" i="6" s="1"/>
  <c r="T387" i="6"/>
  <c r="U387" i="6" s="1"/>
  <c r="T392" i="6"/>
  <c r="U392" i="6" s="1"/>
  <c r="T398" i="6"/>
  <c r="U398" i="6" s="1"/>
  <c r="T403" i="6"/>
  <c r="U403" i="6" s="1"/>
  <c r="T408" i="6"/>
  <c r="U408" i="6" s="1"/>
  <c r="T414" i="6"/>
  <c r="U414" i="6" s="1"/>
  <c r="T419" i="6"/>
  <c r="U419" i="6" s="1"/>
  <c r="T424" i="6"/>
  <c r="U424" i="6" s="1"/>
  <c r="T430" i="6"/>
  <c r="U430" i="6" s="1"/>
  <c r="T435" i="6"/>
  <c r="U435" i="6" s="1"/>
  <c r="T440" i="6"/>
  <c r="U440" i="6" s="1"/>
  <c r="T446" i="6"/>
  <c r="U446" i="6" s="1"/>
  <c r="T451" i="6"/>
  <c r="U451" i="6" s="1"/>
  <c r="T456" i="6"/>
  <c r="U456" i="6" s="1"/>
  <c r="T462" i="6"/>
  <c r="U462" i="6" s="1"/>
  <c r="T467" i="6"/>
  <c r="U467" i="6" s="1"/>
  <c r="T472" i="6"/>
  <c r="U472" i="6" s="1"/>
  <c r="T478" i="6"/>
  <c r="U478" i="6" s="1"/>
  <c r="T483" i="6"/>
  <c r="U483" i="6" s="1"/>
  <c r="T488" i="6"/>
  <c r="U488" i="6" s="1"/>
  <c r="T494" i="6"/>
  <c r="U494" i="6" s="1"/>
  <c r="T499" i="6"/>
  <c r="U499" i="6" s="1"/>
  <c r="T504" i="6"/>
  <c r="U504" i="6" s="1"/>
  <c r="T510" i="6"/>
  <c r="U510" i="6" s="1"/>
  <c r="T515" i="6"/>
  <c r="U515" i="6" s="1"/>
  <c r="T520" i="6"/>
  <c r="U520" i="6" s="1"/>
  <c r="T526" i="6"/>
  <c r="U526" i="6" s="1"/>
  <c r="T531" i="6"/>
  <c r="U531" i="6" s="1"/>
  <c r="T536" i="6"/>
  <c r="U536" i="6" s="1"/>
  <c r="T542" i="6"/>
  <c r="U542" i="6" s="1"/>
  <c r="T547" i="6"/>
  <c r="U547" i="6" s="1"/>
  <c r="T552" i="6"/>
  <c r="U552" i="6" s="1"/>
  <c r="T558" i="6"/>
  <c r="U558" i="6" s="1"/>
  <c r="T563" i="6"/>
  <c r="U563" i="6" s="1"/>
  <c r="T568" i="6"/>
  <c r="U568" i="6" s="1"/>
  <c r="T574" i="6"/>
  <c r="U574" i="6" s="1"/>
  <c r="T579" i="6"/>
  <c r="U579" i="6" s="1"/>
  <c r="T584" i="6"/>
  <c r="U584" i="6" s="1"/>
  <c r="T590" i="6"/>
  <c r="U590" i="6" s="1"/>
  <c r="T595" i="6"/>
  <c r="U595" i="6" s="1"/>
  <c r="T600" i="6"/>
  <c r="U600" i="6" s="1"/>
  <c r="T606" i="6"/>
  <c r="U606" i="6" s="1"/>
  <c r="T611" i="6"/>
  <c r="U611" i="6" s="1"/>
  <c r="T616" i="6"/>
  <c r="U616" i="6" s="1"/>
  <c r="T622" i="6"/>
  <c r="U622" i="6" s="1"/>
  <c r="T627" i="6"/>
  <c r="U627" i="6" s="1"/>
  <c r="T632" i="6"/>
  <c r="U632" i="6" s="1"/>
  <c r="T638" i="6"/>
  <c r="U638" i="6" s="1"/>
  <c r="T643" i="6"/>
  <c r="U643" i="6" s="1"/>
  <c r="T648" i="6"/>
  <c r="U648" i="6" s="1"/>
  <c r="T654" i="6"/>
  <c r="U654" i="6" s="1"/>
  <c r="T659" i="6"/>
  <c r="U659" i="6" s="1"/>
  <c r="T664" i="6"/>
  <c r="U664" i="6" s="1"/>
  <c r="T670" i="6"/>
  <c r="U670" i="6" s="1"/>
  <c r="T675" i="6"/>
  <c r="U675" i="6" s="1"/>
  <c r="T680" i="6"/>
  <c r="U680" i="6" s="1"/>
  <c r="T686" i="6"/>
  <c r="U686" i="6" s="1"/>
  <c r="T691" i="6"/>
  <c r="U691" i="6" s="1"/>
  <c r="T696" i="6"/>
  <c r="U696" i="6" s="1"/>
  <c r="T702" i="6"/>
  <c r="U702" i="6" s="1"/>
  <c r="T707" i="6"/>
  <c r="U707" i="6" s="1"/>
  <c r="T712" i="6"/>
  <c r="U712" i="6" s="1"/>
  <c r="T718" i="6"/>
  <c r="U718" i="6" s="1"/>
  <c r="T723" i="6"/>
  <c r="U723" i="6" s="1"/>
  <c r="T728" i="6"/>
  <c r="U728" i="6" s="1"/>
  <c r="T734" i="6"/>
  <c r="U734" i="6" s="1"/>
  <c r="T739" i="6"/>
  <c r="U739" i="6" s="1"/>
  <c r="T744" i="6"/>
  <c r="U744" i="6" s="1"/>
  <c r="T750" i="6"/>
  <c r="U750" i="6" s="1"/>
  <c r="T755" i="6"/>
  <c r="U755" i="6" s="1"/>
  <c r="T760" i="6"/>
  <c r="U760" i="6" s="1"/>
  <c r="T766" i="6"/>
  <c r="U766" i="6" s="1"/>
  <c r="T771" i="6"/>
  <c r="U771" i="6" s="1"/>
  <c r="T776" i="6"/>
  <c r="U776" i="6" s="1"/>
  <c r="T782" i="6"/>
  <c r="U782" i="6" s="1"/>
  <c r="T787" i="6"/>
  <c r="U787" i="6" s="1"/>
  <c r="T792" i="6"/>
  <c r="U792" i="6" s="1"/>
  <c r="T798" i="6"/>
  <c r="U798" i="6" s="1"/>
  <c r="T803" i="6"/>
  <c r="U803" i="6" s="1"/>
  <c r="T808" i="6"/>
  <c r="U808" i="6" s="1"/>
  <c r="T814" i="6"/>
  <c r="U814" i="6" s="1"/>
  <c r="T819" i="6"/>
  <c r="U819" i="6" s="1"/>
  <c r="T824" i="6"/>
  <c r="U824" i="6" s="1"/>
  <c r="T830" i="6"/>
  <c r="U830" i="6" s="1"/>
  <c r="T835" i="6"/>
  <c r="U835" i="6" s="1"/>
  <c r="T840" i="6"/>
  <c r="U840" i="6" s="1"/>
  <c r="T846" i="6"/>
  <c r="U846" i="6" s="1"/>
  <c r="T851" i="6"/>
  <c r="U851" i="6" s="1"/>
  <c r="T856" i="6"/>
  <c r="U856" i="6" s="1"/>
  <c r="T862" i="6"/>
  <c r="U862" i="6" s="1"/>
  <c r="T867" i="6"/>
  <c r="U867" i="6" s="1"/>
  <c r="T872" i="6"/>
  <c r="U872" i="6" s="1"/>
  <c r="T878" i="6"/>
  <c r="U878" i="6" s="1"/>
  <c r="T883" i="6"/>
  <c r="U883" i="6" s="1"/>
  <c r="T888" i="6"/>
  <c r="U888" i="6" s="1"/>
  <c r="T894" i="6"/>
  <c r="U894" i="6" s="1"/>
  <c r="T10" i="6"/>
  <c r="U10" i="6" s="1"/>
  <c r="T20" i="6"/>
  <c r="U20" i="6" s="1"/>
  <c r="T31" i="6"/>
  <c r="U31" i="6" s="1"/>
  <c r="T42" i="6"/>
  <c r="U42" i="6" s="1"/>
  <c r="T52" i="6"/>
  <c r="U52" i="6" s="1"/>
  <c r="T63" i="6"/>
  <c r="U63" i="6" s="1"/>
  <c r="T74" i="6"/>
  <c r="U74" i="6" s="1"/>
  <c r="T84" i="6"/>
  <c r="U84" i="6" s="1"/>
  <c r="T95" i="6"/>
  <c r="U95" i="6" s="1"/>
  <c r="T106" i="6"/>
  <c r="U106" i="6" s="1"/>
  <c r="T116" i="6"/>
  <c r="U116" i="6" s="1"/>
  <c r="T127" i="6"/>
  <c r="U127" i="6" s="1"/>
  <c r="T138" i="6"/>
  <c r="U138" i="6" s="1"/>
  <c r="T147" i="6"/>
  <c r="U147" i="6" s="1"/>
  <c r="T154" i="6"/>
  <c r="U154" i="6" s="1"/>
  <c r="T162" i="6"/>
  <c r="U162" i="6" s="1"/>
  <c r="T168" i="6"/>
  <c r="U168" i="6" s="1"/>
  <c r="T175" i="6"/>
  <c r="U175" i="6" s="1"/>
  <c r="T183" i="6"/>
  <c r="U183" i="6" s="1"/>
  <c r="T190" i="6"/>
  <c r="U190" i="6" s="1"/>
  <c r="T196" i="6"/>
  <c r="U196" i="6" s="1"/>
  <c r="T204" i="6"/>
  <c r="U204" i="6" s="1"/>
  <c r="T211" i="6"/>
  <c r="U211" i="6" s="1"/>
  <c r="T218" i="6"/>
  <c r="U218" i="6" s="1"/>
  <c r="T226" i="6"/>
  <c r="U226" i="6" s="1"/>
  <c r="T232" i="6"/>
  <c r="U232" i="6" s="1"/>
  <c r="T239" i="6"/>
  <c r="U239" i="6" s="1"/>
  <c r="T247" i="6"/>
  <c r="U247" i="6" s="1"/>
  <c r="T254" i="6"/>
  <c r="U254" i="6" s="1"/>
  <c r="T260" i="6"/>
  <c r="U260" i="6" s="1"/>
  <c r="T268" i="6"/>
  <c r="U268" i="6" s="1"/>
  <c r="T275" i="6"/>
  <c r="U275" i="6" s="1"/>
  <c r="T282" i="6"/>
  <c r="U282" i="6" s="1"/>
  <c r="T290" i="6"/>
  <c r="U290" i="6" s="1"/>
  <c r="T296" i="6"/>
  <c r="U296" i="6" s="1"/>
  <c r="T303" i="6"/>
  <c r="U303" i="6" s="1"/>
  <c r="T311" i="6"/>
  <c r="U311" i="6" s="1"/>
  <c r="T318" i="6"/>
  <c r="U318" i="6" s="1"/>
  <c r="T324" i="6"/>
  <c r="U324" i="6" s="1"/>
  <c r="T332" i="6"/>
  <c r="U332" i="6" s="1"/>
  <c r="T339" i="6"/>
  <c r="U339" i="6" s="1"/>
  <c r="T346" i="6"/>
  <c r="U346" i="6" s="1"/>
  <c r="T354" i="6"/>
  <c r="U354" i="6" s="1"/>
  <c r="T360" i="6"/>
  <c r="U360" i="6" s="1"/>
  <c r="T3" i="6"/>
  <c r="U3" i="6" s="1"/>
  <c r="T14" i="6"/>
  <c r="U14" i="6" s="1"/>
  <c r="T24" i="6"/>
  <c r="U24" i="6" s="1"/>
  <c r="T35" i="6"/>
  <c r="U35" i="6" s="1"/>
  <c r="T46" i="6"/>
  <c r="U46" i="6" s="1"/>
  <c r="T56" i="6"/>
  <c r="U56" i="6" s="1"/>
  <c r="T67" i="6"/>
  <c r="U67" i="6" s="1"/>
  <c r="T78" i="6"/>
  <c r="U78" i="6" s="1"/>
  <c r="T88" i="6"/>
  <c r="U88" i="6" s="1"/>
  <c r="T99" i="6"/>
  <c r="U99" i="6" s="1"/>
  <c r="T110" i="6"/>
  <c r="U110" i="6" s="1"/>
  <c r="T120" i="6"/>
  <c r="U120" i="6" s="1"/>
  <c r="T131" i="6"/>
  <c r="U131" i="6" s="1"/>
  <c r="T142" i="6"/>
  <c r="U142" i="6" s="1"/>
  <c r="T148" i="6"/>
  <c r="U148" i="6" s="1"/>
  <c r="T156" i="6"/>
  <c r="U156" i="6" s="1"/>
  <c r="T163" i="6"/>
  <c r="U163" i="6" s="1"/>
  <c r="T170" i="6"/>
  <c r="U170" i="6" s="1"/>
  <c r="T178" i="6"/>
  <c r="U178" i="6" s="1"/>
  <c r="T184" i="6"/>
  <c r="U184" i="6" s="1"/>
  <c r="T191" i="6"/>
  <c r="U191" i="6" s="1"/>
  <c r="T199" i="6"/>
  <c r="U199" i="6" s="1"/>
  <c r="T206" i="6"/>
  <c r="U206" i="6" s="1"/>
  <c r="T212" i="6"/>
  <c r="U212" i="6" s="1"/>
  <c r="T220" i="6"/>
  <c r="U220" i="6" s="1"/>
  <c r="T227" i="6"/>
  <c r="U227" i="6" s="1"/>
  <c r="T234" i="6"/>
  <c r="U234" i="6" s="1"/>
  <c r="T242" i="6"/>
  <c r="U242" i="6" s="1"/>
  <c r="T248" i="6"/>
  <c r="U248" i="6" s="1"/>
  <c r="T255" i="6"/>
  <c r="U255" i="6" s="1"/>
  <c r="T263" i="6"/>
  <c r="U263" i="6" s="1"/>
  <c r="T270" i="6"/>
  <c r="U270" i="6" s="1"/>
  <c r="T276" i="6"/>
  <c r="U276" i="6" s="1"/>
  <c r="T284" i="6"/>
  <c r="U284" i="6" s="1"/>
  <c r="T291" i="6"/>
  <c r="U291" i="6" s="1"/>
  <c r="T298" i="6"/>
  <c r="U298" i="6" s="1"/>
  <c r="T306" i="6"/>
  <c r="U306" i="6" s="1"/>
  <c r="T312" i="6"/>
  <c r="U312" i="6" s="1"/>
  <c r="T319" i="6"/>
  <c r="U319" i="6" s="1"/>
  <c r="T327" i="6"/>
  <c r="U327" i="6" s="1"/>
  <c r="T334" i="6"/>
  <c r="U334" i="6" s="1"/>
  <c r="T340" i="6"/>
  <c r="U340" i="6" s="1"/>
  <c r="T348" i="6"/>
  <c r="U348" i="6" s="1"/>
  <c r="T355" i="6"/>
  <c r="U355" i="6" s="1"/>
  <c r="T362" i="6"/>
  <c r="U362" i="6" s="1"/>
  <c r="T370" i="6"/>
  <c r="U370" i="6" s="1"/>
  <c r="T376" i="6"/>
  <c r="U376" i="6" s="1"/>
  <c r="T383" i="6"/>
  <c r="U383" i="6" s="1"/>
  <c r="T390" i="6"/>
  <c r="U390" i="6" s="1"/>
  <c r="T395" i="6"/>
  <c r="U395" i="6" s="1"/>
  <c r="T400" i="6"/>
  <c r="U400" i="6" s="1"/>
  <c r="T406" i="6"/>
  <c r="U406" i="6" s="1"/>
  <c r="T411" i="6"/>
  <c r="U411" i="6" s="1"/>
  <c r="T416" i="6"/>
  <c r="U416" i="6" s="1"/>
  <c r="T422" i="6"/>
  <c r="U422" i="6" s="1"/>
  <c r="T427" i="6"/>
  <c r="U427" i="6" s="1"/>
  <c r="T432" i="6"/>
  <c r="U432" i="6" s="1"/>
  <c r="T438" i="6"/>
  <c r="U438" i="6" s="1"/>
  <c r="T443" i="6"/>
  <c r="U443" i="6" s="1"/>
  <c r="T448" i="6"/>
  <c r="U448" i="6" s="1"/>
  <c r="T454" i="6"/>
  <c r="U454" i="6" s="1"/>
  <c r="T459" i="6"/>
  <c r="U459" i="6" s="1"/>
  <c r="T464" i="6"/>
  <c r="U464" i="6" s="1"/>
  <c r="T470" i="6"/>
  <c r="U470" i="6" s="1"/>
  <c r="T475" i="6"/>
  <c r="U475" i="6" s="1"/>
  <c r="T480" i="6"/>
  <c r="U480" i="6" s="1"/>
  <c r="T486" i="6"/>
  <c r="U486" i="6" s="1"/>
  <c r="T491" i="6"/>
  <c r="U491" i="6" s="1"/>
  <c r="T496" i="6"/>
  <c r="U496" i="6" s="1"/>
  <c r="T502" i="6"/>
  <c r="U502" i="6" s="1"/>
  <c r="T507" i="6"/>
  <c r="U507" i="6" s="1"/>
  <c r="T512" i="6"/>
  <c r="U512" i="6" s="1"/>
  <c r="T518" i="6"/>
  <c r="U518" i="6" s="1"/>
  <c r="T523" i="6"/>
  <c r="U523" i="6" s="1"/>
  <c r="T528" i="6"/>
  <c r="U528" i="6" s="1"/>
  <c r="T534" i="6"/>
  <c r="U534" i="6" s="1"/>
  <c r="T539" i="6"/>
  <c r="U539" i="6" s="1"/>
  <c r="T544" i="6"/>
  <c r="U544" i="6" s="1"/>
  <c r="T550" i="6"/>
  <c r="U550" i="6" s="1"/>
  <c r="T555" i="6"/>
  <c r="U555" i="6" s="1"/>
  <c r="T560" i="6"/>
  <c r="U560" i="6" s="1"/>
  <c r="T566" i="6"/>
  <c r="U566" i="6" s="1"/>
  <c r="T571" i="6"/>
  <c r="U571" i="6" s="1"/>
  <c r="T576" i="6"/>
  <c r="U576" i="6" s="1"/>
  <c r="T582" i="6"/>
  <c r="U582" i="6" s="1"/>
  <c r="T587" i="6"/>
  <c r="U587" i="6" s="1"/>
  <c r="T592" i="6"/>
  <c r="U592" i="6" s="1"/>
  <c r="T598" i="6"/>
  <c r="U598" i="6" s="1"/>
  <c r="T603" i="6"/>
  <c r="U603" i="6" s="1"/>
  <c r="T608" i="6"/>
  <c r="U608" i="6" s="1"/>
  <c r="T614" i="6"/>
  <c r="U614" i="6" s="1"/>
  <c r="T619" i="6"/>
  <c r="U619" i="6" s="1"/>
  <c r="T624" i="6"/>
  <c r="U624" i="6" s="1"/>
  <c r="T630" i="6"/>
  <c r="U630" i="6" s="1"/>
  <c r="T635" i="6"/>
  <c r="U635" i="6" s="1"/>
  <c r="T640" i="6"/>
  <c r="U640" i="6" s="1"/>
  <c r="T646" i="6"/>
  <c r="U646" i="6" s="1"/>
  <c r="T651" i="6"/>
  <c r="U651" i="6" s="1"/>
  <c r="T656" i="6"/>
  <c r="U656" i="6" s="1"/>
  <c r="T662" i="6"/>
  <c r="U662" i="6" s="1"/>
  <c r="T667" i="6"/>
  <c r="U667" i="6" s="1"/>
  <c r="T672" i="6"/>
  <c r="U672" i="6" s="1"/>
  <c r="T678" i="6"/>
  <c r="U678" i="6" s="1"/>
  <c r="T683" i="6"/>
  <c r="U683" i="6" s="1"/>
  <c r="T688" i="6"/>
  <c r="U688" i="6" s="1"/>
  <c r="T694" i="6"/>
  <c r="U694" i="6" s="1"/>
  <c r="T699" i="6"/>
  <c r="U699" i="6" s="1"/>
  <c r="T704" i="6"/>
  <c r="U704" i="6" s="1"/>
  <c r="T710" i="6"/>
  <c r="U710" i="6" s="1"/>
  <c r="T715" i="6"/>
  <c r="U715" i="6" s="1"/>
  <c r="T720" i="6"/>
  <c r="U720" i="6" s="1"/>
  <c r="T726" i="6"/>
  <c r="U726" i="6" s="1"/>
  <c r="T731" i="6"/>
  <c r="U731" i="6" s="1"/>
  <c r="T736" i="6"/>
  <c r="U736" i="6" s="1"/>
  <c r="T742" i="6"/>
  <c r="U742" i="6" s="1"/>
  <c r="T747" i="6"/>
  <c r="U747" i="6" s="1"/>
  <c r="T752" i="6"/>
  <c r="U752" i="6" s="1"/>
  <c r="T758" i="6"/>
  <c r="U758" i="6" s="1"/>
  <c r="T763" i="6"/>
  <c r="U763" i="6" s="1"/>
  <c r="T768" i="6"/>
  <c r="U768" i="6" s="1"/>
  <c r="T774" i="6"/>
  <c r="U774" i="6" s="1"/>
  <c r="T779" i="6"/>
  <c r="U779" i="6" s="1"/>
  <c r="T784" i="6"/>
  <c r="U784" i="6" s="1"/>
  <c r="T790" i="6"/>
  <c r="U790" i="6" s="1"/>
  <c r="T795" i="6"/>
  <c r="U795" i="6" s="1"/>
  <c r="T800" i="6"/>
  <c r="U800" i="6" s="1"/>
  <c r="T806" i="6"/>
  <c r="U806" i="6" s="1"/>
  <c r="T811" i="6"/>
  <c r="U811" i="6" s="1"/>
  <c r="T816" i="6"/>
  <c r="U816" i="6" s="1"/>
  <c r="T822" i="6"/>
  <c r="U822" i="6" s="1"/>
  <c r="T827" i="6"/>
  <c r="U827" i="6" s="1"/>
  <c r="T832" i="6"/>
  <c r="U832" i="6" s="1"/>
  <c r="T838" i="6"/>
  <c r="U838" i="6" s="1"/>
  <c r="T843" i="6"/>
  <c r="U843" i="6" s="1"/>
  <c r="T848" i="6"/>
  <c r="U848" i="6" s="1"/>
  <c r="T854" i="6"/>
  <c r="U854" i="6" s="1"/>
  <c r="T859" i="6"/>
  <c r="U859" i="6" s="1"/>
  <c r="T864" i="6"/>
  <c r="U864" i="6" s="1"/>
  <c r="T870" i="6"/>
  <c r="U870" i="6" s="1"/>
  <c r="T875" i="6"/>
  <c r="U875" i="6" s="1"/>
  <c r="T880" i="6"/>
  <c r="U880" i="6" s="1"/>
  <c r="T886" i="6"/>
  <c r="U886" i="6" s="1"/>
  <c r="T891" i="6"/>
  <c r="U891" i="6" s="1"/>
  <c r="T896" i="6"/>
  <c r="U896" i="6" s="1"/>
  <c r="T902" i="6"/>
  <c r="U902" i="6" s="1"/>
  <c r="T907" i="6"/>
  <c r="U907" i="6" s="1"/>
  <c r="T912" i="6"/>
  <c r="U912" i="6" s="1"/>
  <c r="T918" i="6"/>
  <c r="U918" i="6" s="1"/>
  <c r="T923" i="6"/>
  <c r="U923" i="6" s="1"/>
  <c r="T928" i="6"/>
  <c r="U928" i="6" s="1"/>
  <c r="T934" i="6"/>
  <c r="U934" i="6" s="1"/>
  <c r="T939" i="6"/>
  <c r="U939" i="6" s="1"/>
  <c r="T944" i="6"/>
  <c r="U944" i="6" s="1"/>
  <c r="T950" i="6"/>
  <c r="U950" i="6" s="1"/>
  <c r="T955" i="6"/>
  <c r="U955" i="6" s="1"/>
  <c r="T960" i="6"/>
  <c r="U960" i="6" s="1"/>
  <c r="T966" i="6"/>
  <c r="U966" i="6" s="1"/>
  <c r="T971" i="6"/>
  <c r="U971" i="6" s="1"/>
  <c r="T975" i="6"/>
  <c r="U975" i="6" s="1"/>
  <c r="T979" i="6"/>
  <c r="U979" i="6" s="1"/>
  <c r="T983" i="6"/>
  <c r="U983" i="6" s="1"/>
  <c r="T987" i="6"/>
  <c r="U987" i="6" s="1"/>
  <c r="T991" i="6"/>
  <c r="U991" i="6" s="1"/>
  <c r="T995" i="6"/>
  <c r="U995" i="6" s="1"/>
  <c r="T999" i="6"/>
  <c r="U999" i="6" s="1"/>
  <c r="T1003" i="6"/>
  <c r="U1003" i="6" s="1"/>
  <c r="T1007" i="6"/>
  <c r="U1007" i="6" s="1"/>
  <c r="T1011" i="6"/>
  <c r="U1011" i="6" s="1"/>
  <c r="T1015" i="6"/>
  <c r="U1015" i="6" s="1"/>
  <c r="T1019" i="6"/>
  <c r="U1019" i="6" s="1"/>
  <c r="T1023" i="6"/>
  <c r="U1023" i="6" s="1"/>
  <c r="T1027" i="6"/>
  <c r="U1027" i="6" s="1"/>
  <c r="T1031" i="6"/>
  <c r="U1031" i="6" s="1"/>
  <c r="T1035" i="6"/>
  <c r="U1035" i="6" s="1"/>
  <c r="T1039" i="6"/>
  <c r="U1039" i="6" s="1"/>
  <c r="T1043" i="6"/>
  <c r="U1043" i="6" s="1"/>
  <c r="T1047" i="6"/>
  <c r="U1047" i="6" s="1"/>
  <c r="T1051" i="6"/>
  <c r="U1051" i="6" s="1"/>
  <c r="T1055" i="6"/>
  <c r="U1055" i="6" s="1"/>
  <c r="T1059" i="6"/>
  <c r="U1059" i="6" s="1"/>
  <c r="T1063" i="6"/>
  <c r="U1063" i="6" s="1"/>
  <c r="T1067" i="6"/>
  <c r="U1067" i="6" s="1"/>
  <c r="T1071" i="6"/>
  <c r="U1071" i="6" s="1"/>
  <c r="T1075" i="6"/>
  <c r="U1075" i="6" s="1"/>
  <c r="T1079" i="6"/>
  <c r="U1079" i="6" s="1"/>
  <c r="T1083" i="6"/>
  <c r="U1083" i="6" s="1"/>
  <c r="T1087" i="6"/>
  <c r="U1087" i="6" s="1"/>
  <c r="T1091" i="6"/>
  <c r="U1091" i="6" s="1"/>
  <c r="T1095" i="6"/>
  <c r="U1095" i="6" s="1"/>
  <c r="T1099" i="6"/>
  <c r="U1099" i="6" s="1"/>
  <c r="T1103" i="6"/>
  <c r="U1103" i="6" s="1"/>
  <c r="T1107" i="6"/>
  <c r="U1107" i="6" s="1"/>
  <c r="T1111" i="6"/>
  <c r="U1111" i="6" s="1"/>
  <c r="T1115" i="6"/>
  <c r="U1115" i="6" s="1"/>
  <c r="T1119" i="6"/>
  <c r="U1119" i="6" s="1"/>
  <c r="T1123" i="6"/>
  <c r="U1123" i="6" s="1"/>
  <c r="T1127" i="6"/>
  <c r="U1127" i="6" s="1"/>
  <c r="T1131" i="6"/>
  <c r="U1131" i="6" s="1"/>
  <c r="T1135" i="6"/>
  <c r="U1135" i="6" s="1"/>
  <c r="T1139" i="6"/>
  <c r="U1139" i="6" s="1"/>
  <c r="T1143" i="6"/>
  <c r="U1143" i="6" s="1"/>
  <c r="T1147" i="6"/>
  <c r="U1147" i="6" s="1"/>
  <c r="T1151" i="6"/>
  <c r="U1151" i="6" s="1"/>
  <c r="T1155" i="6"/>
  <c r="U1155" i="6" s="1"/>
  <c r="T1159" i="6"/>
  <c r="U1159" i="6" s="1"/>
  <c r="T1163" i="6"/>
  <c r="U1163" i="6" s="1"/>
  <c r="T1167" i="6"/>
  <c r="U1167" i="6" s="1"/>
  <c r="T1171" i="6"/>
  <c r="U1171" i="6" s="1"/>
  <c r="T1175" i="6"/>
  <c r="U1175" i="6" s="1"/>
  <c r="T1179" i="6"/>
  <c r="U1179" i="6" s="1"/>
  <c r="T1183" i="6"/>
  <c r="U1183" i="6" s="1"/>
  <c r="T1187" i="6"/>
  <c r="U1187" i="6" s="1"/>
  <c r="T1191" i="6"/>
  <c r="U1191" i="6" s="1"/>
  <c r="T1195" i="6"/>
  <c r="U1195" i="6" s="1"/>
  <c r="T1199" i="6"/>
  <c r="U1199" i="6" s="1"/>
  <c r="T1203" i="6"/>
  <c r="U1203" i="6" s="1"/>
  <c r="T1207" i="6"/>
  <c r="U1207" i="6" s="1"/>
  <c r="T1211" i="6"/>
  <c r="U1211" i="6" s="1"/>
  <c r="T1215" i="6"/>
  <c r="U1215" i="6" s="1"/>
  <c r="T1219" i="6"/>
  <c r="U1219" i="6" s="1"/>
  <c r="T1223" i="6"/>
  <c r="U1223" i="6" s="1"/>
  <c r="T1227" i="6"/>
  <c r="U1227" i="6" s="1"/>
  <c r="T1231" i="6"/>
  <c r="U1231" i="6" s="1"/>
  <c r="T1235" i="6"/>
  <c r="U1235" i="6" s="1"/>
  <c r="T1239" i="6"/>
  <c r="U1239" i="6" s="1"/>
  <c r="T1243" i="6"/>
  <c r="U1243" i="6" s="1"/>
  <c r="T1247" i="6"/>
  <c r="U1247" i="6" s="1"/>
  <c r="T1251" i="6"/>
  <c r="U1251" i="6" s="1"/>
  <c r="T1255" i="6"/>
  <c r="U1255" i="6" s="1"/>
  <c r="T1259" i="6"/>
  <c r="U1259" i="6" s="1"/>
  <c r="T1263" i="6"/>
  <c r="U1263" i="6" s="1"/>
  <c r="T1267" i="6"/>
  <c r="U1267" i="6" s="1"/>
  <c r="T1271" i="6"/>
  <c r="U1271" i="6" s="1"/>
  <c r="T1275" i="6"/>
  <c r="U1275" i="6" s="1"/>
  <c r="T1279" i="6"/>
  <c r="U1279" i="6" s="1"/>
  <c r="T1283" i="6"/>
  <c r="U1283" i="6" s="1"/>
  <c r="T1287" i="6"/>
  <c r="U1287" i="6" s="1"/>
  <c r="T1291" i="6"/>
  <c r="U1291" i="6" s="1"/>
  <c r="T1295" i="6"/>
  <c r="U1295" i="6" s="1"/>
  <c r="T1299" i="6"/>
  <c r="U1299" i="6" s="1"/>
  <c r="T1303" i="6"/>
  <c r="U1303" i="6" s="1"/>
  <c r="T1307" i="6"/>
  <c r="U1307" i="6" s="1"/>
  <c r="T1311" i="6"/>
  <c r="U1311" i="6" s="1"/>
  <c r="T1315" i="6"/>
  <c r="U1315" i="6" s="1"/>
  <c r="T1319" i="6"/>
  <c r="U1319" i="6" s="1"/>
  <c r="T1323" i="6"/>
  <c r="U1323" i="6" s="1"/>
  <c r="T1327" i="6"/>
  <c r="U1327" i="6" s="1"/>
  <c r="T1331" i="6"/>
  <c r="U1331" i="6" s="1"/>
  <c r="T1335" i="6"/>
  <c r="U1335" i="6" s="1"/>
  <c r="T1339" i="6"/>
  <c r="U1339" i="6" s="1"/>
  <c r="T1343" i="6"/>
  <c r="U1343" i="6" s="1"/>
  <c r="T1347" i="6"/>
  <c r="U1347" i="6" s="1"/>
  <c r="T1351" i="6"/>
  <c r="U1351" i="6" s="1"/>
  <c r="T1355" i="6"/>
  <c r="U1355" i="6" s="1"/>
  <c r="T1359" i="6"/>
  <c r="U1359" i="6" s="1"/>
  <c r="T1363" i="6"/>
  <c r="U1363" i="6" s="1"/>
  <c r="T1367" i="6"/>
  <c r="U1367" i="6" s="1"/>
  <c r="T1371" i="6"/>
  <c r="U1371" i="6" s="1"/>
  <c r="T1375" i="6"/>
  <c r="U1375" i="6" s="1"/>
  <c r="T1379" i="6"/>
  <c r="U1379" i="6" s="1"/>
  <c r="T1383" i="6"/>
  <c r="U1383" i="6" s="1"/>
  <c r="T1387" i="6"/>
  <c r="U1387" i="6" s="1"/>
  <c r="T1391" i="6"/>
  <c r="U1391" i="6" s="1"/>
  <c r="T1395" i="6"/>
  <c r="U1395" i="6" s="1"/>
  <c r="T1399" i="6"/>
  <c r="U1399" i="6" s="1"/>
  <c r="T1403" i="6"/>
  <c r="U1403" i="6" s="1"/>
  <c r="T1407" i="6"/>
  <c r="U1407" i="6" s="1"/>
  <c r="T1411" i="6"/>
  <c r="U1411" i="6" s="1"/>
  <c r="T1415" i="6"/>
  <c r="U1415" i="6" s="1"/>
  <c r="T1419" i="6"/>
  <c r="U1419" i="6" s="1"/>
  <c r="T1423" i="6"/>
  <c r="U1423" i="6" s="1"/>
  <c r="T1427" i="6"/>
  <c r="U1427" i="6" s="1"/>
  <c r="T1431" i="6"/>
  <c r="U1431" i="6" s="1"/>
  <c r="T1435" i="6"/>
  <c r="U1435" i="6" s="1"/>
  <c r="T1439" i="6"/>
  <c r="U1439" i="6" s="1"/>
  <c r="T1443" i="6"/>
  <c r="U1443" i="6" s="1"/>
  <c r="T1447" i="6"/>
  <c r="U1447" i="6" s="1"/>
  <c r="T1451" i="6"/>
  <c r="U1451" i="6" s="1"/>
  <c r="T1455" i="6"/>
  <c r="U1455" i="6" s="1"/>
  <c r="T1459" i="6"/>
  <c r="U1459" i="6" s="1"/>
  <c r="T1463" i="6"/>
  <c r="U1463" i="6" s="1"/>
  <c r="T1467" i="6"/>
  <c r="U1467" i="6" s="1"/>
  <c r="T1471" i="6"/>
  <c r="U1471" i="6" s="1"/>
  <c r="T1475" i="6"/>
  <c r="U1475" i="6" s="1"/>
  <c r="T1479" i="6"/>
  <c r="U1479" i="6" s="1"/>
  <c r="T1483" i="6"/>
  <c r="U1483" i="6" s="1"/>
  <c r="T1487" i="6"/>
  <c r="U1487" i="6" s="1"/>
  <c r="T1491" i="6"/>
  <c r="U1491" i="6" s="1"/>
  <c r="T1495" i="6"/>
  <c r="U1495" i="6" s="1"/>
  <c r="T1499" i="6"/>
  <c r="U1499" i="6" s="1"/>
  <c r="T367" i="6"/>
  <c r="U367" i="6" s="1"/>
  <c r="T394" i="6"/>
  <c r="U394" i="6" s="1"/>
  <c r="T415" i="6"/>
  <c r="U415" i="6" s="1"/>
  <c r="T436" i="6"/>
  <c r="U436" i="6" s="1"/>
  <c r="T458" i="6"/>
  <c r="U458" i="6" s="1"/>
  <c r="T479" i="6"/>
  <c r="U479" i="6" s="1"/>
  <c r="T500" i="6"/>
  <c r="U500" i="6" s="1"/>
  <c r="T522" i="6"/>
  <c r="U522" i="6" s="1"/>
  <c r="T543" i="6"/>
  <c r="U543" i="6" s="1"/>
  <c r="T564" i="6"/>
  <c r="U564" i="6" s="1"/>
  <c r="T586" i="6"/>
  <c r="U586" i="6" s="1"/>
  <c r="T607" i="6"/>
  <c r="U607" i="6" s="1"/>
  <c r="T628" i="6"/>
  <c r="U628" i="6" s="1"/>
  <c r="T650" i="6"/>
  <c r="U650" i="6" s="1"/>
  <c r="T671" i="6"/>
  <c r="U671" i="6" s="1"/>
  <c r="T692" i="6"/>
  <c r="U692" i="6" s="1"/>
  <c r="T714" i="6"/>
  <c r="U714" i="6" s="1"/>
  <c r="T735" i="6"/>
  <c r="U735" i="6" s="1"/>
  <c r="T756" i="6"/>
  <c r="U756" i="6" s="1"/>
  <c r="T778" i="6"/>
  <c r="U778" i="6" s="1"/>
  <c r="T799" i="6"/>
  <c r="U799" i="6" s="1"/>
  <c r="T820" i="6"/>
  <c r="U820" i="6" s="1"/>
  <c r="T834" i="6"/>
  <c r="U834" i="6" s="1"/>
  <c r="T844" i="6"/>
  <c r="U844" i="6" s="1"/>
  <c r="T855" i="6"/>
  <c r="U855" i="6" s="1"/>
  <c r="T866" i="6"/>
  <c r="U866" i="6" s="1"/>
  <c r="T876" i="6"/>
  <c r="U876" i="6" s="1"/>
  <c r="T887" i="6"/>
  <c r="U887" i="6" s="1"/>
  <c r="T898" i="6"/>
  <c r="U898" i="6" s="1"/>
  <c r="T904" i="6"/>
  <c r="U904" i="6" s="1"/>
  <c r="T911" i="6"/>
  <c r="U911" i="6" s="1"/>
  <c r="T919" i="6"/>
  <c r="U919" i="6" s="1"/>
  <c r="T926" i="6"/>
  <c r="U926" i="6" s="1"/>
  <c r="T932" i="6"/>
  <c r="U932" i="6" s="1"/>
  <c r="T940" i="6"/>
  <c r="U940" i="6" s="1"/>
  <c r="T947" i="6"/>
  <c r="U947" i="6" s="1"/>
  <c r="T954" i="6"/>
  <c r="U954" i="6" s="1"/>
  <c r="T962" i="6"/>
  <c r="U962" i="6" s="1"/>
  <c r="T968" i="6"/>
  <c r="U968" i="6" s="1"/>
  <c r="T974" i="6"/>
  <c r="U974" i="6" s="1"/>
  <c r="T980" i="6"/>
  <c r="U980" i="6" s="1"/>
  <c r="T985" i="6"/>
  <c r="U985" i="6" s="1"/>
  <c r="T990" i="6"/>
  <c r="U990" i="6" s="1"/>
  <c r="T996" i="6"/>
  <c r="U996" i="6" s="1"/>
  <c r="T1001" i="6"/>
  <c r="U1001" i="6" s="1"/>
  <c r="T1006" i="6"/>
  <c r="U1006" i="6" s="1"/>
  <c r="T1012" i="6"/>
  <c r="U1012" i="6" s="1"/>
  <c r="T1017" i="6"/>
  <c r="U1017" i="6" s="1"/>
  <c r="T1022" i="6"/>
  <c r="U1022" i="6" s="1"/>
  <c r="T1028" i="6"/>
  <c r="U1028" i="6" s="1"/>
  <c r="T1033" i="6"/>
  <c r="U1033" i="6" s="1"/>
  <c r="T1038" i="6"/>
  <c r="U1038" i="6" s="1"/>
  <c r="T1044" i="6"/>
  <c r="U1044" i="6" s="1"/>
  <c r="T1049" i="6"/>
  <c r="U1049" i="6" s="1"/>
  <c r="T1054" i="6"/>
  <c r="U1054" i="6" s="1"/>
  <c r="T1060" i="6"/>
  <c r="U1060" i="6" s="1"/>
  <c r="T1065" i="6"/>
  <c r="U1065" i="6" s="1"/>
  <c r="T1070" i="6"/>
  <c r="U1070" i="6" s="1"/>
  <c r="T1076" i="6"/>
  <c r="U1076" i="6" s="1"/>
  <c r="T1081" i="6"/>
  <c r="U1081" i="6" s="1"/>
  <c r="T1086" i="6"/>
  <c r="U1086" i="6" s="1"/>
  <c r="T1092" i="6"/>
  <c r="U1092" i="6" s="1"/>
  <c r="T1097" i="6"/>
  <c r="U1097" i="6" s="1"/>
  <c r="T1102" i="6"/>
  <c r="U1102" i="6" s="1"/>
  <c r="T1108" i="6"/>
  <c r="U1108" i="6" s="1"/>
  <c r="T1113" i="6"/>
  <c r="U1113" i="6" s="1"/>
  <c r="T1118" i="6"/>
  <c r="U1118" i="6" s="1"/>
  <c r="T1124" i="6"/>
  <c r="U1124" i="6" s="1"/>
  <c r="T1129" i="6"/>
  <c r="U1129" i="6" s="1"/>
  <c r="T1134" i="6"/>
  <c r="U1134" i="6" s="1"/>
  <c r="T1140" i="6"/>
  <c r="U1140" i="6" s="1"/>
  <c r="T1145" i="6"/>
  <c r="U1145" i="6" s="1"/>
  <c r="T1150" i="6"/>
  <c r="U1150" i="6" s="1"/>
  <c r="T1156" i="6"/>
  <c r="U1156" i="6" s="1"/>
  <c r="T1161" i="6"/>
  <c r="U1161" i="6" s="1"/>
  <c r="T1166" i="6"/>
  <c r="U1166" i="6" s="1"/>
  <c r="T1172" i="6"/>
  <c r="U1172" i="6" s="1"/>
  <c r="T1177" i="6"/>
  <c r="U1177" i="6" s="1"/>
  <c r="T1182" i="6"/>
  <c r="U1182" i="6" s="1"/>
  <c r="T1188" i="6"/>
  <c r="U1188" i="6" s="1"/>
  <c r="T1193" i="6"/>
  <c r="U1193" i="6" s="1"/>
  <c r="T1198" i="6"/>
  <c r="U1198" i="6" s="1"/>
  <c r="T1204" i="6"/>
  <c r="U1204" i="6" s="1"/>
  <c r="T1209" i="6"/>
  <c r="U1209" i="6" s="1"/>
  <c r="T1214" i="6"/>
  <c r="U1214" i="6" s="1"/>
  <c r="T1220" i="6"/>
  <c r="U1220" i="6" s="1"/>
  <c r="T1225" i="6"/>
  <c r="U1225" i="6" s="1"/>
  <c r="T1230" i="6"/>
  <c r="U1230" i="6" s="1"/>
  <c r="T1236" i="6"/>
  <c r="U1236" i="6" s="1"/>
  <c r="T1241" i="6"/>
  <c r="U1241" i="6" s="1"/>
  <c r="T1246" i="6"/>
  <c r="U1246" i="6" s="1"/>
  <c r="T1252" i="6"/>
  <c r="U1252" i="6" s="1"/>
  <c r="T1257" i="6"/>
  <c r="U1257" i="6" s="1"/>
  <c r="T1262" i="6"/>
  <c r="U1262" i="6" s="1"/>
  <c r="T1268" i="6"/>
  <c r="U1268" i="6" s="1"/>
  <c r="T1273" i="6"/>
  <c r="U1273" i="6" s="1"/>
  <c r="T1278" i="6"/>
  <c r="U1278" i="6" s="1"/>
  <c r="T1284" i="6"/>
  <c r="U1284" i="6" s="1"/>
  <c r="T1289" i="6"/>
  <c r="U1289" i="6" s="1"/>
  <c r="T1294" i="6"/>
  <c r="U1294" i="6" s="1"/>
  <c r="T1300" i="6"/>
  <c r="U1300" i="6" s="1"/>
  <c r="T1305" i="6"/>
  <c r="U1305" i="6" s="1"/>
  <c r="T1310" i="6"/>
  <c r="U1310" i="6" s="1"/>
  <c r="T1316" i="6"/>
  <c r="U1316" i="6" s="1"/>
  <c r="T1321" i="6"/>
  <c r="U1321" i="6" s="1"/>
  <c r="T1326" i="6"/>
  <c r="U1326" i="6" s="1"/>
  <c r="T1332" i="6"/>
  <c r="U1332" i="6" s="1"/>
  <c r="T1337" i="6"/>
  <c r="U1337" i="6" s="1"/>
  <c r="T1342" i="6"/>
  <c r="U1342" i="6" s="1"/>
  <c r="T1348" i="6"/>
  <c r="U1348" i="6" s="1"/>
  <c r="T1353" i="6"/>
  <c r="U1353" i="6" s="1"/>
  <c r="T1358" i="6"/>
  <c r="U1358" i="6" s="1"/>
  <c r="T1364" i="6"/>
  <c r="U1364" i="6" s="1"/>
  <c r="T1369" i="6"/>
  <c r="U1369" i="6" s="1"/>
  <c r="T1374" i="6"/>
  <c r="U1374" i="6" s="1"/>
  <c r="T1380" i="6"/>
  <c r="U1380" i="6" s="1"/>
  <c r="T1385" i="6"/>
  <c r="U1385" i="6" s="1"/>
  <c r="T1390" i="6"/>
  <c r="U1390" i="6" s="1"/>
  <c r="T1396" i="6"/>
  <c r="U1396" i="6" s="1"/>
  <c r="T1401" i="6"/>
  <c r="U1401" i="6" s="1"/>
  <c r="T1406" i="6"/>
  <c r="U1406" i="6" s="1"/>
  <c r="T1412" i="6"/>
  <c r="U1412" i="6" s="1"/>
  <c r="T1417" i="6"/>
  <c r="U1417" i="6" s="1"/>
  <c r="T1422" i="6"/>
  <c r="U1422" i="6" s="1"/>
  <c r="T1428" i="6"/>
  <c r="U1428" i="6" s="1"/>
  <c r="T1433" i="6"/>
  <c r="U1433" i="6" s="1"/>
  <c r="T1438" i="6"/>
  <c r="U1438" i="6" s="1"/>
  <c r="T1444" i="6"/>
  <c r="U1444" i="6" s="1"/>
  <c r="T1449" i="6"/>
  <c r="U1449" i="6" s="1"/>
  <c r="T1454" i="6"/>
  <c r="U1454" i="6" s="1"/>
  <c r="T1460" i="6"/>
  <c r="U1460" i="6" s="1"/>
  <c r="T1465" i="6"/>
  <c r="U1465" i="6" s="1"/>
  <c r="T1470" i="6"/>
  <c r="U1470" i="6" s="1"/>
  <c r="T1476" i="6"/>
  <c r="U1476" i="6" s="1"/>
  <c r="T1481" i="6"/>
  <c r="U1481" i="6" s="1"/>
  <c r="T1486" i="6"/>
  <c r="U1486" i="6" s="1"/>
  <c r="T1492" i="6"/>
  <c r="U1492" i="6" s="1"/>
  <c r="T1497" i="6"/>
  <c r="U1497" i="6" s="1"/>
  <c r="T1502" i="6"/>
  <c r="U1502" i="6" s="1"/>
  <c r="T1506" i="6"/>
  <c r="U1506" i="6" s="1"/>
  <c r="T1510" i="6"/>
  <c r="U1510" i="6" s="1"/>
  <c r="T1514" i="6"/>
  <c r="U1514" i="6" s="1"/>
  <c r="T1518" i="6"/>
  <c r="U1518" i="6" s="1"/>
  <c r="T1522" i="6"/>
  <c r="U1522" i="6" s="1"/>
  <c r="T1526" i="6"/>
  <c r="U1526" i="6" s="1"/>
  <c r="T1530" i="6"/>
  <c r="U1530" i="6" s="1"/>
  <c r="T1534" i="6"/>
  <c r="U1534" i="6" s="1"/>
  <c r="T1538" i="6"/>
  <c r="U1538" i="6" s="1"/>
  <c r="T1542" i="6"/>
  <c r="U1542" i="6" s="1"/>
  <c r="T1546" i="6"/>
  <c r="U1546" i="6" s="1"/>
  <c r="T1550" i="6"/>
  <c r="U1550" i="6" s="1"/>
  <c r="T1554" i="6"/>
  <c r="U1554" i="6" s="1"/>
  <c r="T1558" i="6"/>
  <c r="U1558" i="6" s="1"/>
  <c r="T1562" i="6"/>
  <c r="U1562" i="6" s="1"/>
  <c r="T1566" i="6"/>
  <c r="U1566" i="6" s="1"/>
  <c r="T1570" i="6"/>
  <c r="U1570" i="6" s="1"/>
  <c r="T1574" i="6"/>
  <c r="U1574" i="6" s="1"/>
  <c r="T1578" i="6"/>
  <c r="U1578" i="6" s="1"/>
  <c r="T1582" i="6"/>
  <c r="U1582" i="6" s="1"/>
  <c r="T1586" i="6"/>
  <c r="U1586" i="6" s="1"/>
  <c r="T1590" i="6"/>
  <c r="U1590" i="6" s="1"/>
  <c r="T1594" i="6"/>
  <c r="U1594" i="6" s="1"/>
  <c r="T1598" i="6"/>
  <c r="U1598" i="6" s="1"/>
  <c r="T1602" i="6"/>
  <c r="U1602" i="6" s="1"/>
  <c r="T1606" i="6"/>
  <c r="U1606" i="6" s="1"/>
  <c r="T1610" i="6"/>
  <c r="U1610" i="6" s="1"/>
  <c r="T1614" i="6"/>
  <c r="U1614" i="6" s="1"/>
  <c r="T1618" i="6"/>
  <c r="U1618" i="6" s="1"/>
  <c r="T1622" i="6"/>
  <c r="U1622" i="6" s="1"/>
  <c r="T1626" i="6"/>
  <c r="U1626" i="6" s="1"/>
  <c r="T1630" i="6"/>
  <c r="U1630" i="6" s="1"/>
  <c r="T1634" i="6"/>
  <c r="U1634" i="6" s="1"/>
  <c r="T1638" i="6"/>
  <c r="U1638" i="6" s="1"/>
  <c r="T1642" i="6"/>
  <c r="U1642" i="6" s="1"/>
  <c r="T1646" i="6"/>
  <c r="U1646" i="6" s="1"/>
  <c r="T1650" i="6"/>
  <c r="U1650" i="6" s="1"/>
  <c r="T1654" i="6"/>
  <c r="U1654" i="6" s="1"/>
  <c r="T1658" i="6"/>
  <c r="U1658" i="6" s="1"/>
  <c r="T1662" i="6"/>
  <c r="U1662" i="6" s="1"/>
  <c r="T1666" i="6"/>
  <c r="U1666" i="6" s="1"/>
  <c r="T1670" i="6"/>
  <c r="U1670" i="6" s="1"/>
  <c r="T1674" i="6"/>
  <c r="U1674" i="6" s="1"/>
  <c r="T1678" i="6"/>
  <c r="U1678" i="6" s="1"/>
  <c r="T1682" i="6"/>
  <c r="U1682" i="6" s="1"/>
  <c r="T1686" i="6"/>
  <c r="U1686" i="6" s="1"/>
  <c r="T1690" i="6"/>
  <c r="U1690" i="6" s="1"/>
  <c r="T1694" i="6"/>
  <c r="U1694" i="6" s="1"/>
  <c r="T1698" i="6"/>
  <c r="U1698" i="6" s="1"/>
  <c r="T1702" i="6"/>
  <c r="U1702" i="6" s="1"/>
  <c r="T1706" i="6"/>
  <c r="U1706" i="6" s="1"/>
  <c r="T1710" i="6"/>
  <c r="U1710" i="6" s="1"/>
  <c r="T1714" i="6"/>
  <c r="U1714" i="6" s="1"/>
  <c r="T1718" i="6"/>
  <c r="U1718" i="6" s="1"/>
  <c r="T1722" i="6"/>
  <c r="U1722" i="6" s="1"/>
  <c r="T1726" i="6"/>
  <c r="U1726" i="6" s="1"/>
  <c r="T1730" i="6"/>
  <c r="U1730" i="6" s="1"/>
  <c r="T1734" i="6"/>
  <c r="U1734" i="6" s="1"/>
  <c r="T1738" i="6"/>
  <c r="U1738" i="6" s="1"/>
  <c r="T1742" i="6"/>
  <c r="U1742" i="6" s="1"/>
  <c r="T1746" i="6"/>
  <c r="U1746" i="6" s="1"/>
  <c r="T1750" i="6"/>
  <c r="U1750" i="6" s="1"/>
  <c r="T1754" i="6"/>
  <c r="U1754" i="6" s="1"/>
  <c r="T1758" i="6"/>
  <c r="U1758" i="6" s="1"/>
  <c r="T1762" i="6"/>
  <c r="U1762" i="6" s="1"/>
  <c r="T1766" i="6"/>
  <c r="U1766" i="6" s="1"/>
  <c r="T1770" i="6"/>
  <c r="U1770" i="6" s="1"/>
  <c r="T1774" i="6"/>
  <c r="U1774" i="6" s="1"/>
  <c r="T1778" i="6"/>
  <c r="U1778" i="6" s="1"/>
  <c r="T1782" i="6"/>
  <c r="U1782" i="6" s="1"/>
  <c r="T1786" i="6"/>
  <c r="U1786" i="6" s="1"/>
  <c r="T1790" i="6"/>
  <c r="U1790" i="6" s="1"/>
  <c r="T1794" i="6"/>
  <c r="U1794" i="6" s="1"/>
  <c r="T1798" i="6"/>
  <c r="U1798" i="6" s="1"/>
  <c r="T1802" i="6"/>
  <c r="U1802" i="6" s="1"/>
  <c r="T1806" i="6"/>
  <c r="U1806" i="6" s="1"/>
  <c r="T1810" i="6"/>
  <c r="U1810" i="6" s="1"/>
  <c r="T1814" i="6"/>
  <c r="U1814" i="6" s="1"/>
  <c r="T1818" i="6"/>
  <c r="U1818" i="6" s="1"/>
  <c r="T1822" i="6"/>
  <c r="U1822" i="6" s="1"/>
  <c r="T1826" i="6"/>
  <c r="U1826" i="6" s="1"/>
  <c r="T375" i="6"/>
  <c r="U375" i="6" s="1"/>
  <c r="T399" i="6"/>
  <c r="U399" i="6" s="1"/>
  <c r="T420" i="6"/>
  <c r="U420" i="6" s="1"/>
  <c r="T442" i="6"/>
  <c r="U442" i="6" s="1"/>
  <c r="T463" i="6"/>
  <c r="U463" i="6" s="1"/>
  <c r="T484" i="6"/>
  <c r="U484" i="6" s="1"/>
  <c r="T506" i="6"/>
  <c r="U506" i="6" s="1"/>
  <c r="T527" i="6"/>
  <c r="U527" i="6" s="1"/>
  <c r="T548" i="6"/>
  <c r="U548" i="6" s="1"/>
  <c r="T570" i="6"/>
  <c r="U570" i="6" s="1"/>
  <c r="T591" i="6"/>
  <c r="U591" i="6" s="1"/>
  <c r="T612" i="6"/>
  <c r="U612" i="6" s="1"/>
  <c r="T634" i="6"/>
  <c r="U634" i="6" s="1"/>
  <c r="T655" i="6"/>
  <c r="U655" i="6" s="1"/>
  <c r="T676" i="6"/>
  <c r="U676" i="6" s="1"/>
  <c r="T698" i="6"/>
  <c r="U698" i="6" s="1"/>
  <c r="T719" i="6"/>
  <c r="U719" i="6" s="1"/>
  <c r="T740" i="6"/>
  <c r="U740" i="6" s="1"/>
  <c r="T762" i="6"/>
  <c r="U762" i="6" s="1"/>
  <c r="T783" i="6"/>
  <c r="U783" i="6" s="1"/>
  <c r="T804" i="6"/>
  <c r="U804" i="6" s="1"/>
  <c r="T826" i="6"/>
  <c r="U826" i="6" s="1"/>
  <c r="T836" i="6"/>
  <c r="U836" i="6" s="1"/>
  <c r="T847" i="6"/>
  <c r="U847" i="6" s="1"/>
  <c r="T858" i="6"/>
  <c r="U858" i="6" s="1"/>
  <c r="T868" i="6"/>
  <c r="U868" i="6" s="1"/>
  <c r="T879" i="6"/>
  <c r="U879" i="6" s="1"/>
  <c r="T890" i="6"/>
  <c r="U890" i="6" s="1"/>
  <c r="T899" i="6"/>
  <c r="U899" i="6" s="1"/>
  <c r="T906" i="6"/>
  <c r="U906" i="6" s="1"/>
  <c r="T914" i="6"/>
  <c r="U914" i="6" s="1"/>
  <c r="T920" i="6"/>
  <c r="U920" i="6" s="1"/>
  <c r="T927" i="6"/>
  <c r="U927" i="6" s="1"/>
  <c r="T935" i="6"/>
  <c r="U935" i="6" s="1"/>
  <c r="T942" i="6"/>
  <c r="U942" i="6" s="1"/>
  <c r="T948" i="6"/>
  <c r="U948" i="6" s="1"/>
  <c r="T956" i="6"/>
  <c r="U956" i="6" s="1"/>
  <c r="T963" i="6"/>
  <c r="U963" i="6" s="1"/>
  <c r="T970" i="6"/>
  <c r="U970" i="6" s="1"/>
  <c r="T976" i="6"/>
  <c r="U976" i="6" s="1"/>
  <c r="T981" i="6"/>
  <c r="U981" i="6" s="1"/>
  <c r="T986" i="6"/>
  <c r="U986" i="6" s="1"/>
  <c r="T992" i="6"/>
  <c r="U992" i="6" s="1"/>
  <c r="T997" i="6"/>
  <c r="U997" i="6" s="1"/>
  <c r="T1002" i="6"/>
  <c r="U1002" i="6" s="1"/>
  <c r="T1008" i="6"/>
  <c r="U1008" i="6" s="1"/>
  <c r="T1013" i="6"/>
  <c r="U1013" i="6" s="1"/>
  <c r="T1018" i="6"/>
  <c r="U1018" i="6" s="1"/>
  <c r="T1024" i="6"/>
  <c r="U1024" i="6" s="1"/>
  <c r="T1029" i="6"/>
  <c r="U1029" i="6" s="1"/>
  <c r="T1034" i="6"/>
  <c r="U1034" i="6" s="1"/>
  <c r="T1040" i="6"/>
  <c r="U1040" i="6" s="1"/>
  <c r="T1045" i="6"/>
  <c r="U1045" i="6" s="1"/>
  <c r="T1050" i="6"/>
  <c r="U1050" i="6" s="1"/>
  <c r="T1056" i="6"/>
  <c r="U1056" i="6" s="1"/>
  <c r="T1061" i="6"/>
  <c r="U1061" i="6" s="1"/>
  <c r="T1066" i="6"/>
  <c r="U1066" i="6" s="1"/>
  <c r="T1072" i="6"/>
  <c r="U1072" i="6" s="1"/>
  <c r="T1077" i="6"/>
  <c r="U1077" i="6" s="1"/>
  <c r="T1082" i="6"/>
  <c r="U1082" i="6" s="1"/>
  <c r="T1088" i="6"/>
  <c r="U1088" i="6" s="1"/>
  <c r="T1093" i="6"/>
  <c r="U1093" i="6" s="1"/>
  <c r="T1098" i="6"/>
  <c r="U1098" i="6" s="1"/>
  <c r="T1104" i="6"/>
  <c r="U1104" i="6" s="1"/>
  <c r="T1109" i="6"/>
  <c r="U1109" i="6" s="1"/>
  <c r="T1114" i="6"/>
  <c r="U1114" i="6" s="1"/>
  <c r="T1120" i="6"/>
  <c r="U1120" i="6" s="1"/>
  <c r="T1125" i="6"/>
  <c r="U1125" i="6" s="1"/>
  <c r="T1130" i="6"/>
  <c r="U1130" i="6" s="1"/>
  <c r="T1136" i="6"/>
  <c r="U1136" i="6" s="1"/>
  <c r="T1141" i="6"/>
  <c r="U1141" i="6" s="1"/>
  <c r="T1146" i="6"/>
  <c r="U1146" i="6" s="1"/>
  <c r="T1152" i="6"/>
  <c r="U1152" i="6" s="1"/>
  <c r="T1157" i="6"/>
  <c r="U1157" i="6" s="1"/>
  <c r="T1162" i="6"/>
  <c r="U1162" i="6" s="1"/>
  <c r="T1168" i="6"/>
  <c r="U1168" i="6" s="1"/>
  <c r="T1173" i="6"/>
  <c r="U1173" i="6" s="1"/>
  <c r="T1178" i="6"/>
  <c r="U1178" i="6" s="1"/>
  <c r="T1184" i="6"/>
  <c r="U1184" i="6" s="1"/>
  <c r="T1189" i="6"/>
  <c r="U1189" i="6" s="1"/>
  <c r="T1194" i="6"/>
  <c r="U1194" i="6" s="1"/>
  <c r="T1200" i="6"/>
  <c r="U1200" i="6" s="1"/>
  <c r="T1205" i="6"/>
  <c r="U1205" i="6" s="1"/>
  <c r="T1210" i="6"/>
  <c r="U1210" i="6" s="1"/>
  <c r="T1216" i="6"/>
  <c r="U1216" i="6" s="1"/>
  <c r="T1221" i="6"/>
  <c r="U1221" i="6" s="1"/>
  <c r="T1226" i="6"/>
  <c r="U1226" i="6" s="1"/>
  <c r="T1232" i="6"/>
  <c r="U1232" i="6" s="1"/>
  <c r="T1237" i="6"/>
  <c r="U1237" i="6" s="1"/>
  <c r="T1242" i="6"/>
  <c r="U1242" i="6" s="1"/>
  <c r="T1248" i="6"/>
  <c r="U1248" i="6" s="1"/>
  <c r="T1253" i="6"/>
  <c r="U1253" i="6" s="1"/>
  <c r="T1258" i="6"/>
  <c r="U1258" i="6" s="1"/>
  <c r="T1264" i="6"/>
  <c r="U1264" i="6" s="1"/>
  <c r="T1269" i="6"/>
  <c r="U1269" i="6" s="1"/>
  <c r="T1274" i="6"/>
  <c r="U1274" i="6" s="1"/>
  <c r="T1280" i="6"/>
  <c r="U1280" i="6" s="1"/>
  <c r="T1285" i="6"/>
  <c r="U1285" i="6" s="1"/>
  <c r="T1290" i="6"/>
  <c r="U1290" i="6" s="1"/>
  <c r="T1296" i="6"/>
  <c r="U1296" i="6" s="1"/>
  <c r="T1301" i="6"/>
  <c r="U1301" i="6" s="1"/>
  <c r="T1306" i="6"/>
  <c r="U1306" i="6" s="1"/>
  <c r="T1312" i="6"/>
  <c r="U1312" i="6" s="1"/>
  <c r="T1317" i="6"/>
  <c r="U1317" i="6" s="1"/>
  <c r="T1322" i="6"/>
  <c r="U1322" i="6" s="1"/>
  <c r="T1328" i="6"/>
  <c r="U1328" i="6" s="1"/>
  <c r="T1333" i="6"/>
  <c r="U1333" i="6" s="1"/>
  <c r="T1338" i="6"/>
  <c r="U1338" i="6" s="1"/>
  <c r="T1344" i="6"/>
  <c r="U1344" i="6" s="1"/>
  <c r="T1349" i="6"/>
  <c r="U1349" i="6" s="1"/>
  <c r="T1354" i="6"/>
  <c r="U1354" i="6" s="1"/>
  <c r="T1360" i="6"/>
  <c r="U1360" i="6" s="1"/>
  <c r="T1365" i="6"/>
  <c r="U1365" i="6" s="1"/>
  <c r="T1370" i="6"/>
  <c r="U1370" i="6" s="1"/>
  <c r="T1376" i="6"/>
  <c r="U1376" i="6" s="1"/>
  <c r="T1381" i="6"/>
  <c r="U1381" i="6" s="1"/>
  <c r="T1386" i="6"/>
  <c r="U1386" i="6" s="1"/>
  <c r="T1392" i="6"/>
  <c r="U1392" i="6" s="1"/>
  <c r="T1397" i="6"/>
  <c r="U1397" i="6" s="1"/>
  <c r="T1402" i="6"/>
  <c r="U1402" i="6" s="1"/>
  <c r="T1408" i="6"/>
  <c r="U1408" i="6" s="1"/>
  <c r="T1413" i="6"/>
  <c r="U1413" i="6" s="1"/>
  <c r="T1418" i="6"/>
  <c r="U1418" i="6" s="1"/>
  <c r="T1424" i="6"/>
  <c r="U1424" i="6" s="1"/>
  <c r="T1429" i="6"/>
  <c r="U1429" i="6" s="1"/>
  <c r="T1434" i="6"/>
  <c r="U1434" i="6" s="1"/>
  <c r="T1440" i="6"/>
  <c r="U1440" i="6" s="1"/>
  <c r="T1445" i="6"/>
  <c r="U1445" i="6" s="1"/>
  <c r="T1450" i="6"/>
  <c r="U1450" i="6" s="1"/>
  <c r="T382" i="6"/>
  <c r="U382" i="6" s="1"/>
  <c r="T404" i="6"/>
  <c r="U404" i="6" s="1"/>
  <c r="T426" i="6"/>
  <c r="U426" i="6" s="1"/>
  <c r="T447" i="6"/>
  <c r="U447" i="6" s="1"/>
  <c r="T468" i="6"/>
  <c r="U468" i="6" s="1"/>
  <c r="T490" i="6"/>
  <c r="U490" i="6" s="1"/>
  <c r="T511" i="6"/>
  <c r="U511" i="6" s="1"/>
  <c r="T532" i="6"/>
  <c r="U532" i="6" s="1"/>
  <c r="T554" i="6"/>
  <c r="U554" i="6" s="1"/>
  <c r="T575" i="6"/>
  <c r="U575" i="6" s="1"/>
  <c r="T596" i="6"/>
  <c r="U596" i="6" s="1"/>
  <c r="T618" i="6"/>
  <c r="U618" i="6" s="1"/>
  <c r="T639" i="6"/>
  <c r="U639" i="6" s="1"/>
  <c r="T660" i="6"/>
  <c r="U660" i="6" s="1"/>
  <c r="T682" i="6"/>
  <c r="U682" i="6" s="1"/>
  <c r="T703" i="6"/>
  <c r="U703" i="6" s="1"/>
  <c r="T724" i="6"/>
  <c r="U724" i="6" s="1"/>
  <c r="T746" i="6"/>
  <c r="U746" i="6" s="1"/>
  <c r="T767" i="6"/>
  <c r="U767" i="6" s="1"/>
  <c r="T788" i="6"/>
  <c r="U788" i="6" s="1"/>
  <c r="T810" i="6"/>
  <c r="U810" i="6" s="1"/>
  <c r="T828" i="6"/>
  <c r="U828" i="6" s="1"/>
  <c r="T839" i="6"/>
  <c r="U839" i="6" s="1"/>
  <c r="T850" i="6"/>
  <c r="U850" i="6" s="1"/>
  <c r="T860" i="6"/>
  <c r="U860" i="6" s="1"/>
  <c r="T871" i="6"/>
  <c r="U871" i="6" s="1"/>
  <c r="T882" i="6"/>
  <c r="U882" i="6" s="1"/>
  <c r="T892" i="6"/>
  <c r="U892" i="6" s="1"/>
  <c r="T900" i="6"/>
  <c r="U900" i="6" s="1"/>
  <c r="T908" i="6"/>
  <c r="U908" i="6" s="1"/>
  <c r="T915" i="6"/>
  <c r="U915" i="6" s="1"/>
  <c r="T922" i="6"/>
  <c r="U922" i="6" s="1"/>
  <c r="T930" i="6"/>
  <c r="U930" i="6" s="1"/>
  <c r="T936" i="6"/>
  <c r="U936" i="6" s="1"/>
  <c r="T943" i="6"/>
  <c r="U943" i="6" s="1"/>
  <c r="T951" i="6"/>
  <c r="U951" i="6" s="1"/>
  <c r="T958" i="6"/>
  <c r="U958" i="6" s="1"/>
  <c r="T964" i="6"/>
  <c r="U964" i="6" s="1"/>
  <c r="T972" i="6"/>
  <c r="U972" i="6" s="1"/>
  <c r="T977" i="6"/>
  <c r="U977" i="6" s="1"/>
  <c r="T982" i="6"/>
  <c r="U982" i="6" s="1"/>
  <c r="T988" i="6"/>
  <c r="U988" i="6" s="1"/>
  <c r="T993" i="6"/>
  <c r="U993" i="6" s="1"/>
  <c r="T998" i="6"/>
  <c r="U998" i="6" s="1"/>
  <c r="T1004" i="6"/>
  <c r="U1004" i="6" s="1"/>
  <c r="T1009" i="6"/>
  <c r="U1009" i="6" s="1"/>
  <c r="T1014" i="6"/>
  <c r="U1014" i="6" s="1"/>
  <c r="T1020" i="6"/>
  <c r="U1020" i="6" s="1"/>
  <c r="T1025" i="6"/>
  <c r="U1025" i="6" s="1"/>
  <c r="T1030" i="6"/>
  <c r="U1030" i="6" s="1"/>
  <c r="T1036" i="6"/>
  <c r="U1036" i="6" s="1"/>
  <c r="T1041" i="6"/>
  <c r="U1041" i="6" s="1"/>
  <c r="T1046" i="6"/>
  <c r="U1046" i="6" s="1"/>
  <c r="T1052" i="6"/>
  <c r="U1052" i="6" s="1"/>
  <c r="T1057" i="6"/>
  <c r="U1057" i="6" s="1"/>
  <c r="T1062" i="6"/>
  <c r="U1062" i="6" s="1"/>
  <c r="T1068" i="6"/>
  <c r="U1068" i="6" s="1"/>
  <c r="T1073" i="6"/>
  <c r="U1073" i="6" s="1"/>
  <c r="T1078" i="6"/>
  <c r="U1078" i="6" s="1"/>
  <c r="T1084" i="6"/>
  <c r="U1084" i="6" s="1"/>
  <c r="T1089" i="6"/>
  <c r="U1089" i="6" s="1"/>
  <c r="T1094" i="6"/>
  <c r="U1094" i="6" s="1"/>
  <c r="T1100" i="6"/>
  <c r="U1100" i="6" s="1"/>
  <c r="T1105" i="6"/>
  <c r="U1105" i="6" s="1"/>
  <c r="T1110" i="6"/>
  <c r="U1110" i="6" s="1"/>
  <c r="T1116" i="6"/>
  <c r="U1116" i="6" s="1"/>
  <c r="T1121" i="6"/>
  <c r="U1121" i="6" s="1"/>
  <c r="T1126" i="6"/>
  <c r="U1126" i="6" s="1"/>
  <c r="T1132" i="6"/>
  <c r="U1132" i="6" s="1"/>
  <c r="T1137" i="6"/>
  <c r="U1137" i="6" s="1"/>
  <c r="T1142" i="6"/>
  <c r="U1142" i="6" s="1"/>
  <c r="T1148" i="6"/>
  <c r="U1148" i="6" s="1"/>
  <c r="T1153" i="6"/>
  <c r="U1153" i="6" s="1"/>
  <c r="T1158" i="6"/>
  <c r="U1158" i="6" s="1"/>
  <c r="T1164" i="6"/>
  <c r="U1164" i="6" s="1"/>
  <c r="T1169" i="6"/>
  <c r="U1169" i="6" s="1"/>
  <c r="T1174" i="6"/>
  <c r="U1174" i="6" s="1"/>
  <c r="T1180" i="6"/>
  <c r="U1180" i="6" s="1"/>
  <c r="T1185" i="6"/>
  <c r="U1185" i="6" s="1"/>
  <c r="T1190" i="6"/>
  <c r="U1190" i="6" s="1"/>
  <c r="T1196" i="6"/>
  <c r="U1196" i="6" s="1"/>
  <c r="T1201" i="6"/>
  <c r="U1201" i="6" s="1"/>
  <c r="T1206" i="6"/>
  <c r="U1206" i="6" s="1"/>
  <c r="T1212" i="6"/>
  <c r="U1212" i="6" s="1"/>
  <c r="T1217" i="6"/>
  <c r="U1217" i="6" s="1"/>
  <c r="T388" i="6"/>
  <c r="U388" i="6" s="1"/>
  <c r="T410" i="6"/>
  <c r="U410" i="6" s="1"/>
  <c r="T431" i="6"/>
  <c r="U431" i="6" s="1"/>
  <c r="T452" i="6"/>
  <c r="U452" i="6" s="1"/>
  <c r="T474" i="6"/>
  <c r="U474" i="6" s="1"/>
  <c r="T495" i="6"/>
  <c r="U495" i="6" s="1"/>
  <c r="T516" i="6"/>
  <c r="U516" i="6" s="1"/>
  <c r="T538" i="6"/>
  <c r="U538" i="6" s="1"/>
  <c r="T559" i="6"/>
  <c r="U559" i="6" s="1"/>
  <c r="T580" i="6"/>
  <c r="U580" i="6" s="1"/>
  <c r="T602" i="6"/>
  <c r="U602" i="6" s="1"/>
  <c r="T623" i="6"/>
  <c r="U623" i="6" s="1"/>
  <c r="T644" i="6"/>
  <c r="U644" i="6" s="1"/>
  <c r="T666" i="6"/>
  <c r="U666" i="6" s="1"/>
  <c r="T687" i="6"/>
  <c r="U687" i="6" s="1"/>
  <c r="T708" i="6"/>
  <c r="U708" i="6" s="1"/>
  <c r="T730" i="6"/>
  <c r="U730" i="6" s="1"/>
  <c r="T751" i="6"/>
  <c r="U751" i="6" s="1"/>
  <c r="T772" i="6"/>
  <c r="U772" i="6" s="1"/>
  <c r="T794" i="6"/>
  <c r="U794" i="6" s="1"/>
  <c r="T815" i="6"/>
  <c r="U815" i="6" s="1"/>
  <c r="T831" i="6"/>
  <c r="U831" i="6" s="1"/>
  <c r="T842" i="6"/>
  <c r="U842" i="6" s="1"/>
  <c r="T852" i="6"/>
  <c r="U852" i="6" s="1"/>
  <c r="T863" i="6"/>
  <c r="U863" i="6" s="1"/>
  <c r="T874" i="6"/>
  <c r="U874" i="6" s="1"/>
  <c r="T884" i="6"/>
  <c r="U884" i="6" s="1"/>
  <c r="T895" i="6"/>
  <c r="U895" i="6" s="1"/>
  <c r="T903" i="6"/>
  <c r="U903" i="6" s="1"/>
  <c r="T910" i="6"/>
  <c r="U910" i="6" s="1"/>
  <c r="T916" i="6"/>
  <c r="U916" i="6" s="1"/>
  <c r="T924" i="6"/>
  <c r="U924" i="6" s="1"/>
  <c r="T931" i="6"/>
  <c r="U931" i="6" s="1"/>
  <c r="T938" i="6"/>
  <c r="U938" i="6" s="1"/>
  <c r="T946" i="6"/>
  <c r="U946" i="6" s="1"/>
  <c r="T952" i="6"/>
  <c r="U952" i="6" s="1"/>
  <c r="T959" i="6"/>
  <c r="U959" i="6" s="1"/>
  <c r="T967" i="6"/>
  <c r="U967" i="6" s="1"/>
  <c r="T973" i="6"/>
  <c r="U973" i="6" s="1"/>
  <c r="T978" i="6"/>
  <c r="U978" i="6" s="1"/>
  <c r="T984" i="6"/>
  <c r="U984" i="6" s="1"/>
  <c r="T989" i="6"/>
  <c r="U989" i="6" s="1"/>
  <c r="T994" i="6"/>
  <c r="U994" i="6" s="1"/>
  <c r="T1000" i="6"/>
  <c r="U1000" i="6" s="1"/>
  <c r="T1005" i="6"/>
  <c r="U1005" i="6" s="1"/>
  <c r="T1010" i="6"/>
  <c r="U1010" i="6" s="1"/>
  <c r="T1016" i="6"/>
  <c r="U1016" i="6" s="1"/>
  <c r="T1021" i="6"/>
  <c r="U1021" i="6" s="1"/>
  <c r="T1026" i="6"/>
  <c r="U1026" i="6" s="1"/>
  <c r="T1032" i="6"/>
  <c r="U1032" i="6" s="1"/>
  <c r="T1037" i="6"/>
  <c r="U1037" i="6" s="1"/>
  <c r="T1042" i="6"/>
  <c r="U1042" i="6" s="1"/>
  <c r="T1048" i="6"/>
  <c r="U1048" i="6" s="1"/>
  <c r="T1053" i="6"/>
  <c r="U1053" i="6" s="1"/>
  <c r="T1058" i="6"/>
  <c r="U1058" i="6" s="1"/>
  <c r="T1064" i="6"/>
  <c r="U1064" i="6" s="1"/>
  <c r="T1069" i="6"/>
  <c r="U1069" i="6" s="1"/>
  <c r="T1074" i="6"/>
  <c r="U1074" i="6" s="1"/>
  <c r="T1080" i="6"/>
  <c r="U1080" i="6" s="1"/>
  <c r="T1085" i="6"/>
  <c r="U1085" i="6" s="1"/>
  <c r="T1090" i="6"/>
  <c r="U1090" i="6" s="1"/>
  <c r="T1096" i="6"/>
  <c r="U1096" i="6" s="1"/>
  <c r="T1101" i="6"/>
  <c r="U1101" i="6" s="1"/>
  <c r="T1106" i="6"/>
  <c r="U1106" i="6" s="1"/>
  <c r="T1112" i="6"/>
  <c r="U1112" i="6" s="1"/>
  <c r="T1117" i="6"/>
  <c r="U1117" i="6" s="1"/>
  <c r="T1122" i="6"/>
  <c r="U1122" i="6" s="1"/>
  <c r="T1128" i="6"/>
  <c r="U1128" i="6" s="1"/>
  <c r="T1133" i="6"/>
  <c r="U1133" i="6" s="1"/>
  <c r="T1138" i="6"/>
  <c r="U1138" i="6" s="1"/>
  <c r="T1144" i="6"/>
  <c r="U1144" i="6" s="1"/>
  <c r="T1149" i="6"/>
  <c r="U1149" i="6" s="1"/>
  <c r="T1154" i="6"/>
  <c r="U1154" i="6" s="1"/>
  <c r="T1160" i="6"/>
  <c r="U1160" i="6" s="1"/>
  <c r="T1165" i="6"/>
  <c r="U1165" i="6" s="1"/>
  <c r="T1170" i="6"/>
  <c r="U1170" i="6" s="1"/>
  <c r="T1176" i="6"/>
  <c r="U1176" i="6" s="1"/>
  <c r="T1181" i="6"/>
  <c r="U1181" i="6" s="1"/>
  <c r="T1186" i="6"/>
  <c r="U1186" i="6" s="1"/>
  <c r="T1192" i="6"/>
  <c r="U1192" i="6" s="1"/>
  <c r="T1197" i="6"/>
  <c r="U1197" i="6" s="1"/>
  <c r="T1202" i="6"/>
  <c r="U1202" i="6" s="1"/>
  <c r="T1208" i="6"/>
  <c r="U1208" i="6" s="1"/>
  <c r="T1213" i="6"/>
  <c r="U1213" i="6" s="1"/>
  <c r="T1218" i="6"/>
  <c r="U1218" i="6" s="1"/>
  <c r="T1224" i="6"/>
  <c r="U1224" i="6" s="1"/>
  <c r="T1229" i="6"/>
  <c r="U1229" i="6" s="1"/>
  <c r="T1234" i="6"/>
  <c r="U1234" i="6" s="1"/>
  <c r="T1240" i="6"/>
  <c r="U1240" i="6" s="1"/>
  <c r="T1245" i="6"/>
  <c r="U1245" i="6" s="1"/>
  <c r="T1250" i="6"/>
  <c r="U1250" i="6" s="1"/>
  <c r="T1256" i="6"/>
  <c r="U1256" i="6" s="1"/>
  <c r="T1261" i="6"/>
  <c r="U1261" i="6" s="1"/>
  <c r="T1266" i="6"/>
  <c r="U1266" i="6" s="1"/>
  <c r="T1272" i="6"/>
  <c r="U1272" i="6" s="1"/>
  <c r="T1277" i="6"/>
  <c r="U1277" i="6" s="1"/>
  <c r="T1282" i="6"/>
  <c r="U1282" i="6" s="1"/>
  <c r="T1288" i="6"/>
  <c r="U1288" i="6" s="1"/>
  <c r="T1293" i="6"/>
  <c r="U1293" i="6" s="1"/>
  <c r="T1298" i="6"/>
  <c r="U1298" i="6" s="1"/>
  <c r="T1304" i="6"/>
  <c r="U1304" i="6" s="1"/>
  <c r="T1309" i="6"/>
  <c r="U1309" i="6" s="1"/>
  <c r="T1314" i="6"/>
  <c r="U1314" i="6" s="1"/>
  <c r="T1320" i="6"/>
  <c r="U1320" i="6" s="1"/>
  <c r="T1325" i="6"/>
  <c r="U1325" i="6" s="1"/>
  <c r="T1330" i="6"/>
  <c r="U1330" i="6" s="1"/>
  <c r="T1336" i="6"/>
  <c r="U1336" i="6" s="1"/>
  <c r="T1341" i="6"/>
  <c r="U1341" i="6" s="1"/>
  <c r="T1346" i="6"/>
  <c r="U1346" i="6" s="1"/>
  <c r="T1352" i="6"/>
  <c r="U1352" i="6" s="1"/>
  <c r="T1357" i="6"/>
  <c r="U1357" i="6" s="1"/>
  <c r="T1362" i="6"/>
  <c r="U1362" i="6" s="1"/>
  <c r="T1368" i="6"/>
  <c r="U1368" i="6" s="1"/>
  <c r="T1373" i="6"/>
  <c r="U1373" i="6" s="1"/>
  <c r="T1378" i="6"/>
  <c r="U1378" i="6" s="1"/>
  <c r="T1384" i="6"/>
  <c r="U1384" i="6" s="1"/>
  <c r="T1389" i="6"/>
  <c r="U1389" i="6" s="1"/>
  <c r="T1394" i="6"/>
  <c r="U1394" i="6" s="1"/>
  <c r="T1400" i="6"/>
  <c r="U1400" i="6" s="1"/>
  <c r="T1405" i="6"/>
  <c r="U1405" i="6" s="1"/>
  <c r="T1410" i="6"/>
  <c r="U1410" i="6" s="1"/>
  <c r="T1416" i="6"/>
  <c r="U1416" i="6" s="1"/>
  <c r="T1421" i="6"/>
  <c r="U1421" i="6" s="1"/>
  <c r="T1426" i="6"/>
  <c r="U1426" i="6" s="1"/>
  <c r="T1432" i="6"/>
  <c r="U1432" i="6" s="1"/>
  <c r="T1437" i="6"/>
  <c r="U1437" i="6" s="1"/>
  <c r="T1442" i="6"/>
  <c r="U1442" i="6" s="1"/>
  <c r="T1448" i="6"/>
  <c r="U1448" i="6" s="1"/>
  <c r="T1453" i="6"/>
  <c r="U1453" i="6" s="1"/>
  <c r="T1458" i="6"/>
  <c r="U1458" i="6" s="1"/>
  <c r="T1464" i="6"/>
  <c r="U1464" i="6" s="1"/>
  <c r="T1469" i="6"/>
  <c r="U1469" i="6" s="1"/>
  <c r="T1474" i="6"/>
  <c r="U1474" i="6" s="1"/>
  <c r="T1480" i="6"/>
  <c r="U1480" i="6" s="1"/>
  <c r="T1485" i="6"/>
  <c r="U1485" i="6" s="1"/>
  <c r="T1490" i="6"/>
  <c r="U1490" i="6" s="1"/>
  <c r="T1496" i="6"/>
  <c r="U1496" i="6" s="1"/>
  <c r="T1501" i="6"/>
  <c r="U1501" i="6" s="1"/>
  <c r="T1505" i="6"/>
  <c r="U1505" i="6" s="1"/>
  <c r="T1509" i="6"/>
  <c r="U1509" i="6" s="1"/>
  <c r="T1513" i="6"/>
  <c r="U1513" i="6" s="1"/>
  <c r="T1517" i="6"/>
  <c r="U1517" i="6" s="1"/>
  <c r="T1521" i="6"/>
  <c r="U1521" i="6" s="1"/>
  <c r="T1525" i="6"/>
  <c r="U1525" i="6" s="1"/>
  <c r="T1529" i="6"/>
  <c r="U1529" i="6" s="1"/>
  <c r="T1533" i="6"/>
  <c r="U1533" i="6" s="1"/>
  <c r="T1537" i="6"/>
  <c r="U1537" i="6" s="1"/>
  <c r="T1541" i="6"/>
  <c r="U1541" i="6" s="1"/>
  <c r="T1545" i="6"/>
  <c r="U1545" i="6" s="1"/>
  <c r="T1549" i="6"/>
  <c r="U1549" i="6" s="1"/>
  <c r="T1553" i="6"/>
  <c r="U1553" i="6" s="1"/>
  <c r="T1557" i="6"/>
  <c r="U1557" i="6" s="1"/>
  <c r="T1561" i="6"/>
  <c r="U1561" i="6" s="1"/>
  <c r="T1565" i="6"/>
  <c r="U1565" i="6" s="1"/>
  <c r="T1569" i="6"/>
  <c r="U1569" i="6" s="1"/>
  <c r="T1573" i="6"/>
  <c r="U1573" i="6" s="1"/>
  <c r="T1577" i="6"/>
  <c r="U1577" i="6" s="1"/>
  <c r="T1581" i="6"/>
  <c r="U1581" i="6" s="1"/>
  <c r="T1585" i="6"/>
  <c r="U1585" i="6" s="1"/>
  <c r="T1589" i="6"/>
  <c r="U1589" i="6" s="1"/>
  <c r="T1593" i="6"/>
  <c r="U1593" i="6" s="1"/>
  <c r="T1597" i="6"/>
  <c r="U1597" i="6" s="1"/>
  <c r="T1601" i="6"/>
  <c r="U1601" i="6" s="1"/>
  <c r="T1605" i="6"/>
  <c r="U1605" i="6" s="1"/>
  <c r="T1609" i="6"/>
  <c r="U1609" i="6" s="1"/>
  <c r="T1613" i="6"/>
  <c r="U1613" i="6" s="1"/>
  <c r="T1617" i="6"/>
  <c r="U1617" i="6" s="1"/>
  <c r="T1621" i="6"/>
  <c r="U1621" i="6" s="1"/>
  <c r="T1625" i="6"/>
  <c r="U1625" i="6" s="1"/>
  <c r="T1629" i="6"/>
  <c r="U1629" i="6" s="1"/>
  <c r="T1633" i="6"/>
  <c r="U1633" i="6" s="1"/>
  <c r="T1637" i="6"/>
  <c r="U1637" i="6" s="1"/>
  <c r="T1641" i="6"/>
  <c r="U1641" i="6" s="1"/>
  <c r="T1645" i="6"/>
  <c r="U1645" i="6" s="1"/>
  <c r="T1649" i="6"/>
  <c r="U1649" i="6" s="1"/>
  <c r="T1653" i="6"/>
  <c r="U1653" i="6" s="1"/>
  <c r="T1657" i="6"/>
  <c r="U1657" i="6" s="1"/>
  <c r="T1661" i="6"/>
  <c r="U1661" i="6" s="1"/>
  <c r="T1665" i="6"/>
  <c r="U1665" i="6" s="1"/>
  <c r="T1669" i="6"/>
  <c r="U1669" i="6" s="1"/>
  <c r="T1673" i="6"/>
  <c r="U1673" i="6" s="1"/>
  <c r="T1677" i="6"/>
  <c r="U1677" i="6" s="1"/>
  <c r="T1681" i="6"/>
  <c r="U1681" i="6" s="1"/>
  <c r="T1685" i="6"/>
  <c r="U1685" i="6" s="1"/>
  <c r="T1689" i="6"/>
  <c r="U1689" i="6" s="1"/>
  <c r="T1693" i="6"/>
  <c r="U1693" i="6" s="1"/>
  <c r="T1697" i="6"/>
  <c r="U1697" i="6" s="1"/>
  <c r="T1701" i="6"/>
  <c r="U1701" i="6" s="1"/>
  <c r="T1705" i="6"/>
  <c r="U1705" i="6" s="1"/>
  <c r="T1709" i="6"/>
  <c r="U1709" i="6" s="1"/>
  <c r="T1713" i="6"/>
  <c r="U1713" i="6" s="1"/>
  <c r="T1717" i="6"/>
  <c r="U1717" i="6" s="1"/>
  <c r="T1721" i="6"/>
  <c r="U1721" i="6" s="1"/>
  <c r="T1725" i="6"/>
  <c r="U1725" i="6" s="1"/>
  <c r="T1729" i="6"/>
  <c r="U1729" i="6" s="1"/>
  <c r="T1733" i="6"/>
  <c r="U1733" i="6" s="1"/>
  <c r="T1737" i="6"/>
  <c r="U1737" i="6" s="1"/>
  <c r="T1741" i="6"/>
  <c r="U1741" i="6" s="1"/>
  <c r="T1745" i="6"/>
  <c r="U1745" i="6" s="1"/>
  <c r="T1749" i="6"/>
  <c r="U1749" i="6" s="1"/>
  <c r="T1753" i="6"/>
  <c r="U1753" i="6" s="1"/>
  <c r="T1757" i="6"/>
  <c r="U1757" i="6" s="1"/>
  <c r="T1761" i="6"/>
  <c r="U1761" i="6" s="1"/>
  <c r="T1765" i="6"/>
  <c r="U1765" i="6" s="1"/>
  <c r="T1769" i="6"/>
  <c r="U1769" i="6" s="1"/>
  <c r="T1773" i="6"/>
  <c r="U1773" i="6" s="1"/>
  <c r="T1777" i="6"/>
  <c r="U1777" i="6" s="1"/>
  <c r="T1781" i="6"/>
  <c r="U1781" i="6" s="1"/>
  <c r="T1785" i="6"/>
  <c r="U1785" i="6" s="1"/>
  <c r="T1789" i="6"/>
  <c r="U1789" i="6" s="1"/>
  <c r="T1793" i="6"/>
  <c r="U1793" i="6" s="1"/>
  <c r="T1797" i="6"/>
  <c r="U1797" i="6" s="1"/>
  <c r="T1801" i="6"/>
  <c r="U1801" i="6" s="1"/>
  <c r="T1805" i="6"/>
  <c r="U1805" i="6" s="1"/>
  <c r="T1809" i="6"/>
  <c r="U1809" i="6" s="1"/>
  <c r="T1813" i="6"/>
  <c r="U1813" i="6" s="1"/>
  <c r="T1817" i="6"/>
  <c r="U1817" i="6" s="1"/>
  <c r="T1821" i="6"/>
  <c r="U1821" i="6" s="1"/>
  <c r="T1825" i="6"/>
  <c r="U1825" i="6" s="1"/>
  <c r="T1829" i="6"/>
  <c r="U1829" i="6" s="1"/>
  <c r="T1833" i="6"/>
  <c r="U1833" i="6" s="1"/>
  <c r="T1837" i="6"/>
  <c r="U1837" i="6" s="1"/>
  <c r="T1841" i="6"/>
  <c r="U1841" i="6" s="1"/>
  <c r="T1845" i="6"/>
  <c r="U1845" i="6" s="1"/>
  <c r="T1849" i="6"/>
  <c r="U1849" i="6" s="1"/>
  <c r="T1853" i="6"/>
  <c r="U1853" i="6" s="1"/>
  <c r="T1857" i="6"/>
  <c r="U1857" i="6" s="1"/>
  <c r="T1861" i="6"/>
  <c r="U1861" i="6" s="1"/>
  <c r="T1865" i="6"/>
  <c r="U1865" i="6" s="1"/>
  <c r="T1869" i="6"/>
  <c r="U1869" i="6" s="1"/>
  <c r="T1873" i="6"/>
  <c r="U1873" i="6" s="1"/>
  <c r="T1877" i="6"/>
  <c r="U1877" i="6" s="1"/>
  <c r="T1881" i="6"/>
  <c r="U1881" i="6" s="1"/>
  <c r="T1885" i="6"/>
  <c r="U1885" i="6" s="1"/>
  <c r="T1889" i="6"/>
  <c r="U1889" i="6" s="1"/>
  <c r="T1893" i="6"/>
  <c r="U1893" i="6" s="1"/>
  <c r="T1897" i="6"/>
  <c r="U1897" i="6" s="1"/>
  <c r="T1901" i="6"/>
  <c r="U1901" i="6" s="1"/>
  <c r="T1905" i="6"/>
  <c r="U1905" i="6" s="1"/>
  <c r="T1909" i="6"/>
  <c r="U1909" i="6" s="1"/>
  <c r="T1913" i="6"/>
  <c r="U1913" i="6" s="1"/>
  <c r="T1917" i="6"/>
  <c r="U1917" i="6" s="1"/>
  <c r="T1921" i="6"/>
  <c r="U1921" i="6" s="1"/>
  <c r="T1925" i="6"/>
  <c r="U1925" i="6" s="1"/>
  <c r="T1929" i="6"/>
  <c r="U1929" i="6" s="1"/>
  <c r="T1933" i="6"/>
  <c r="U1933" i="6" s="1"/>
  <c r="T1937" i="6"/>
  <c r="U1937" i="6" s="1"/>
  <c r="T1941" i="6"/>
  <c r="U1941" i="6" s="1"/>
  <c r="T1945" i="6"/>
  <c r="U1945" i="6" s="1"/>
  <c r="T1949" i="6"/>
  <c r="U1949" i="6" s="1"/>
  <c r="T1953" i="6"/>
  <c r="U1953" i="6" s="1"/>
  <c r="T1957" i="6"/>
  <c r="U1957" i="6" s="1"/>
  <c r="T1961" i="6"/>
  <c r="U1961" i="6" s="1"/>
  <c r="T1965" i="6"/>
  <c r="U1965" i="6" s="1"/>
  <c r="T1969" i="6"/>
  <c r="U1969" i="6" s="1"/>
  <c r="T1973" i="6"/>
  <c r="U1973" i="6" s="1"/>
  <c r="T1977" i="6"/>
  <c r="U1977" i="6" s="1"/>
  <c r="T1981" i="6"/>
  <c r="U1981" i="6" s="1"/>
  <c r="T1985" i="6"/>
  <c r="U1985" i="6" s="1"/>
  <c r="T1989" i="6"/>
  <c r="U1989" i="6" s="1"/>
  <c r="T1993" i="6"/>
  <c r="U1993" i="6" s="1"/>
  <c r="T1997" i="6"/>
  <c r="U1997" i="6" s="1"/>
  <c r="T2001" i="6"/>
  <c r="U2001" i="6" s="1"/>
  <c r="T2005" i="6"/>
  <c r="U2005" i="6" s="1"/>
  <c r="T2009" i="6"/>
  <c r="U2009" i="6" s="1"/>
  <c r="T2013" i="6"/>
  <c r="U2013" i="6" s="1"/>
  <c r="T2017" i="6"/>
  <c r="U2017" i="6" s="1"/>
  <c r="T2021" i="6"/>
  <c r="U2021" i="6" s="1"/>
  <c r="T2025" i="6"/>
  <c r="U2025" i="6" s="1"/>
  <c r="T2029" i="6"/>
  <c r="U2029" i="6" s="1"/>
  <c r="T2033" i="6"/>
  <c r="U2033" i="6" s="1"/>
  <c r="T2037" i="6"/>
  <c r="U2037" i="6" s="1"/>
  <c r="T2041" i="6"/>
  <c r="U2041" i="6" s="1"/>
  <c r="T2045" i="6"/>
  <c r="U2045" i="6" s="1"/>
  <c r="T2049" i="6"/>
  <c r="U2049" i="6" s="1"/>
  <c r="T2053" i="6"/>
  <c r="U2053" i="6" s="1"/>
  <c r="T2057" i="6"/>
  <c r="U2057" i="6" s="1"/>
  <c r="T2061" i="6"/>
  <c r="U2061" i="6" s="1"/>
  <c r="T2065" i="6"/>
  <c r="U2065" i="6" s="1"/>
  <c r="T2069" i="6"/>
  <c r="U2069" i="6" s="1"/>
  <c r="T2073" i="6"/>
  <c r="U2073" i="6" s="1"/>
  <c r="T2077" i="6"/>
  <c r="U2077" i="6" s="1"/>
  <c r="T2081" i="6"/>
  <c r="U2081" i="6" s="1"/>
  <c r="T2085" i="6"/>
  <c r="U2085" i="6" s="1"/>
  <c r="T2089" i="6"/>
  <c r="U2089" i="6" s="1"/>
  <c r="T2093" i="6"/>
  <c r="U2093" i="6" s="1"/>
  <c r="T2097" i="6"/>
  <c r="U2097" i="6" s="1"/>
  <c r="T2101" i="6"/>
  <c r="U2101" i="6" s="1"/>
  <c r="T2105" i="6"/>
  <c r="U2105" i="6" s="1"/>
  <c r="T2109" i="6"/>
  <c r="U2109" i="6" s="1"/>
  <c r="T2113" i="6"/>
  <c r="U2113" i="6" s="1"/>
  <c r="T2117" i="6"/>
  <c r="U2117" i="6" s="1"/>
  <c r="T2121" i="6"/>
  <c r="U2121" i="6" s="1"/>
  <c r="T2125" i="6"/>
  <c r="U2125" i="6" s="1"/>
  <c r="T2129" i="6"/>
  <c r="U2129" i="6" s="1"/>
  <c r="T2133" i="6"/>
  <c r="U2133" i="6" s="1"/>
  <c r="T2137" i="6"/>
  <c r="U2137" i="6" s="1"/>
  <c r="T2141" i="6"/>
  <c r="U2141" i="6" s="1"/>
  <c r="T2145" i="6"/>
  <c r="U2145" i="6" s="1"/>
  <c r="T2149" i="6"/>
  <c r="U2149" i="6" s="1"/>
  <c r="T2153" i="6"/>
  <c r="U2153" i="6" s="1"/>
  <c r="T2157" i="6"/>
  <c r="U2157" i="6" s="1"/>
  <c r="T2161" i="6"/>
  <c r="U2161" i="6" s="1"/>
  <c r="T2165" i="6"/>
  <c r="U2165" i="6" s="1"/>
  <c r="T2169" i="6"/>
  <c r="U2169" i="6" s="1"/>
  <c r="T2173" i="6"/>
  <c r="U2173" i="6" s="1"/>
  <c r="T2177" i="6"/>
  <c r="U2177" i="6" s="1"/>
  <c r="T2181" i="6"/>
  <c r="U2181" i="6" s="1"/>
  <c r="T2185" i="6"/>
  <c r="U2185" i="6" s="1"/>
  <c r="T2189" i="6"/>
  <c r="U2189" i="6" s="1"/>
  <c r="T2193" i="6"/>
  <c r="U2193" i="6" s="1"/>
  <c r="T2197" i="6"/>
  <c r="U2197" i="6" s="1"/>
  <c r="T2201" i="6"/>
  <c r="U2201" i="6" s="1"/>
  <c r="T2205" i="6"/>
  <c r="U2205" i="6" s="1"/>
  <c r="T2209" i="6"/>
  <c r="U2209" i="6" s="1"/>
  <c r="T2213" i="6"/>
  <c r="U2213" i="6" s="1"/>
  <c r="T2217" i="6"/>
  <c r="U2217" i="6" s="1"/>
  <c r="T2221" i="6"/>
  <c r="U2221" i="6" s="1"/>
  <c r="T2225" i="6"/>
  <c r="U2225" i="6" s="1"/>
  <c r="T2229" i="6"/>
  <c r="U2229" i="6" s="1"/>
  <c r="T2233" i="6"/>
  <c r="U2233" i="6" s="1"/>
  <c r="T2237" i="6"/>
  <c r="U2237" i="6" s="1"/>
  <c r="T2241" i="6"/>
  <c r="U2241" i="6" s="1"/>
  <c r="T2245" i="6"/>
  <c r="U2245" i="6" s="1"/>
  <c r="T2249" i="6"/>
  <c r="U2249" i="6" s="1"/>
  <c r="T2253" i="6"/>
  <c r="U2253" i="6" s="1"/>
  <c r="T2257" i="6"/>
  <c r="U2257" i="6" s="1"/>
  <c r="T2261" i="6"/>
  <c r="U2261" i="6" s="1"/>
  <c r="T2265" i="6"/>
  <c r="U2265" i="6" s="1"/>
  <c r="T2269" i="6"/>
  <c r="U2269" i="6" s="1"/>
  <c r="T2273" i="6"/>
  <c r="U2273" i="6" s="1"/>
  <c r="T2277" i="6"/>
  <c r="U2277" i="6" s="1"/>
  <c r="T2281" i="6"/>
  <c r="U2281" i="6" s="1"/>
  <c r="T2285" i="6"/>
  <c r="U2285" i="6" s="1"/>
  <c r="T2289" i="6"/>
  <c r="U2289" i="6" s="1"/>
  <c r="T2293" i="6"/>
  <c r="U2293" i="6" s="1"/>
  <c r="T2297" i="6"/>
  <c r="U2297" i="6" s="1"/>
  <c r="T2267" i="6"/>
  <c r="U2267" i="6" s="1"/>
  <c r="T2235" i="6"/>
  <c r="U2235" i="6" s="1"/>
  <c r="T2203" i="6"/>
  <c r="U2203" i="6" s="1"/>
  <c r="T2176" i="6"/>
  <c r="U2176" i="6" s="1"/>
  <c r="T2139" i="6"/>
  <c r="U2139" i="6" s="1"/>
  <c r="T2112" i="6"/>
  <c r="U2112" i="6" s="1"/>
  <c r="T2075" i="6"/>
  <c r="U2075" i="6" s="1"/>
  <c r="T2038" i="6"/>
  <c r="U2038" i="6" s="1"/>
  <c r="T2000" i="6"/>
  <c r="U2000" i="6" s="1"/>
  <c r="T1974" i="6"/>
  <c r="U1974" i="6" s="1"/>
  <c r="T1958" i="6"/>
  <c r="U1958" i="6" s="1"/>
  <c r="T1947" i="6"/>
  <c r="U1947" i="6" s="1"/>
  <c r="T1936" i="6"/>
  <c r="U1936" i="6" s="1"/>
  <c r="T1926" i="6"/>
  <c r="U1926" i="6" s="1"/>
  <c r="T1915" i="6"/>
  <c r="U1915" i="6" s="1"/>
  <c r="T1910" i="6"/>
  <c r="U1910" i="6" s="1"/>
  <c r="T1904" i="6"/>
  <c r="U1904" i="6" s="1"/>
  <c r="T1899" i="6"/>
  <c r="U1899" i="6" s="1"/>
  <c r="T1894" i="6"/>
  <c r="U1894" i="6" s="1"/>
  <c r="T1888" i="6"/>
  <c r="U1888" i="6" s="1"/>
  <c r="T1883" i="6"/>
  <c r="U1883" i="6" s="1"/>
  <c r="T1878" i="6"/>
  <c r="U1878" i="6" s="1"/>
  <c r="T1872" i="6"/>
  <c r="U1872" i="6" s="1"/>
  <c r="T1867" i="6"/>
  <c r="U1867" i="6" s="1"/>
  <c r="T1862" i="6"/>
  <c r="U1862" i="6" s="1"/>
  <c r="T1856" i="6"/>
  <c r="U1856" i="6" s="1"/>
  <c r="T1851" i="6"/>
  <c r="U1851" i="6" s="1"/>
  <c r="T1846" i="6"/>
  <c r="U1846" i="6" s="1"/>
  <c r="T1840" i="6"/>
  <c r="U1840" i="6" s="1"/>
  <c r="T1835" i="6"/>
  <c r="U1835" i="6" s="1"/>
  <c r="T1830" i="6"/>
  <c r="U1830" i="6" s="1"/>
  <c r="T1823" i="6"/>
  <c r="U1823" i="6" s="1"/>
  <c r="T1815" i="6"/>
  <c r="U1815" i="6" s="1"/>
  <c r="T1807" i="6"/>
  <c r="U1807" i="6" s="1"/>
  <c r="T1799" i="6"/>
  <c r="U1799" i="6" s="1"/>
  <c r="T1791" i="6"/>
  <c r="U1791" i="6" s="1"/>
  <c r="T1783" i="6"/>
  <c r="U1783" i="6" s="1"/>
  <c r="T1775" i="6"/>
  <c r="U1775" i="6" s="1"/>
  <c r="T1767" i="6"/>
  <c r="U1767" i="6" s="1"/>
  <c r="T1759" i="6"/>
  <c r="U1759" i="6" s="1"/>
  <c r="T1751" i="6"/>
  <c r="U1751" i="6" s="1"/>
  <c r="T1743" i="6"/>
  <c r="U1743" i="6" s="1"/>
  <c r="T1735" i="6"/>
  <c r="U1735" i="6" s="1"/>
  <c r="T1727" i="6"/>
  <c r="U1727" i="6" s="1"/>
  <c r="T1719" i="6"/>
  <c r="U1719" i="6" s="1"/>
  <c r="T1711" i="6"/>
  <c r="U1711" i="6" s="1"/>
  <c r="T1703" i="6"/>
  <c r="U1703" i="6" s="1"/>
  <c r="T1695" i="6"/>
  <c r="U1695" i="6" s="1"/>
  <c r="T1687" i="6"/>
  <c r="U1687" i="6" s="1"/>
  <c r="T1679" i="6"/>
  <c r="U1679" i="6" s="1"/>
  <c r="T1671" i="6"/>
  <c r="U1671" i="6" s="1"/>
  <c r="T1663" i="6"/>
  <c r="U1663" i="6" s="1"/>
  <c r="T1655" i="6"/>
  <c r="U1655" i="6" s="1"/>
  <c r="T1647" i="6"/>
  <c r="U1647" i="6" s="1"/>
  <c r="T1639" i="6"/>
  <c r="U1639" i="6" s="1"/>
  <c r="T1631" i="6"/>
  <c r="U1631" i="6" s="1"/>
  <c r="T1623" i="6"/>
  <c r="U1623" i="6" s="1"/>
  <c r="T1615" i="6"/>
  <c r="U1615" i="6" s="1"/>
  <c r="T1607" i="6"/>
  <c r="U1607" i="6" s="1"/>
  <c r="T1599" i="6"/>
  <c r="U1599" i="6" s="1"/>
  <c r="T1591" i="6"/>
  <c r="U1591" i="6" s="1"/>
  <c r="T1583" i="6"/>
  <c r="U1583" i="6" s="1"/>
  <c r="T1575" i="6"/>
  <c r="U1575" i="6" s="1"/>
  <c r="T1567" i="6"/>
  <c r="U1567" i="6" s="1"/>
  <c r="T1559" i="6"/>
  <c r="U1559" i="6" s="1"/>
  <c r="T1551" i="6"/>
  <c r="U1551" i="6" s="1"/>
  <c r="T1543" i="6"/>
  <c r="U1543" i="6" s="1"/>
  <c r="T1535" i="6"/>
  <c r="U1535" i="6" s="1"/>
  <c r="T1527" i="6"/>
  <c r="U1527" i="6" s="1"/>
  <c r="T1519" i="6"/>
  <c r="U1519" i="6" s="1"/>
  <c r="T1511" i="6"/>
  <c r="U1511" i="6" s="1"/>
  <c r="T1503" i="6"/>
  <c r="U1503" i="6" s="1"/>
  <c r="T1493" i="6"/>
  <c r="U1493" i="6" s="1"/>
  <c r="T1482" i="6"/>
  <c r="U1482" i="6" s="1"/>
  <c r="T1472" i="6"/>
  <c r="U1472" i="6" s="1"/>
  <c r="T1461" i="6"/>
  <c r="U1461" i="6" s="1"/>
  <c r="T1446" i="6"/>
  <c r="U1446" i="6" s="1"/>
  <c r="T1425" i="6"/>
  <c r="U1425" i="6" s="1"/>
  <c r="T1404" i="6"/>
  <c r="U1404" i="6" s="1"/>
  <c r="T1382" i="6"/>
  <c r="U1382" i="6" s="1"/>
  <c r="T1361" i="6"/>
  <c r="U1361" i="6" s="1"/>
  <c r="T1340" i="6"/>
  <c r="U1340" i="6" s="1"/>
  <c r="T1318" i="6"/>
  <c r="U1318" i="6" s="1"/>
  <c r="T1297" i="6"/>
  <c r="U1297" i="6" s="1"/>
  <c r="T1276" i="6"/>
  <c r="U1276" i="6" s="1"/>
  <c r="T1254" i="6"/>
  <c r="U1254" i="6" s="1"/>
  <c r="T1233" i="6"/>
  <c r="U1233" i="6" s="1"/>
  <c r="T2288" i="6"/>
  <c r="U2288" i="6" s="1"/>
  <c r="T2272" i="6"/>
  <c r="U2272" i="6" s="1"/>
  <c r="T2251" i="6"/>
  <c r="U2251" i="6" s="1"/>
  <c r="T2224" i="6"/>
  <c r="U2224" i="6" s="1"/>
  <c r="T2208" i="6"/>
  <c r="U2208" i="6" s="1"/>
  <c r="T2187" i="6"/>
  <c r="U2187" i="6" s="1"/>
  <c r="T2166" i="6"/>
  <c r="U2166" i="6" s="1"/>
  <c r="T2144" i="6"/>
  <c r="U2144" i="6" s="1"/>
  <c r="T2123" i="6"/>
  <c r="U2123" i="6" s="1"/>
  <c r="T2096" i="6"/>
  <c r="U2096" i="6" s="1"/>
  <c r="T2080" i="6"/>
  <c r="U2080" i="6" s="1"/>
  <c r="T2054" i="6"/>
  <c r="U2054" i="6" s="1"/>
  <c r="T2032" i="6"/>
  <c r="U2032" i="6" s="1"/>
  <c r="T2016" i="6"/>
  <c r="U2016" i="6" s="1"/>
  <c r="T1995" i="6"/>
  <c r="U1995" i="6" s="1"/>
  <c r="T1942" i="6"/>
  <c r="U1942" i="6" s="1"/>
  <c r="T2298" i="6"/>
  <c r="U2298" i="6" s="1"/>
  <c r="T2271" i="6"/>
  <c r="U2271" i="6" s="1"/>
  <c r="T2244" i="6"/>
  <c r="U2244" i="6" s="1"/>
  <c r="T2218" i="6"/>
  <c r="U2218" i="6" s="1"/>
  <c r="T2202" i="6"/>
  <c r="U2202" i="6" s="1"/>
  <c r="T2180" i="6"/>
  <c r="U2180" i="6" s="1"/>
  <c r="T2159" i="6"/>
  <c r="U2159" i="6" s="1"/>
  <c r="T2132" i="6"/>
  <c r="U2132" i="6" s="1"/>
  <c r="T2111" i="6"/>
  <c r="U2111" i="6" s="1"/>
  <c r="T2090" i="6"/>
  <c r="U2090" i="6" s="1"/>
  <c r="T2074" i="6"/>
  <c r="U2074" i="6" s="1"/>
  <c r="T2047" i="6"/>
  <c r="U2047" i="6" s="1"/>
  <c r="T2026" i="6"/>
  <c r="U2026" i="6" s="1"/>
  <c r="T1999" i="6"/>
  <c r="U1999" i="6" s="1"/>
  <c r="T1983" i="6"/>
  <c r="U1983" i="6" s="1"/>
  <c r="T1972" i="6"/>
  <c r="U1972" i="6" s="1"/>
  <c r="T1951" i="6"/>
  <c r="U1951" i="6" s="1"/>
  <c r="T1940" i="6"/>
  <c r="U1940" i="6" s="1"/>
  <c r="T1924" i="6"/>
  <c r="U1924" i="6" s="1"/>
  <c r="T1914" i="6"/>
  <c r="U1914" i="6" s="1"/>
  <c r="T1898" i="6"/>
  <c r="U1898" i="6" s="1"/>
  <c r="T1876" i="6"/>
  <c r="U1876" i="6" s="1"/>
  <c r="T1866" i="6"/>
  <c r="U1866" i="6" s="1"/>
  <c r="T1850" i="6"/>
  <c r="U1850" i="6" s="1"/>
  <c r="T1834" i="6"/>
  <c r="U1834" i="6" s="1"/>
  <c r="T1812" i="6"/>
  <c r="U1812" i="6" s="1"/>
  <c r="T1788" i="6"/>
  <c r="U1788" i="6" s="1"/>
  <c r="T1764" i="6"/>
  <c r="U1764" i="6" s="1"/>
  <c r="T1740" i="6"/>
  <c r="U1740" i="6" s="1"/>
  <c r="T1716" i="6"/>
  <c r="U1716" i="6" s="1"/>
  <c r="T1692" i="6"/>
  <c r="U1692" i="6" s="1"/>
  <c r="T1668" i="6"/>
  <c r="U1668" i="6" s="1"/>
  <c r="T1644" i="6"/>
  <c r="U1644" i="6" s="1"/>
  <c r="T1628" i="6"/>
  <c r="U1628" i="6" s="1"/>
  <c r="T1612" i="6"/>
  <c r="U1612" i="6" s="1"/>
  <c r="T1604" i="6"/>
  <c r="U1604" i="6" s="1"/>
  <c r="T1596" i="6"/>
  <c r="U1596" i="6" s="1"/>
  <c r="T1588" i="6"/>
  <c r="U1588" i="6" s="1"/>
  <c r="T1580" i="6"/>
  <c r="U1580" i="6" s="1"/>
  <c r="T1572" i="6"/>
  <c r="U1572" i="6" s="1"/>
  <c r="T1564" i="6"/>
  <c r="U1564" i="6" s="1"/>
  <c r="T1556" i="6"/>
  <c r="U1556" i="6" s="1"/>
  <c r="T1548" i="6"/>
  <c r="U1548" i="6" s="1"/>
  <c r="T1532" i="6"/>
  <c r="U1532" i="6" s="1"/>
  <c r="T1524" i="6"/>
  <c r="U1524" i="6" s="1"/>
  <c r="T1516" i="6"/>
  <c r="U1516" i="6" s="1"/>
  <c r="T1508" i="6"/>
  <c r="U1508" i="6" s="1"/>
  <c r="T1500" i="6"/>
  <c r="U1500" i="6" s="1"/>
  <c r="T1489" i="6"/>
  <c r="U1489" i="6" s="1"/>
  <c r="T1478" i="6"/>
  <c r="U1478" i="6" s="1"/>
  <c r="T1468" i="6"/>
  <c r="U1468" i="6" s="1"/>
  <c r="T1457" i="6"/>
  <c r="U1457" i="6" s="1"/>
  <c r="T1441" i="6"/>
  <c r="U1441" i="6" s="1"/>
  <c r="T1420" i="6"/>
  <c r="U1420" i="6" s="1"/>
  <c r="T1398" i="6"/>
  <c r="U1398" i="6" s="1"/>
  <c r="T1377" i="6"/>
  <c r="U1377" i="6" s="1"/>
  <c r="T1356" i="6"/>
  <c r="U1356" i="6" s="1"/>
  <c r="T1334" i="6"/>
  <c r="U1334" i="6" s="1"/>
  <c r="T1313" i="6"/>
  <c r="U1313" i="6" s="1"/>
  <c r="T1292" i="6"/>
  <c r="U1292" i="6" s="1"/>
  <c r="T1270" i="6"/>
  <c r="U1270" i="6" s="1"/>
  <c r="T1249" i="6"/>
  <c r="U1249" i="6" s="1"/>
  <c r="T1228" i="6"/>
  <c r="U1228" i="6" s="1"/>
  <c r="T2294" i="6"/>
  <c r="U2294" i="6" s="1"/>
  <c r="T2278" i="6"/>
  <c r="U2278" i="6" s="1"/>
  <c r="T2256" i="6"/>
  <c r="U2256" i="6" s="1"/>
  <c r="T2246" i="6"/>
  <c r="U2246" i="6" s="1"/>
  <c r="T2230" i="6"/>
  <c r="U2230" i="6" s="1"/>
  <c r="T2214" i="6"/>
  <c r="U2214" i="6" s="1"/>
  <c r="T2198" i="6"/>
  <c r="U2198" i="6" s="1"/>
  <c r="T2192" i="6"/>
  <c r="U2192" i="6" s="1"/>
  <c r="T2171" i="6"/>
  <c r="U2171" i="6" s="1"/>
  <c r="T2160" i="6"/>
  <c r="U2160" i="6" s="1"/>
  <c r="T2150" i="6"/>
  <c r="U2150" i="6" s="1"/>
  <c r="T2128" i="6"/>
  <c r="U2128" i="6" s="1"/>
  <c r="T2118" i="6"/>
  <c r="U2118" i="6" s="1"/>
  <c r="T2102" i="6"/>
  <c r="U2102" i="6" s="1"/>
  <c r="T2091" i="6"/>
  <c r="U2091" i="6" s="1"/>
  <c r="T2070" i="6"/>
  <c r="U2070" i="6" s="1"/>
  <c r="T2059" i="6"/>
  <c r="U2059" i="6" s="1"/>
  <c r="T2048" i="6"/>
  <c r="U2048" i="6" s="1"/>
  <c r="T2027" i="6"/>
  <c r="U2027" i="6" s="1"/>
  <c r="T2022" i="6"/>
  <c r="U2022" i="6" s="1"/>
  <c r="T2006" i="6"/>
  <c r="U2006" i="6" s="1"/>
  <c r="T1990" i="6"/>
  <c r="U1990" i="6" s="1"/>
  <c r="T1979" i="6"/>
  <c r="U1979" i="6" s="1"/>
  <c r="T1968" i="6"/>
  <c r="U1968" i="6" s="1"/>
  <c r="T1952" i="6"/>
  <c r="U1952" i="6" s="1"/>
  <c r="T1920" i="6"/>
  <c r="U1920" i="6" s="1"/>
  <c r="T2287" i="6"/>
  <c r="U2287" i="6" s="1"/>
  <c r="T2282" i="6"/>
  <c r="U2282" i="6" s="1"/>
  <c r="T2266" i="6"/>
  <c r="U2266" i="6" s="1"/>
  <c r="T2260" i="6"/>
  <c r="U2260" i="6" s="1"/>
  <c r="T2250" i="6"/>
  <c r="U2250" i="6" s="1"/>
  <c r="T2234" i="6"/>
  <c r="U2234" i="6" s="1"/>
  <c r="T2223" i="6"/>
  <c r="U2223" i="6" s="1"/>
  <c r="T2212" i="6"/>
  <c r="U2212" i="6" s="1"/>
  <c r="T2196" i="6"/>
  <c r="U2196" i="6" s="1"/>
  <c r="T2186" i="6"/>
  <c r="U2186" i="6" s="1"/>
  <c r="T2175" i="6"/>
  <c r="U2175" i="6" s="1"/>
  <c r="T2164" i="6"/>
  <c r="U2164" i="6" s="1"/>
  <c r="T2148" i="6"/>
  <c r="U2148" i="6" s="1"/>
  <c r="T2143" i="6"/>
  <c r="U2143" i="6" s="1"/>
  <c r="T2127" i="6"/>
  <c r="U2127" i="6" s="1"/>
  <c r="T2122" i="6"/>
  <c r="U2122" i="6" s="1"/>
  <c r="T2106" i="6"/>
  <c r="U2106" i="6" s="1"/>
  <c r="T2100" i="6"/>
  <c r="U2100" i="6" s="1"/>
  <c r="T2084" i="6"/>
  <c r="U2084" i="6" s="1"/>
  <c r="T2079" i="6"/>
  <c r="U2079" i="6" s="1"/>
  <c r="T2063" i="6"/>
  <c r="U2063" i="6" s="1"/>
  <c r="T2058" i="6"/>
  <c r="U2058" i="6" s="1"/>
  <c r="T2042" i="6"/>
  <c r="U2042" i="6" s="1"/>
  <c r="T2036" i="6"/>
  <c r="U2036" i="6" s="1"/>
  <c r="T2020" i="6"/>
  <c r="U2020" i="6" s="1"/>
  <c r="T2015" i="6"/>
  <c r="U2015" i="6" s="1"/>
  <c r="T2004" i="6"/>
  <c r="U2004" i="6" s="1"/>
  <c r="T1994" i="6"/>
  <c r="U1994" i="6" s="1"/>
  <c r="T1978" i="6"/>
  <c r="U1978" i="6" s="1"/>
  <c r="T1967" i="6"/>
  <c r="U1967" i="6" s="1"/>
  <c r="T1962" i="6"/>
  <c r="U1962" i="6" s="1"/>
  <c r="T1946" i="6"/>
  <c r="U1946" i="6" s="1"/>
  <c r="T1935" i="6"/>
  <c r="U1935" i="6" s="1"/>
  <c r="T1930" i="6"/>
  <c r="U1930" i="6" s="1"/>
  <c r="T1919" i="6"/>
  <c r="U1919" i="6" s="1"/>
  <c r="T1908" i="6"/>
  <c r="U1908" i="6" s="1"/>
  <c r="T1903" i="6"/>
  <c r="U1903" i="6" s="1"/>
  <c r="T1892" i="6"/>
  <c r="U1892" i="6" s="1"/>
  <c r="T1887" i="6"/>
  <c r="U1887" i="6" s="1"/>
  <c r="T1882" i="6"/>
  <c r="U1882" i="6" s="1"/>
  <c r="T1871" i="6"/>
  <c r="U1871" i="6" s="1"/>
  <c r="T1860" i="6"/>
  <c r="U1860" i="6" s="1"/>
  <c r="T1844" i="6"/>
  <c r="U1844" i="6" s="1"/>
  <c r="T1839" i="6"/>
  <c r="U1839" i="6" s="1"/>
  <c r="T1828" i="6"/>
  <c r="U1828" i="6" s="1"/>
  <c r="T1820" i="6"/>
  <c r="U1820" i="6" s="1"/>
  <c r="T1804" i="6"/>
  <c r="U1804" i="6" s="1"/>
  <c r="T1796" i="6"/>
  <c r="U1796" i="6" s="1"/>
  <c r="T1780" i="6"/>
  <c r="U1780" i="6" s="1"/>
  <c r="T1772" i="6"/>
  <c r="U1772" i="6" s="1"/>
  <c r="T1756" i="6"/>
  <c r="U1756" i="6" s="1"/>
  <c r="T1748" i="6"/>
  <c r="U1748" i="6" s="1"/>
  <c r="T1732" i="6"/>
  <c r="U1732" i="6" s="1"/>
  <c r="T1724" i="6"/>
  <c r="U1724" i="6" s="1"/>
  <c r="T1708" i="6"/>
  <c r="U1708" i="6" s="1"/>
  <c r="T1700" i="6"/>
  <c r="U1700" i="6" s="1"/>
  <c r="T1684" i="6"/>
  <c r="U1684" i="6" s="1"/>
  <c r="T1676" i="6"/>
  <c r="U1676" i="6" s="1"/>
  <c r="T1660" i="6"/>
  <c r="U1660" i="6" s="1"/>
  <c r="T1652" i="6"/>
  <c r="U1652" i="6" s="1"/>
  <c r="T1636" i="6"/>
  <c r="U1636" i="6" s="1"/>
  <c r="T1620" i="6"/>
  <c r="U1620" i="6" s="1"/>
  <c r="T1540" i="6"/>
  <c r="U1540" i="6" s="1"/>
  <c r="T2296" i="6"/>
  <c r="U2296" i="6" s="1"/>
  <c r="T2291" i="6"/>
  <c r="U2291" i="6" s="1"/>
  <c r="T2286" i="6"/>
  <c r="U2286" i="6" s="1"/>
  <c r="T2280" i="6"/>
  <c r="U2280" i="6" s="1"/>
  <c r="T2275" i="6"/>
  <c r="U2275" i="6" s="1"/>
  <c r="T2270" i="6"/>
  <c r="U2270" i="6" s="1"/>
  <c r="T2264" i="6"/>
  <c r="U2264" i="6" s="1"/>
  <c r="T2259" i="6"/>
  <c r="U2259" i="6" s="1"/>
  <c r="T2254" i="6"/>
  <c r="U2254" i="6" s="1"/>
  <c r="T2248" i="6"/>
  <c r="U2248" i="6" s="1"/>
  <c r="T2243" i="6"/>
  <c r="U2243" i="6" s="1"/>
  <c r="T2238" i="6"/>
  <c r="U2238" i="6" s="1"/>
  <c r="T2232" i="6"/>
  <c r="U2232" i="6" s="1"/>
  <c r="T2227" i="6"/>
  <c r="U2227" i="6" s="1"/>
  <c r="T2222" i="6"/>
  <c r="U2222" i="6" s="1"/>
  <c r="T2216" i="6"/>
  <c r="U2216" i="6" s="1"/>
  <c r="T2211" i="6"/>
  <c r="U2211" i="6" s="1"/>
  <c r="T2206" i="6"/>
  <c r="U2206" i="6" s="1"/>
  <c r="T2200" i="6"/>
  <c r="U2200" i="6" s="1"/>
  <c r="T2195" i="6"/>
  <c r="U2195" i="6" s="1"/>
  <c r="T2190" i="6"/>
  <c r="U2190" i="6" s="1"/>
  <c r="T2184" i="6"/>
  <c r="U2184" i="6" s="1"/>
  <c r="T2179" i="6"/>
  <c r="U2179" i="6" s="1"/>
  <c r="T2174" i="6"/>
  <c r="U2174" i="6" s="1"/>
  <c r="T2168" i="6"/>
  <c r="U2168" i="6" s="1"/>
  <c r="T2163" i="6"/>
  <c r="U2163" i="6" s="1"/>
  <c r="T2158" i="6"/>
  <c r="U2158" i="6" s="1"/>
  <c r="T2152" i="6"/>
  <c r="U2152" i="6" s="1"/>
  <c r="T2147" i="6"/>
  <c r="U2147" i="6" s="1"/>
  <c r="T2142" i="6"/>
  <c r="U2142" i="6" s="1"/>
  <c r="T2136" i="6"/>
  <c r="U2136" i="6" s="1"/>
  <c r="T2131" i="6"/>
  <c r="U2131" i="6" s="1"/>
  <c r="T2126" i="6"/>
  <c r="U2126" i="6" s="1"/>
  <c r="T2120" i="6"/>
  <c r="U2120" i="6" s="1"/>
  <c r="T2115" i="6"/>
  <c r="U2115" i="6" s="1"/>
  <c r="T2110" i="6"/>
  <c r="U2110" i="6" s="1"/>
  <c r="T2104" i="6"/>
  <c r="U2104" i="6" s="1"/>
  <c r="T2099" i="6"/>
  <c r="U2099" i="6" s="1"/>
  <c r="T2094" i="6"/>
  <c r="U2094" i="6" s="1"/>
  <c r="T2088" i="6"/>
  <c r="U2088" i="6" s="1"/>
  <c r="T2083" i="6"/>
  <c r="U2083" i="6" s="1"/>
  <c r="T2078" i="6"/>
  <c r="U2078" i="6" s="1"/>
  <c r="T2072" i="6"/>
  <c r="U2072" i="6" s="1"/>
  <c r="T2067" i="6"/>
  <c r="U2067" i="6" s="1"/>
  <c r="T2062" i="6"/>
  <c r="U2062" i="6" s="1"/>
  <c r="T2056" i="6"/>
  <c r="U2056" i="6" s="1"/>
  <c r="T2051" i="6"/>
  <c r="U2051" i="6" s="1"/>
  <c r="T2046" i="6"/>
  <c r="U2046" i="6" s="1"/>
  <c r="T2040" i="6"/>
  <c r="U2040" i="6" s="1"/>
  <c r="T2035" i="6"/>
  <c r="U2035" i="6" s="1"/>
  <c r="T2030" i="6"/>
  <c r="U2030" i="6" s="1"/>
  <c r="T2024" i="6"/>
  <c r="U2024" i="6" s="1"/>
  <c r="T2019" i="6"/>
  <c r="U2019" i="6" s="1"/>
  <c r="T2014" i="6"/>
  <c r="U2014" i="6" s="1"/>
  <c r="T2008" i="6"/>
  <c r="U2008" i="6" s="1"/>
  <c r="T2003" i="6"/>
  <c r="U2003" i="6" s="1"/>
  <c r="T1998" i="6"/>
  <c r="U1998" i="6" s="1"/>
  <c r="T1992" i="6"/>
  <c r="U1992" i="6" s="1"/>
  <c r="T1987" i="6"/>
  <c r="U1987" i="6" s="1"/>
  <c r="T1982" i="6"/>
  <c r="U1982" i="6" s="1"/>
  <c r="T1976" i="6"/>
  <c r="U1976" i="6" s="1"/>
  <c r="T1971" i="6"/>
  <c r="U1971" i="6" s="1"/>
  <c r="T1966" i="6"/>
  <c r="U1966" i="6" s="1"/>
  <c r="T1960" i="6"/>
  <c r="U1960" i="6" s="1"/>
  <c r="T1955" i="6"/>
  <c r="U1955" i="6" s="1"/>
  <c r="T1950" i="6"/>
  <c r="U1950" i="6" s="1"/>
  <c r="T1944" i="6"/>
  <c r="U1944" i="6" s="1"/>
  <c r="T1939" i="6"/>
  <c r="U1939" i="6" s="1"/>
  <c r="T1934" i="6"/>
  <c r="U1934" i="6" s="1"/>
  <c r="T1928" i="6"/>
  <c r="U1928" i="6" s="1"/>
  <c r="T1923" i="6"/>
  <c r="U1923" i="6" s="1"/>
  <c r="T1918" i="6"/>
  <c r="U1918" i="6" s="1"/>
  <c r="T1912" i="6"/>
  <c r="U1912" i="6" s="1"/>
  <c r="T1907" i="6"/>
  <c r="U1907" i="6" s="1"/>
  <c r="T1902" i="6"/>
  <c r="U1902" i="6" s="1"/>
  <c r="T1896" i="6"/>
  <c r="U1896" i="6" s="1"/>
  <c r="T1891" i="6"/>
  <c r="U1891" i="6" s="1"/>
  <c r="T1886" i="6"/>
  <c r="U1886" i="6" s="1"/>
  <c r="T1880" i="6"/>
  <c r="U1880" i="6" s="1"/>
  <c r="T1875" i="6"/>
  <c r="U1875" i="6" s="1"/>
  <c r="T1870" i="6"/>
  <c r="U1870" i="6" s="1"/>
  <c r="T1864" i="6"/>
  <c r="U1864" i="6" s="1"/>
  <c r="T1859" i="6"/>
  <c r="U1859" i="6" s="1"/>
  <c r="T1854" i="6"/>
  <c r="U1854" i="6" s="1"/>
  <c r="T1848" i="6"/>
  <c r="U1848" i="6" s="1"/>
  <c r="T1843" i="6"/>
  <c r="U1843" i="6" s="1"/>
  <c r="T1838" i="6"/>
  <c r="U1838" i="6" s="1"/>
  <c r="T1832" i="6"/>
  <c r="U1832" i="6" s="1"/>
  <c r="T1827" i="6"/>
  <c r="U1827" i="6" s="1"/>
  <c r="T1819" i="6"/>
  <c r="U1819" i="6" s="1"/>
  <c r="T1811" i="6"/>
  <c r="U1811" i="6" s="1"/>
  <c r="T1803" i="6"/>
  <c r="U1803" i="6" s="1"/>
  <c r="T1795" i="6"/>
  <c r="U1795" i="6" s="1"/>
  <c r="T1787" i="6"/>
  <c r="U1787" i="6" s="1"/>
  <c r="T1779" i="6"/>
  <c r="U1779" i="6" s="1"/>
  <c r="T1771" i="6"/>
  <c r="U1771" i="6" s="1"/>
  <c r="T1763" i="6"/>
  <c r="U1763" i="6" s="1"/>
  <c r="T1755" i="6"/>
  <c r="U1755" i="6" s="1"/>
  <c r="T1747" i="6"/>
  <c r="U1747" i="6" s="1"/>
  <c r="T1739" i="6"/>
  <c r="U1739" i="6" s="1"/>
  <c r="T1731" i="6"/>
  <c r="U1731" i="6" s="1"/>
  <c r="T1723" i="6"/>
  <c r="U1723" i="6" s="1"/>
  <c r="T1715" i="6"/>
  <c r="U1715" i="6" s="1"/>
  <c r="T1707" i="6"/>
  <c r="U1707" i="6" s="1"/>
  <c r="T1699" i="6"/>
  <c r="U1699" i="6" s="1"/>
  <c r="T1691" i="6"/>
  <c r="U1691" i="6" s="1"/>
  <c r="T1683" i="6"/>
  <c r="U1683" i="6" s="1"/>
  <c r="T1675" i="6"/>
  <c r="U1675" i="6" s="1"/>
  <c r="T1667" i="6"/>
  <c r="U1667" i="6" s="1"/>
  <c r="T1659" i="6"/>
  <c r="U1659" i="6" s="1"/>
  <c r="T1651" i="6"/>
  <c r="U1651" i="6" s="1"/>
  <c r="T1643" i="6"/>
  <c r="U1643" i="6" s="1"/>
  <c r="T1635" i="6"/>
  <c r="U1635" i="6" s="1"/>
  <c r="T1627" i="6"/>
  <c r="U1627" i="6" s="1"/>
  <c r="T1619" i="6"/>
  <c r="U1619" i="6" s="1"/>
  <c r="T1611" i="6"/>
  <c r="U1611" i="6" s="1"/>
  <c r="T1603" i="6"/>
  <c r="U1603" i="6" s="1"/>
  <c r="T1595" i="6"/>
  <c r="U1595" i="6" s="1"/>
  <c r="T1587" i="6"/>
  <c r="U1587" i="6" s="1"/>
  <c r="T1579" i="6"/>
  <c r="U1579" i="6" s="1"/>
  <c r="T1571" i="6"/>
  <c r="U1571" i="6" s="1"/>
  <c r="T1563" i="6"/>
  <c r="U1563" i="6" s="1"/>
  <c r="T1555" i="6"/>
  <c r="U1555" i="6" s="1"/>
  <c r="T1547" i="6"/>
  <c r="U1547" i="6" s="1"/>
  <c r="T1539" i="6"/>
  <c r="U1539" i="6" s="1"/>
  <c r="T1531" i="6"/>
  <c r="U1531" i="6" s="1"/>
  <c r="T1523" i="6"/>
  <c r="U1523" i="6" s="1"/>
  <c r="T1515" i="6"/>
  <c r="U1515" i="6" s="1"/>
  <c r="T1507" i="6"/>
  <c r="U1507" i="6" s="1"/>
  <c r="T1498" i="6"/>
  <c r="U1498" i="6" s="1"/>
  <c r="T1488" i="6"/>
  <c r="U1488" i="6" s="1"/>
  <c r="T1477" i="6"/>
  <c r="U1477" i="6" s="1"/>
  <c r="T1466" i="6"/>
  <c r="U1466" i="6" s="1"/>
  <c r="T1456" i="6"/>
  <c r="U1456" i="6" s="1"/>
  <c r="T1436" i="6"/>
  <c r="U1436" i="6" s="1"/>
  <c r="T1414" i="6"/>
  <c r="U1414" i="6" s="1"/>
  <c r="T1393" i="6"/>
  <c r="U1393" i="6" s="1"/>
  <c r="T1372" i="6"/>
  <c r="U1372" i="6" s="1"/>
  <c r="T1350" i="6"/>
  <c r="U1350" i="6" s="1"/>
  <c r="T1329" i="6"/>
  <c r="U1329" i="6" s="1"/>
  <c r="T1308" i="6"/>
  <c r="U1308" i="6" s="1"/>
  <c r="T1286" i="6"/>
  <c r="U1286" i="6" s="1"/>
  <c r="T1265" i="6"/>
  <c r="U1265" i="6" s="1"/>
  <c r="T1244" i="6"/>
  <c r="U1244" i="6" s="1"/>
  <c r="T1222" i="6"/>
  <c r="U1222" i="6" s="1"/>
  <c r="A131" i="5"/>
  <c r="A130" i="5"/>
  <c r="A129" i="5"/>
  <c r="A128" i="5"/>
  <c r="A127" i="5"/>
  <c r="A8" i="5"/>
  <c r="A84" i="5"/>
  <c r="A78" i="5"/>
  <c r="A126" i="5"/>
  <c r="A125" i="5"/>
  <c r="A124" i="5"/>
  <c r="A123" i="5"/>
  <c r="A14" i="5"/>
  <c r="A105" i="5"/>
  <c r="A43" i="5"/>
  <c r="A17" i="5"/>
  <c r="A35" i="5"/>
  <c r="A41" i="5"/>
  <c r="A77" i="5"/>
  <c r="A33" i="5"/>
  <c r="A56" i="5"/>
  <c r="A110" i="5"/>
  <c r="A104" i="5"/>
  <c r="A69" i="5"/>
  <c r="A109" i="5"/>
  <c r="A19" i="5"/>
  <c r="A25" i="5"/>
  <c r="A122" i="5"/>
  <c r="A58" i="5"/>
  <c r="A6" i="5"/>
  <c r="A53" i="5"/>
  <c r="A48" i="5"/>
  <c r="A36" i="5"/>
  <c r="A9" i="5"/>
  <c r="A86" i="5"/>
  <c r="A24" i="5"/>
  <c r="A45" i="5"/>
  <c r="A91" i="5"/>
  <c r="A100" i="5"/>
  <c r="A65" i="5"/>
  <c r="A7" i="5"/>
  <c r="A23" i="5"/>
  <c r="A49" i="5"/>
  <c r="A66" i="5"/>
  <c r="A81" i="5"/>
  <c r="A108" i="5"/>
  <c r="A42" i="5"/>
  <c r="A54" i="5"/>
  <c r="A22" i="5"/>
  <c r="A75" i="5"/>
  <c r="A21" i="5"/>
  <c r="A67" i="5"/>
  <c r="A40" i="5"/>
  <c r="A107" i="5"/>
  <c r="A47" i="5"/>
  <c r="A98" i="5"/>
  <c r="A121" i="5"/>
  <c r="A87" i="5"/>
  <c r="A76" i="5"/>
  <c r="A61" i="5"/>
  <c r="A103" i="5"/>
  <c r="A89" i="5"/>
  <c r="A51" i="5"/>
  <c r="A96" i="5"/>
  <c r="A46" i="5"/>
  <c r="A80" i="5"/>
  <c r="A95" i="5"/>
  <c r="A59" i="5"/>
  <c r="A120" i="5"/>
  <c r="A102" i="5"/>
  <c r="A74" i="5"/>
  <c r="A82" i="5"/>
  <c r="A94" i="5"/>
  <c r="A85" i="5"/>
  <c r="A119" i="5"/>
  <c r="A90" i="5"/>
  <c r="A10" i="5"/>
  <c r="A73" i="5"/>
  <c r="A55" i="5"/>
  <c r="A118" i="5"/>
  <c r="A101" i="5"/>
  <c r="A11" i="5"/>
  <c r="A97" i="5"/>
  <c r="A117" i="5"/>
  <c r="A116" i="5"/>
  <c r="A15" i="5"/>
  <c r="A63" i="5"/>
  <c r="A83" i="5"/>
  <c r="A31" i="5"/>
  <c r="A106" i="5"/>
  <c r="A79" i="5"/>
  <c r="A64" i="5"/>
  <c r="A29" i="5"/>
  <c r="A72" i="5"/>
  <c r="A115" i="5"/>
  <c r="A13" i="5"/>
  <c r="A93" i="5"/>
  <c r="A38" i="5"/>
  <c r="A68" i="5"/>
  <c r="A39" i="5"/>
  <c r="A16" i="5"/>
  <c r="A37" i="5"/>
  <c r="A114" i="5"/>
  <c r="A44" i="5"/>
  <c r="A57" i="5"/>
  <c r="A71" i="5"/>
  <c r="A113" i="5"/>
  <c r="A34" i="5"/>
  <c r="A92" i="5"/>
  <c r="A112" i="5"/>
  <c r="A20" i="5"/>
  <c r="A99" i="5"/>
  <c r="A70" i="5"/>
  <c r="A50" i="5"/>
  <c r="A88" i="5"/>
  <c r="A60" i="5"/>
  <c r="A28" i="5"/>
  <c r="A52" i="5"/>
  <c r="A18" i="5"/>
  <c r="A27" i="5"/>
  <c r="A26" i="5"/>
  <c r="A111" i="5"/>
  <c r="A62" i="5"/>
  <c r="A30" i="5"/>
  <c r="A32" i="5"/>
  <c r="A12" i="5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U2" i="6" l="1"/>
  <c r="T1" i="6" a="1"/>
  <c r="T1" i="6" s="1"/>
  <c r="G17" i="3"/>
  <c r="L9" i="3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L105" i="3" s="1"/>
  <c r="L106" i="3" s="1"/>
  <c r="L107" i="3" s="1"/>
  <c r="L108" i="3" s="1"/>
  <c r="L109" i="3" s="1"/>
  <c r="L110" i="3" s="1"/>
  <c r="L111" i="3" s="1"/>
  <c r="L112" i="3" s="1"/>
  <c r="L113" i="3" s="1"/>
  <c r="L114" i="3" s="1"/>
  <c r="L115" i="3" s="1"/>
  <c r="L116" i="3" s="1"/>
  <c r="L117" i="3" s="1"/>
  <c r="L118" i="3" s="1"/>
  <c r="L119" i="3" s="1"/>
  <c r="L120" i="3" s="1"/>
  <c r="L121" i="3" s="1"/>
  <c r="L122" i="3" s="1"/>
  <c r="L123" i="3" s="1"/>
  <c r="L124" i="3" s="1"/>
  <c r="L125" i="3" s="1"/>
  <c r="L126" i="3" s="1"/>
  <c r="L127" i="3" s="1"/>
  <c r="L128" i="3" s="1"/>
  <c r="L129" i="3" s="1"/>
  <c r="L130" i="3" s="1"/>
  <c r="L131" i="3" s="1"/>
  <c r="L132" i="3" s="1"/>
  <c r="L133" i="3" s="1"/>
  <c r="L134" i="3" s="1"/>
  <c r="L135" i="3" s="1"/>
  <c r="L136" i="3" s="1"/>
  <c r="L137" i="3" s="1"/>
  <c r="B5" i="3" l="1"/>
  <c r="A13" i="4" s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B1" i="3" l="1"/>
  <c r="N136" i="3" a="1"/>
  <c r="N130" i="3" a="1"/>
  <c r="N123" i="3" a="1"/>
  <c r="Q112" i="3" a="1"/>
  <c r="Q104" i="3" a="1"/>
  <c r="R130" i="3" a="1"/>
  <c r="R114" i="3" a="1"/>
  <c r="O99" i="3" a="1"/>
  <c r="O90" i="3" a="1"/>
  <c r="Q91" i="3" a="1"/>
  <c r="Q67" i="3" a="1"/>
  <c r="N54" i="3" a="1"/>
  <c r="O106" i="3" a="1"/>
  <c r="Q135" i="3" a="1"/>
  <c r="Q129" i="3" a="1"/>
  <c r="Q122" i="3" a="1"/>
  <c r="N117" i="3" a="1"/>
  <c r="Q111" i="3" a="1"/>
  <c r="Q106" i="3" a="1"/>
  <c r="N101" i="3" a="1"/>
  <c r="R128" i="3" a="1"/>
  <c r="R118" i="3" a="1"/>
  <c r="R107" i="3" a="1"/>
  <c r="O97" i="3" a="1"/>
  <c r="R93" i="3" a="1"/>
  <c r="R85" i="3" a="1"/>
  <c r="Q95" i="3" a="1"/>
  <c r="Q81" i="3" a="1"/>
  <c r="Q65" i="3" a="1"/>
  <c r="R81" i="3" a="1"/>
  <c r="N50" i="3" a="1"/>
  <c r="Q31" i="3" a="1"/>
  <c r="N11" i="3" a="1"/>
  <c r="O124" i="3" a="1"/>
  <c r="N137" i="3" a="1"/>
  <c r="N135" i="3" a="1"/>
  <c r="N133" i="3" a="1"/>
  <c r="N131" i="3" a="1"/>
  <c r="N129" i="3" a="1"/>
  <c r="N127" i="3" a="1"/>
  <c r="Q124" i="3" a="1"/>
  <c r="Q121" i="3" a="1"/>
  <c r="N119" i="3" a="1"/>
  <c r="Q116" i="3" a="1"/>
  <c r="Q113" i="3" a="1"/>
  <c r="N111" i="3" a="1"/>
  <c r="Q108" i="3" a="1"/>
  <c r="Q105" i="3" a="1"/>
  <c r="N103" i="3" a="1"/>
  <c r="Q100" i="3" a="1"/>
  <c r="R132" i="3" a="1"/>
  <c r="R127" i="3" a="1"/>
  <c r="R122" i="3" a="1"/>
  <c r="R116" i="3" a="1"/>
  <c r="R111" i="3" a="1"/>
  <c r="R106" i="3" a="1"/>
  <c r="R100" i="3" a="1"/>
  <c r="N96" i="3" a="1"/>
  <c r="R95" i="3" a="1"/>
  <c r="O92" i="3" a="1"/>
  <c r="O88" i="3" a="1"/>
  <c r="O136" i="3" a="1"/>
  <c r="N94" i="3" a="1"/>
  <c r="Q87" i="3" a="1"/>
  <c r="Q79" i="3" a="1"/>
  <c r="Q71" i="3" a="1"/>
  <c r="O131" i="3" a="1"/>
  <c r="R77" i="3" a="1"/>
  <c r="N62" i="3" a="1"/>
  <c r="O45" i="3" a="1"/>
  <c r="N27" i="3" a="1"/>
  <c r="Q6" i="3" a="1"/>
  <c r="N134" i="3" a="1"/>
  <c r="N128" i="3" a="1"/>
  <c r="Q117" i="3" a="1"/>
  <c r="Q109" i="3" a="1"/>
  <c r="Q101" i="3" a="1"/>
  <c r="R124" i="3" a="1"/>
  <c r="R108" i="3" a="1"/>
  <c r="R97" i="3" a="1"/>
  <c r="O86" i="3" a="1"/>
  <c r="Q75" i="3" a="1"/>
  <c r="R69" i="3" a="1"/>
  <c r="Q16" i="3" a="1"/>
  <c r="Q137" i="3" a="1"/>
  <c r="Q133" i="3" a="1"/>
  <c r="Q131" i="3" a="1"/>
  <c r="Q127" i="3" a="1"/>
  <c r="Q119" i="3" a="1"/>
  <c r="Q114" i="3" a="1"/>
  <c r="N109" i="3" a="1"/>
  <c r="Q103" i="3" a="1"/>
  <c r="R134" i="3" a="1"/>
  <c r="R123" i="3" a="1"/>
  <c r="R112" i="3" a="1"/>
  <c r="R102" i="3" a="1"/>
  <c r="Q96" i="3" a="1"/>
  <c r="R89" i="3" a="1"/>
  <c r="Q89" i="3" a="1"/>
  <c r="Q73" i="3" a="1"/>
  <c r="R65" i="3" a="1"/>
  <c r="Q136" i="3" a="1"/>
  <c r="Q134" i="3" a="1"/>
  <c r="Q132" i="3" a="1"/>
  <c r="Q130" i="3" a="1"/>
  <c r="Q128" i="3" a="1"/>
  <c r="Q126" i="3" a="1"/>
  <c r="Q123" i="3" a="1"/>
  <c r="N121" i="3" a="1"/>
  <c r="Q118" i="3" a="1"/>
  <c r="Q115" i="3" a="1"/>
  <c r="N113" i="3" a="1"/>
  <c r="Q110" i="3" a="1"/>
  <c r="Q107" i="3" a="1"/>
  <c r="N105" i="3" a="1"/>
  <c r="Q102" i="3" a="1"/>
  <c r="R136" i="3" a="1"/>
  <c r="R131" i="3" a="1"/>
  <c r="R126" i="3" a="1"/>
  <c r="R120" i="3" a="1"/>
  <c r="R115" i="3" a="1"/>
  <c r="R110" i="3" a="1"/>
  <c r="R104" i="3" a="1"/>
  <c r="N100" i="3" a="1"/>
  <c r="R99" i="3" a="1"/>
  <c r="R94" i="3" a="1"/>
  <c r="R91" i="3" a="1"/>
  <c r="R87" i="3" a="1"/>
  <c r="Q99" i="3" a="1"/>
  <c r="Q93" i="3" a="1"/>
  <c r="Q85" i="3" a="1"/>
  <c r="Q77" i="3" a="1"/>
  <c r="Q69" i="3" a="1"/>
  <c r="O115" i="3" a="1"/>
  <c r="R73" i="3" a="1"/>
  <c r="N58" i="3" a="1"/>
  <c r="Q40" i="3" a="1"/>
  <c r="Q22" i="3" a="1"/>
  <c r="O122" i="3" a="1"/>
  <c r="N132" i="3" a="1"/>
  <c r="Q125" i="3" a="1"/>
  <c r="Q120" i="3" a="1"/>
  <c r="N115" i="3" a="1"/>
  <c r="N107" i="3" a="1"/>
  <c r="R135" i="3" a="1"/>
  <c r="R119" i="3" a="1"/>
  <c r="R103" i="3" a="1"/>
  <c r="O94" i="3" a="1"/>
  <c r="R96" i="3" a="1"/>
  <c r="Q83" i="3" a="1"/>
  <c r="N97" i="3" a="1"/>
  <c r="N36" i="3" a="1"/>
  <c r="N125" i="3" a="1"/>
  <c r="R92" i="3" a="1"/>
  <c r="R90" i="3" a="1"/>
  <c r="R88" i="3" a="1"/>
  <c r="R86" i="3" a="1"/>
  <c r="O137" i="3" a="1"/>
  <c r="Q97" i="3" a="1"/>
  <c r="Q94" i="3" a="1"/>
  <c r="Q92" i="3" a="1"/>
  <c r="Q90" i="3" a="1"/>
  <c r="Q88" i="3" a="1"/>
  <c r="Q86" i="3" a="1"/>
  <c r="Q84" i="3" a="1"/>
  <c r="Q82" i="3" a="1"/>
  <c r="Q80" i="3" a="1"/>
  <c r="Q78" i="3" a="1"/>
  <c r="Q76" i="3" a="1"/>
  <c r="Q74" i="3" a="1"/>
  <c r="Q72" i="3" a="1"/>
  <c r="Q70" i="3" a="1"/>
  <c r="Q68" i="3" a="1"/>
  <c r="Q66" i="3" a="1"/>
  <c r="Q64" i="3" a="1"/>
  <c r="O123" i="3" a="1"/>
  <c r="O107" i="3" a="1"/>
  <c r="R83" i="3" a="1"/>
  <c r="R79" i="3" a="1"/>
  <c r="R75" i="3" a="1"/>
  <c r="R71" i="3" a="1"/>
  <c r="R67" i="3" a="1"/>
  <c r="N64" i="3" a="1"/>
  <c r="N60" i="3" a="1"/>
  <c r="N56" i="3" a="1"/>
  <c r="N52" i="3" a="1"/>
  <c r="N48" i="3" a="1"/>
  <c r="Q42" i="3" a="1"/>
  <c r="N38" i="3" a="1"/>
  <c r="Q33" i="3" a="1"/>
  <c r="Q29" i="3" a="1"/>
  <c r="Q24" i="3" a="1"/>
  <c r="N19" i="3" a="1"/>
  <c r="Q13" i="3" a="1"/>
  <c r="N9" i="3" a="1"/>
  <c r="N99" i="3" a="1"/>
  <c r="O114" i="3" a="1"/>
  <c r="O132" i="3" a="1"/>
  <c r="O116" i="3" a="1"/>
  <c r="O100" i="3" a="1"/>
  <c r="R60" i="3" a="1"/>
  <c r="R56" i="3" a="1"/>
  <c r="R52" i="3" a="1"/>
  <c r="R48" i="3" a="1"/>
  <c r="R44" i="3" a="1"/>
  <c r="N42" i="3" a="1"/>
  <c r="Q38" i="3" a="1"/>
  <c r="Q34" i="3" a="1"/>
  <c r="N31" i="3" a="1"/>
  <c r="Q27" i="3" a="1"/>
  <c r="N24" i="3" a="1"/>
  <c r="N21" i="3" a="1"/>
  <c r="N18" i="3" a="1"/>
  <c r="Q14" i="3" a="1"/>
  <c r="Q11" i="3" a="1"/>
  <c r="Q7" i="3" a="1"/>
  <c r="O96" i="3" a="1"/>
  <c r="O66" i="3" a="1"/>
  <c r="O43" i="3" a="1"/>
  <c r="O33" i="3" a="1"/>
  <c r="O22" i="3" a="1"/>
  <c r="O10" i="3" a="1"/>
  <c r="O26" i="3" a="1"/>
  <c r="O11" i="3" a="1"/>
  <c r="O82" i="3" a="1"/>
  <c r="N47" i="3" a="1"/>
  <c r="O21" i="3" a="1"/>
  <c r="O105" i="3" a="1"/>
  <c r="R59" i="3" a="1"/>
  <c r="R51" i="3" a="1"/>
  <c r="O133" i="3" a="1"/>
  <c r="O81" i="3" a="1"/>
  <c r="O71" i="3" a="1"/>
  <c r="O62" i="3" a="1"/>
  <c r="O54" i="3" a="1"/>
  <c r="O46" i="3" a="1"/>
  <c r="R41" i="3" a="1"/>
  <c r="R37" i="3" a="1"/>
  <c r="R33" i="3" a="1"/>
  <c r="R29" i="3" a="1"/>
  <c r="R25" i="3" a="1"/>
  <c r="R20" i="3" a="1"/>
  <c r="R16" i="3" a="1"/>
  <c r="R12" i="3" a="1"/>
  <c r="R8" i="3" a="1"/>
  <c r="O113" i="3" a="1"/>
  <c r="R61" i="3" a="1"/>
  <c r="R53" i="3" a="1"/>
  <c r="R45" i="3" a="1"/>
  <c r="O68" i="3" a="1"/>
  <c r="O44" i="3" a="1"/>
  <c r="O34" i="3" a="1"/>
  <c r="O19" i="3" a="1"/>
  <c r="N92" i="3" a="1"/>
  <c r="N90" i="3" a="1"/>
  <c r="N88" i="3" a="1"/>
  <c r="N86" i="3" a="1"/>
  <c r="N84" i="3" a="1"/>
  <c r="N82" i="3" a="1"/>
  <c r="N80" i="3" a="1"/>
  <c r="N78" i="3" a="1"/>
  <c r="N76" i="3" a="1"/>
  <c r="N74" i="3" a="1"/>
  <c r="N72" i="3" a="1"/>
  <c r="N70" i="3" a="1"/>
  <c r="N68" i="3" a="1"/>
  <c r="N66" i="3" a="1"/>
  <c r="O135" i="3" a="1"/>
  <c r="O119" i="3" a="1"/>
  <c r="O103" i="3" a="1"/>
  <c r="R82" i="3" a="1"/>
  <c r="R78" i="3" a="1"/>
  <c r="R74" i="3" a="1"/>
  <c r="R70" i="3" a="1"/>
  <c r="R66" i="3" a="1"/>
  <c r="O63" i="3" a="1"/>
  <c r="O59" i="3" a="1"/>
  <c r="O55" i="3" a="1"/>
  <c r="O51" i="3" a="1"/>
  <c r="N46" i="3" a="1"/>
  <c r="Q41" i="3" a="1"/>
  <c r="N37" i="3" a="1"/>
  <c r="Q32" i="3" a="1"/>
  <c r="N28" i="3" a="1"/>
  <c r="Q23" i="3" a="1"/>
  <c r="Q17" i="3" a="1"/>
  <c r="N12" i="3" a="1"/>
  <c r="N8" i="3" a="1"/>
  <c r="O126" i="3" a="1"/>
  <c r="O110" i="3" a="1"/>
  <c r="O128" i="3" a="1"/>
  <c r="O112" i="3" a="1"/>
  <c r="Q63" i="3" a="1"/>
  <c r="Q59" i="3" a="1"/>
  <c r="Q55" i="3" a="1"/>
  <c r="Q51" i="3" a="1"/>
  <c r="Q47" i="3" a="1"/>
  <c r="O47" i="3" a="1"/>
  <c r="N41" i="3" a="1"/>
  <c r="Q37" i="3" a="1"/>
  <c r="N34" i="3" a="1"/>
  <c r="N30" i="3" a="1"/>
  <c r="Q26" i="3" a="1"/>
  <c r="N23" i="3" a="1"/>
  <c r="N20" i="3" a="1"/>
  <c r="N17" i="3" a="1"/>
  <c r="N14" i="3" a="1"/>
  <c r="Q10" i="3" a="1"/>
  <c r="N7" i="3" a="1"/>
  <c r="R24" i="3" a="1"/>
  <c r="O60" i="3" a="1"/>
  <c r="O41" i="3" a="1"/>
  <c r="O31" i="3" a="1"/>
  <c r="O20" i="3" a="1"/>
  <c r="O8" i="3" a="1"/>
  <c r="O24" i="3" a="1"/>
  <c r="O7" i="3" a="1"/>
  <c r="O74" i="3" a="1"/>
  <c r="O40" i="3" a="1"/>
  <c r="O14" i="3" a="1"/>
  <c r="O78" i="3" a="1"/>
  <c r="Q58" i="3" a="1"/>
  <c r="Q50" i="3" a="1"/>
  <c r="O117" i="3" a="1"/>
  <c r="O77" i="3" a="1"/>
  <c r="O69" i="3" a="1"/>
  <c r="N61" i="3" a="1"/>
  <c r="N53" i="3" a="1"/>
  <c r="N45" i="3" a="1"/>
  <c r="R40" i="3" a="1"/>
  <c r="R36" i="3" a="1"/>
  <c r="R32" i="3" a="1"/>
  <c r="R28" i="3" a="1"/>
  <c r="R23" i="3" a="1"/>
  <c r="R19" i="3" a="1"/>
  <c r="R15" i="3" a="1"/>
  <c r="R11" i="3" a="1"/>
  <c r="R7" i="3" a="1"/>
  <c r="O98" i="3" a="1"/>
  <c r="Q60" i="3" a="1"/>
  <c r="Q52" i="3" a="1"/>
  <c r="Q44" i="3" a="1"/>
  <c r="N63" i="3" a="1"/>
  <c r="O42" i="3" a="1"/>
  <c r="O30" i="3" a="1"/>
  <c r="O17" i="3" a="1"/>
  <c r="O108" i="3" a="1"/>
  <c r="R62" i="3" a="1"/>
  <c r="R58" i="3" a="1"/>
  <c r="R54" i="3" a="1"/>
  <c r="R50" i="3" a="1"/>
  <c r="R46" i="3" a="1"/>
  <c r="Q43" i="3" a="1"/>
  <c r="N40" i="3" a="1"/>
  <c r="Q36" i="3" a="1"/>
  <c r="N33" i="3" a="1"/>
  <c r="N29" i="3" a="1"/>
  <c r="Q25" i="3" a="1"/>
  <c r="N22" i="3" a="1"/>
  <c r="Q19" i="3" a="1"/>
  <c r="N16" i="3" a="1"/>
  <c r="N13" i="3" a="1"/>
  <c r="Q9" i="3" a="1"/>
  <c r="N6" i="3" a="1"/>
  <c r="O76" i="3" a="1"/>
  <c r="N55" i="3" a="1"/>
  <c r="O38" i="3" a="1"/>
  <c r="O28" i="3" a="1"/>
  <c r="O16" i="3" a="1"/>
  <c r="O52" i="3" a="1"/>
  <c r="O18" i="3" a="1"/>
  <c r="O125" i="3" a="1"/>
  <c r="O64" i="3" a="1"/>
  <c r="O35" i="3" a="1"/>
  <c r="O6" i="3" a="1"/>
  <c r="R63" i="3" a="1"/>
  <c r="R55" i="3" a="1"/>
  <c r="R47" i="3" a="1"/>
  <c r="O101" i="3" a="1"/>
  <c r="O75" i="3" a="1"/>
  <c r="O67" i="3" a="1"/>
  <c r="O58" i="3" a="1"/>
  <c r="O50" i="3" a="1"/>
  <c r="R43" i="3" a="1"/>
  <c r="R39" i="3" a="1"/>
  <c r="R35" i="3" a="1"/>
  <c r="R31" i="3" a="1"/>
  <c r="R27" i="3" a="1"/>
  <c r="R22" i="3" a="1"/>
  <c r="R18" i="3" a="1"/>
  <c r="R14" i="3" a="1"/>
  <c r="R10" i="3" a="1"/>
  <c r="R6" i="3" a="1"/>
  <c r="O83" i="3" a="1"/>
  <c r="R57" i="3" a="1"/>
  <c r="R49" i="3" a="1"/>
  <c r="O79" i="3" a="1"/>
  <c r="N59" i="3" a="1"/>
  <c r="O39" i="3" a="1"/>
  <c r="O27" i="3" a="1"/>
  <c r="O12" i="3" a="1"/>
  <c r="N126" i="3" a="1"/>
  <c r="N124" i="3" a="1"/>
  <c r="N122" i="3" a="1"/>
  <c r="N120" i="3" a="1"/>
  <c r="N118" i="3" a="1"/>
  <c r="N116" i="3" a="1"/>
  <c r="N114" i="3" a="1"/>
  <c r="N112" i="3" a="1"/>
  <c r="N110" i="3" a="1"/>
  <c r="N108" i="3" a="1"/>
  <c r="N106" i="3" a="1"/>
  <c r="N104" i="3" a="1"/>
  <c r="N102" i="3" a="1"/>
  <c r="R137" i="3" a="1"/>
  <c r="R133" i="3" a="1"/>
  <c r="R129" i="3" a="1"/>
  <c r="R125" i="3" a="1"/>
  <c r="R121" i="3" a="1"/>
  <c r="R117" i="3" a="1"/>
  <c r="R113" i="3" a="1"/>
  <c r="R109" i="3" a="1"/>
  <c r="R105" i="3" a="1"/>
  <c r="R101" i="3" a="1"/>
  <c r="N98" i="3" a="1"/>
  <c r="Q98" i="3" a="1"/>
  <c r="O95" i="3" a="1"/>
  <c r="O93" i="3" a="1"/>
  <c r="O91" i="3" a="1"/>
  <c r="O89" i="3" a="1"/>
  <c r="O87" i="3" a="1"/>
  <c r="O85" i="3" a="1"/>
  <c r="R98" i="3" a="1"/>
  <c r="N95" i="3" a="1"/>
  <c r="N93" i="3" a="1"/>
  <c r="N91" i="3" a="1"/>
  <c r="N89" i="3" a="1"/>
  <c r="N87" i="3" a="1"/>
  <c r="N85" i="3" a="1"/>
  <c r="N83" i="3" a="1"/>
  <c r="N81" i="3" a="1"/>
  <c r="N79" i="3" a="1"/>
  <c r="N77" i="3" a="1"/>
  <c r="N75" i="3" a="1"/>
  <c r="N73" i="3" a="1"/>
  <c r="N71" i="3" a="1"/>
  <c r="N69" i="3" a="1"/>
  <c r="N67" i="3" a="1"/>
  <c r="N65" i="3" a="1"/>
  <c r="O127" i="3" a="1"/>
  <c r="O111" i="3" a="1"/>
  <c r="R84" i="3" a="1"/>
  <c r="R80" i="3" a="1"/>
  <c r="R76" i="3" a="1"/>
  <c r="R72" i="3" a="1"/>
  <c r="R68" i="3" a="1"/>
  <c r="R64" i="3" a="1"/>
  <c r="O61" i="3" a="1"/>
  <c r="O57" i="3" a="1"/>
  <c r="O53" i="3" a="1"/>
  <c r="O49" i="3" a="1"/>
  <c r="N44" i="3" a="1"/>
  <c r="Q39" i="3" a="1"/>
  <c r="N35" i="3" a="1"/>
  <c r="Q30" i="3" a="1"/>
  <c r="N26" i="3" a="1"/>
  <c r="Q20" i="3" a="1"/>
  <c r="N15" i="3" a="1"/>
  <c r="N10" i="3" a="1"/>
  <c r="O130" i="3" a="1"/>
  <c r="O118" i="3" a="1"/>
  <c r="O102" i="3" a="1"/>
  <c r="O120" i="3" a="1"/>
  <c r="O104" i="3" a="1"/>
  <c r="Q61" i="3" a="1"/>
  <c r="Q57" i="3" a="1"/>
  <c r="Q53" i="3" a="1"/>
  <c r="Q49" i="3" a="1"/>
  <c r="Q45" i="3" a="1"/>
  <c r="N43" i="3" a="1"/>
  <c r="N39" i="3" a="1"/>
  <c r="Q35" i="3" a="1"/>
  <c r="N32" i="3" a="1"/>
  <c r="Q28" i="3" a="1"/>
  <c r="N25" i="3" a="1"/>
  <c r="Q21" i="3" a="1"/>
  <c r="Q18" i="3" a="1"/>
  <c r="Q15" i="3" a="1"/>
  <c r="Q12" i="3" a="1"/>
  <c r="Q8" i="3" a="1"/>
  <c r="O134" i="3" a="1"/>
  <c r="O70" i="3" a="1"/>
  <c r="O48" i="3" a="1"/>
  <c r="O36" i="3" a="1"/>
  <c r="O25" i="3" a="1"/>
  <c r="O13" i="3" a="1"/>
  <c r="O32" i="3" a="1"/>
  <c r="O15" i="3" a="1"/>
  <c r="O109" i="3" a="1"/>
  <c r="O56" i="3" a="1"/>
  <c r="O29" i="3" a="1"/>
  <c r="O121" i="3" a="1"/>
  <c r="Q62" i="3" a="1"/>
  <c r="Q54" i="3" a="1"/>
  <c r="Q46" i="3" a="1"/>
  <c r="O84" i="3" a="1"/>
  <c r="O73" i="3" a="1"/>
  <c r="O65" i="3" a="1"/>
  <c r="N57" i="3" a="1"/>
  <c r="N49" i="3" a="1"/>
  <c r="R42" i="3" a="1"/>
  <c r="R38" i="3" a="1"/>
  <c r="R34" i="3" a="1"/>
  <c r="R30" i="3" a="1"/>
  <c r="R26" i="3" a="1"/>
  <c r="R21" i="3" a="1"/>
  <c r="R17" i="3" a="1"/>
  <c r="R13" i="3" a="1"/>
  <c r="R9" i="3" a="1"/>
  <c r="O129" i="3" a="1"/>
  <c r="O80" i="3" a="1"/>
  <c r="Q56" i="3" a="1"/>
  <c r="Q48" i="3" a="1"/>
  <c r="O72" i="3" a="1"/>
  <c r="N51" i="3" a="1"/>
  <c r="O37" i="3" a="1"/>
  <c r="O23" i="3" a="1"/>
  <c r="O9" i="3" a="1"/>
  <c r="L3" i="3" a="1"/>
  <c r="N3" i="3" a="1"/>
  <c r="N3" i="3" l="1"/>
  <c r="L3" i="3"/>
  <c r="O9" i="3"/>
  <c r="O23" i="3"/>
  <c r="O37" i="3"/>
  <c r="N51" i="3"/>
  <c r="O72" i="3"/>
  <c r="Q48" i="3"/>
  <c r="Q56" i="3"/>
  <c r="O80" i="3"/>
  <c r="O129" i="3"/>
  <c r="R9" i="3"/>
  <c r="R13" i="3"/>
  <c r="R17" i="3"/>
  <c r="R21" i="3"/>
  <c r="R26" i="3"/>
  <c r="R30" i="3"/>
  <c r="R34" i="3"/>
  <c r="R38" i="3"/>
  <c r="R42" i="3"/>
  <c r="N49" i="3"/>
  <c r="N57" i="3"/>
  <c r="O65" i="3"/>
  <c r="O73" i="3"/>
  <c r="O84" i="3"/>
  <c r="Q46" i="3"/>
  <c r="Q54" i="3"/>
  <c r="Q62" i="3"/>
  <c r="O121" i="3"/>
  <c r="O29" i="3"/>
  <c r="O56" i="3"/>
  <c r="O109" i="3"/>
  <c r="O15" i="3"/>
  <c r="O32" i="3"/>
  <c r="O13" i="3"/>
  <c r="O25" i="3"/>
  <c r="O36" i="3"/>
  <c r="O48" i="3"/>
  <c r="O70" i="3"/>
  <c r="O134" i="3"/>
  <c r="Q8" i="3"/>
  <c r="Q12" i="3"/>
  <c r="Q15" i="3"/>
  <c r="Q18" i="3"/>
  <c r="Q21" i="3"/>
  <c r="N25" i="3"/>
  <c r="Q28" i="3"/>
  <c r="N32" i="3"/>
  <c r="Q35" i="3"/>
  <c r="N39" i="3"/>
  <c r="N43" i="3"/>
  <c r="Q45" i="3"/>
  <c r="Q49" i="3"/>
  <c r="Q53" i="3"/>
  <c r="Q57" i="3"/>
  <c r="Q61" i="3"/>
  <c r="O104" i="3"/>
  <c r="O120" i="3"/>
  <c r="O102" i="3"/>
  <c r="O118" i="3"/>
  <c r="O130" i="3"/>
  <c r="N10" i="3"/>
  <c r="N15" i="3"/>
  <c r="Q20" i="3"/>
  <c r="N26" i="3"/>
  <c r="Q30" i="3"/>
  <c r="N35" i="3"/>
  <c r="Q39" i="3"/>
  <c r="N44" i="3"/>
  <c r="O49" i="3"/>
  <c r="O53" i="3"/>
  <c r="O57" i="3"/>
  <c r="O61" i="3"/>
  <c r="R64" i="3"/>
  <c r="R68" i="3"/>
  <c r="R72" i="3"/>
  <c r="R76" i="3"/>
  <c r="R80" i="3"/>
  <c r="R84" i="3"/>
  <c r="O111" i="3"/>
  <c r="O127" i="3"/>
  <c r="N65" i="3"/>
  <c r="N67" i="3"/>
  <c r="N69" i="3"/>
  <c r="N71" i="3"/>
  <c r="N73" i="3"/>
  <c r="N75" i="3"/>
  <c r="N77" i="3"/>
  <c r="N79" i="3"/>
  <c r="N81" i="3"/>
  <c r="N83" i="3"/>
  <c r="N85" i="3"/>
  <c r="N87" i="3"/>
  <c r="N89" i="3"/>
  <c r="N91" i="3"/>
  <c r="N93" i="3"/>
  <c r="N95" i="3"/>
  <c r="R98" i="3"/>
  <c r="O85" i="3"/>
  <c r="O87" i="3"/>
  <c r="O89" i="3"/>
  <c r="O91" i="3"/>
  <c r="O93" i="3"/>
  <c r="O95" i="3"/>
  <c r="Q98" i="3"/>
  <c r="N98" i="3"/>
  <c r="R101" i="3"/>
  <c r="R105" i="3"/>
  <c r="R109" i="3"/>
  <c r="R113" i="3"/>
  <c r="R117" i="3"/>
  <c r="R121" i="3"/>
  <c r="R125" i="3"/>
  <c r="R129" i="3"/>
  <c r="R133" i="3"/>
  <c r="R137" i="3"/>
  <c r="N102" i="3"/>
  <c r="N104" i="3"/>
  <c r="N106" i="3"/>
  <c r="N108" i="3"/>
  <c r="N110" i="3"/>
  <c r="N112" i="3"/>
  <c r="N114" i="3"/>
  <c r="N116" i="3"/>
  <c r="N118" i="3"/>
  <c r="N120" i="3"/>
  <c r="N122" i="3"/>
  <c r="N124" i="3"/>
  <c r="N126" i="3"/>
  <c r="O12" i="3"/>
  <c r="O27" i="3"/>
  <c r="O39" i="3"/>
  <c r="N59" i="3"/>
  <c r="O79" i="3"/>
  <c r="R49" i="3"/>
  <c r="R57" i="3"/>
  <c r="O83" i="3"/>
  <c r="R6" i="3"/>
  <c r="R10" i="3"/>
  <c r="R14" i="3"/>
  <c r="R18" i="3"/>
  <c r="R22" i="3"/>
  <c r="R27" i="3"/>
  <c r="R31" i="3"/>
  <c r="R35" i="3"/>
  <c r="R39" i="3"/>
  <c r="R43" i="3"/>
  <c r="O50" i="3"/>
  <c r="O58" i="3"/>
  <c r="O67" i="3"/>
  <c r="O75" i="3"/>
  <c r="O101" i="3"/>
  <c r="R47" i="3"/>
  <c r="R55" i="3"/>
  <c r="R63" i="3"/>
  <c r="O6" i="3"/>
  <c r="O35" i="3"/>
  <c r="O64" i="3"/>
  <c r="O125" i="3"/>
  <c r="O18" i="3"/>
  <c r="O52" i="3"/>
  <c r="O16" i="3"/>
  <c r="O28" i="3"/>
  <c r="O38" i="3"/>
  <c r="N55" i="3"/>
  <c r="O76" i="3"/>
  <c r="N6" i="3"/>
  <c r="Q9" i="3"/>
  <c r="N13" i="3"/>
  <c r="N16" i="3"/>
  <c r="Q19" i="3"/>
  <c r="N22" i="3"/>
  <c r="Q25" i="3"/>
  <c r="N29" i="3"/>
  <c r="N33" i="3"/>
  <c r="Q36" i="3"/>
  <c r="N40" i="3"/>
  <c r="Q43" i="3"/>
  <c r="R46" i="3"/>
  <c r="R50" i="3"/>
  <c r="R54" i="3"/>
  <c r="R58" i="3"/>
  <c r="R62" i="3"/>
  <c r="O108" i="3"/>
  <c r="O17" i="3"/>
  <c r="O30" i="3"/>
  <c r="O42" i="3"/>
  <c r="N63" i="3"/>
  <c r="Q44" i="3"/>
  <c r="Q52" i="3"/>
  <c r="Q60" i="3"/>
  <c r="O98" i="3"/>
  <c r="R7" i="3"/>
  <c r="R11" i="3"/>
  <c r="R15" i="3"/>
  <c r="R19" i="3"/>
  <c r="R23" i="3"/>
  <c r="R28" i="3"/>
  <c r="R32" i="3"/>
  <c r="R36" i="3"/>
  <c r="R40" i="3"/>
  <c r="N45" i="3"/>
  <c r="N53" i="3"/>
  <c r="N61" i="3"/>
  <c r="O69" i="3"/>
  <c r="O77" i="3"/>
  <c r="O117" i="3"/>
  <c r="Q50" i="3"/>
  <c r="Q58" i="3"/>
  <c r="O78" i="3"/>
  <c r="O14" i="3"/>
  <c r="O40" i="3"/>
  <c r="O74" i="3"/>
  <c r="O7" i="3"/>
  <c r="O24" i="3"/>
  <c r="O8" i="3"/>
  <c r="O20" i="3"/>
  <c r="O31" i="3"/>
  <c r="O41" i="3"/>
  <c r="O60" i="3"/>
  <c r="R24" i="3"/>
  <c r="N7" i="3"/>
  <c r="Q10" i="3"/>
  <c r="N14" i="3"/>
  <c r="N17" i="3"/>
  <c r="N20" i="3"/>
  <c r="N23" i="3"/>
  <c r="Q26" i="3"/>
  <c r="N30" i="3"/>
  <c r="N34" i="3"/>
  <c r="Q37" i="3"/>
  <c r="N41" i="3"/>
  <c r="O47" i="3"/>
  <c r="Q47" i="3"/>
  <c r="Q51" i="3"/>
  <c r="Q55" i="3"/>
  <c r="Q59" i="3"/>
  <c r="Q63" i="3"/>
  <c r="O112" i="3"/>
  <c r="O128" i="3"/>
  <c r="O110" i="3"/>
  <c r="O126" i="3"/>
  <c r="N8" i="3"/>
  <c r="N12" i="3"/>
  <c r="Q17" i="3"/>
  <c r="Q23" i="3"/>
  <c r="N28" i="3"/>
  <c r="Q32" i="3"/>
  <c r="N37" i="3"/>
  <c r="Q41" i="3"/>
  <c r="N46" i="3"/>
  <c r="O51" i="3"/>
  <c r="O55" i="3"/>
  <c r="O59" i="3"/>
  <c r="O63" i="3"/>
  <c r="R66" i="3"/>
  <c r="R70" i="3"/>
  <c r="R74" i="3"/>
  <c r="R78" i="3"/>
  <c r="R82" i="3"/>
  <c r="O103" i="3"/>
  <c r="O119" i="3"/>
  <c r="O135" i="3"/>
  <c r="N66" i="3"/>
  <c r="N68" i="3"/>
  <c r="N70" i="3"/>
  <c r="N72" i="3"/>
  <c r="N74" i="3"/>
  <c r="N76" i="3"/>
  <c r="N78" i="3"/>
  <c r="N80" i="3"/>
  <c r="N82" i="3"/>
  <c r="N84" i="3"/>
  <c r="N86" i="3"/>
  <c r="N88" i="3"/>
  <c r="N90" i="3"/>
  <c r="N92" i="3"/>
  <c r="O19" i="3"/>
  <c r="O34" i="3"/>
  <c r="O44" i="3"/>
  <c r="O68" i="3"/>
  <c r="R45" i="3"/>
  <c r="R53" i="3"/>
  <c r="R61" i="3"/>
  <c r="O113" i="3"/>
  <c r="R8" i="3"/>
  <c r="R12" i="3"/>
  <c r="R16" i="3"/>
  <c r="R20" i="3"/>
  <c r="R25" i="3"/>
  <c r="R29" i="3"/>
  <c r="R33" i="3"/>
  <c r="R37" i="3"/>
  <c r="R41" i="3"/>
  <c r="O46" i="3"/>
  <c r="O54" i="3"/>
  <c r="O62" i="3"/>
  <c r="O71" i="3"/>
  <c r="O81" i="3"/>
  <c r="O133" i="3"/>
  <c r="R51" i="3"/>
  <c r="R59" i="3"/>
  <c r="O105" i="3"/>
  <c r="O21" i="3"/>
  <c r="N47" i="3"/>
  <c r="O82" i="3"/>
  <c r="O11" i="3"/>
  <c r="O26" i="3"/>
  <c r="O10" i="3"/>
  <c r="O22" i="3"/>
  <c r="O33" i="3"/>
  <c r="O43" i="3"/>
  <c r="O66" i="3"/>
  <c r="O96" i="3"/>
  <c r="Q7" i="3"/>
  <c r="Q11" i="3"/>
  <c r="Q14" i="3"/>
  <c r="N18" i="3"/>
  <c r="N21" i="3"/>
  <c r="N24" i="3"/>
  <c r="Q27" i="3"/>
  <c r="N31" i="3"/>
  <c r="Q34" i="3"/>
  <c r="Q38" i="3"/>
  <c r="N42" i="3"/>
  <c r="R44" i="3"/>
  <c r="R48" i="3"/>
  <c r="R52" i="3"/>
  <c r="R56" i="3"/>
  <c r="R60" i="3"/>
  <c r="O100" i="3"/>
  <c r="O116" i="3"/>
  <c r="O132" i="3"/>
  <c r="O114" i="3"/>
  <c r="N99" i="3"/>
  <c r="N9" i="3"/>
  <c r="Q13" i="3"/>
  <c r="N19" i="3"/>
  <c r="Q24" i="3"/>
  <c r="Q29" i="3"/>
  <c r="Q33" i="3"/>
  <c r="N38" i="3"/>
  <c r="Q42" i="3"/>
  <c r="N48" i="3"/>
  <c r="N52" i="3"/>
  <c r="N56" i="3"/>
  <c r="N60" i="3"/>
  <c r="N64" i="3"/>
  <c r="R67" i="3"/>
  <c r="R71" i="3"/>
  <c r="R75" i="3"/>
  <c r="R79" i="3"/>
  <c r="R83" i="3"/>
  <c r="O107" i="3"/>
  <c r="O123" i="3"/>
  <c r="Q64" i="3"/>
  <c r="Q66" i="3"/>
  <c r="Q68" i="3"/>
  <c r="Q70" i="3"/>
  <c r="Q72" i="3"/>
  <c r="Q74" i="3"/>
  <c r="Q76" i="3"/>
  <c r="Q78" i="3"/>
  <c r="Q80" i="3"/>
  <c r="Q82" i="3"/>
  <c r="Q84" i="3"/>
  <c r="Q86" i="3"/>
  <c r="Q88" i="3"/>
  <c r="Q90" i="3"/>
  <c r="Q92" i="3"/>
  <c r="Q94" i="3"/>
  <c r="Q97" i="3"/>
  <c r="O137" i="3"/>
  <c r="R86" i="3"/>
  <c r="R88" i="3"/>
  <c r="R90" i="3"/>
  <c r="R92" i="3"/>
  <c r="N125" i="3"/>
  <c r="N36" i="3"/>
  <c r="N97" i="3"/>
  <c r="Q83" i="3"/>
  <c r="R96" i="3"/>
  <c r="O94" i="3"/>
  <c r="R103" i="3"/>
  <c r="R119" i="3"/>
  <c r="R135" i="3"/>
  <c r="N107" i="3"/>
  <c r="N115" i="3"/>
  <c r="Q120" i="3"/>
  <c r="Q125" i="3"/>
  <c r="N132" i="3"/>
  <c r="O122" i="3"/>
  <c r="Q22" i="3"/>
  <c r="Q40" i="3"/>
  <c r="N58" i="3"/>
  <c r="R73" i="3"/>
  <c r="O115" i="3"/>
  <c r="Q69" i="3"/>
  <c r="Q77" i="3"/>
  <c r="Q85" i="3"/>
  <c r="Q93" i="3"/>
  <c r="Q99" i="3"/>
  <c r="R87" i="3"/>
  <c r="R91" i="3"/>
  <c r="R94" i="3"/>
  <c r="R99" i="3"/>
  <c r="N100" i="3"/>
  <c r="R104" i="3"/>
  <c r="R110" i="3"/>
  <c r="R115" i="3"/>
  <c r="R120" i="3"/>
  <c r="R126" i="3"/>
  <c r="R131" i="3"/>
  <c r="R136" i="3"/>
  <c r="Q102" i="3"/>
  <c r="N105" i="3"/>
  <c r="Q107" i="3"/>
  <c r="Q110" i="3"/>
  <c r="N113" i="3"/>
  <c r="Q115" i="3"/>
  <c r="Q118" i="3"/>
  <c r="N121" i="3"/>
  <c r="Q123" i="3"/>
  <c r="Q126" i="3"/>
  <c r="Q128" i="3"/>
  <c r="Q130" i="3"/>
  <c r="Q132" i="3"/>
  <c r="Q134" i="3"/>
  <c r="Q136" i="3"/>
  <c r="R65" i="3"/>
  <c r="Q73" i="3"/>
  <c r="Q89" i="3"/>
  <c r="R89" i="3"/>
  <c r="Q96" i="3"/>
  <c r="R102" i="3"/>
  <c r="R112" i="3"/>
  <c r="R123" i="3"/>
  <c r="R134" i="3"/>
  <c r="Q103" i="3"/>
  <c r="N109" i="3"/>
  <c r="Q114" i="3"/>
  <c r="Q119" i="3"/>
  <c r="Q127" i="3"/>
  <c r="Q131" i="3"/>
  <c r="Q133" i="3"/>
  <c r="Q137" i="3"/>
  <c r="Q16" i="3"/>
  <c r="R69" i="3"/>
  <c r="Q75" i="3"/>
  <c r="O86" i="3"/>
  <c r="R97" i="3"/>
  <c r="R108" i="3"/>
  <c r="R124" i="3"/>
  <c r="Q101" i="3"/>
  <c r="Q109" i="3"/>
  <c r="Q117" i="3"/>
  <c r="N128" i="3"/>
  <c r="N134" i="3"/>
  <c r="Q6" i="3"/>
  <c r="N27" i="3"/>
  <c r="O45" i="3"/>
  <c r="N62" i="3"/>
  <c r="R77" i="3"/>
  <c r="O131" i="3"/>
  <c r="Q71" i="3"/>
  <c r="Q79" i="3"/>
  <c r="Q87" i="3"/>
  <c r="N94" i="3"/>
  <c r="O136" i="3"/>
  <c r="O88" i="3"/>
  <c r="O92" i="3"/>
  <c r="R95" i="3"/>
  <c r="N96" i="3"/>
  <c r="R100" i="3"/>
  <c r="R106" i="3"/>
  <c r="R111" i="3"/>
  <c r="R116" i="3"/>
  <c r="R122" i="3"/>
  <c r="R127" i="3"/>
  <c r="R132" i="3"/>
  <c r="Q100" i="3"/>
  <c r="N103" i="3"/>
  <c r="Q105" i="3"/>
  <c r="Q108" i="3"/>
  <c r="N111" i="3"/>
  <c r="Q113" i="3"/>
  <c r="Q116" i="3"/>
  <c r="N119" i="3"/>
  <c r="Q121" i="3"/>
  <c r="Q124" i="3"/>
  <c r="N127" i="3"/>
  <c r="N129" i="3"/>
  <c r="N131" i="3"/>
  <c r="N133" i="3"/>
  <c r="N135" i="3"/>
  <c r="N137" i="3"/>
  <c r="O124" i="3"/>
  <c r="N11" i="3"/>
  <c r="Q31" i="3"/>
  <c r="N50" i="3"/>
  <c r="R81" i="3"/>
  <c r="Q65" i="3"/>
  <c r="Q81" i="3"/>
  <c r="Q95" i="3"/>
  <c r="R85" i="3"/>
  <c r="R93" i="3"/>
  <c r="O97" i="3"/>
  <c r="R107" i="3"/>
  <c r="R118" i="3"/>
  <c r="R128" i="3"/>
  <c r="N101" i="3"/>
  <c r="Q106" i="3"/>
  <c r="Q111" i="3"/>
  <c r="N117" i="3"/>
  <c r="Q122" i="3"/>
  <c r="Q129" i="3"/>
  <c r="Q135" i="3"/>
  <c r="O106" i="3"/>
  <c r="N54" i="3"/>
  <c r="Q67" i="3"/>
  <c r="Q91" i="3"/>
  <c r="O90" i="3"/>
  <c r="O99" i="3"/>
  <c r="R114" i="3"/>
  <c r="R130" i="3"/>
  <c r="Q104" i="3"/>
  <c r="Q112" i="3"/>
  <c r="N123" i="3"/>
  <c r="N130" i="3"/>
  <c r="N136" i="3"/>
  <c r="A6" i="3"/>
  <c r="B6" i="3" s="1"/>
  <c r="A17" i="4" s="1"/>
  <c r="A7" i="3"/>
  <c r="B7" i="3" s="1"/>
  <c r="A44" i="4" s="1"/>
  <c r="B3" i="3" a="1"/>
  <c r="B130" i="5" l="1"/>
  <c r="B128" i="5"/>
  <c r="D8" i="5"/>
  <c r="B126" i="5"/>
  <c r="D124" i="5"/>
  <c r="D105" i="5"/>
  <c r="B35" i="5"/>
  <c r="D77" i="5"/>
  <c r="D104" i="5"/>
  <c r="D36" i="5"/>
  <c r="D69" i="5"/>
  <c r="B3" i="3"/>
  <c r="B2" i="4" s="1"/>
  <c r="B84" i="5"/>
  <c r="B43" i="5"/>
  <c r="D35" i="5"/>
  <c r="D33" i="5"/>
  <c r="D58" i="5"/>
  <c r="D86" i="5"/>
  <c r="D122" i="5"/>
  <c r="B91" i="5"/>
  <c r="D130" i="5"/>
  <c r="D126" i="5"/>
  <c r="B129" i="5"/>
  <c r="D84" i="5"/>
  <c r="D125" i="5"/>
  <c r="B14" i="5"/>
  <c r="D43" i="5"/>
  <c r="D41" i="5"/>
  <c r="B56" i="5"/>
  <c r="D109" i="5"/>
  <c r="D53" i="5"/>
  <c r="B69" i="5"/>
  <c r="B36" i="5"/>
  <c r="B24" i="5"/>
  <c r="D128" i="5"/>
  <c r="D123" i="5"/>
  <c r="B131" i="5"/>
  <c r="B127" i="5"/>
  <c r="D131" i="5"/>
  <c r="D129" i="5"/>
  <c r="D127" i="5"/>
  <c r="D78" i="5"/>
  <c r="B124" i="5"/>
  <c r="D14" i="5"/>
  <c r="D17" i="5"/>
  <c r="B77" i="5"/>
  <c r="D56" i="5"/>
  <c r="D25" i="5"/>
  <c r="B109" i="5"/>
  <c r="B19" i="5"/>
  <c r="B58" i="5"/>
  <c r="P97" i="3"/>
  <c r="E86" i="5" s="1"/>
  <c r="B100" i="5"/>
  <c r="B49" i="5"/>
  <c r="B42" i="5"/>
  <c r="B21" i="5"/>
  <c r="B47" i="5"/>
  <c r="P114" i="3"/>
  <c r="E41" i="5" s="1"/>
  <c r="B6" i="5"/>
  <c r="D9" i="5"/>
  <c r="D65" i="5"/>
  <c r="D66" i="5"/>
  <c r="D54" i="5"/>
  <c r="D67" i="5"/>
  <c r="D98" i="5"/>
  <c r="D49" i="5"/>
  <c r="D21" i="5"/>
  <c r="B52" i="5"/>
  <c r="D62" i="5"/>
  <c r="D95" i="5"/>
  <c r="D93" i="5"/>
  <c r="B31" i="5"/>
  <c r="B70" i="5"/>
  <c r="B16" i="5"/>
  <c r="B88" i="5"/>
  <c r="D81" i="5"/>
  <c r="D40" i="5"/>
  <c r="B76" i="5"/>
  <c r="B51" i="5"/>
  <c r="B95" i="5"/>
  <c r="B74" i="5"/>
  <c r="B119" i="5"/>
  <c r="B68" i="5"/>
  <c r="D100" i="5"/>
  <c r="B27" i="5"/>
  <c r="B62" i="5"/>
  <c r="B86" i="5"/>
  <c r="B98" i="5"/>
  <c r="D94" i="5"/>
  <c r="D101" i="5"/>
  <c r="D31" i="5"/>
  <c r="D113" i="5"/>
  <c r="B53" i="5"/>
  <c r="D6" i="5"/>
  <c r="B61" i="5"/>
  <c r="B96" i="5"/>
  <c r="B59" i="5"/>
  <c r="B82" i="5"/>
  <c r="B90" i="5"/>
  <c r="B118" i="5"/>
  <c r="B117" i="5"/>
  <c r="B83" i="5"/>
  <c r="B64" i="5"/>
  <c r="B13" i="5"/>
  <c r="B39" i="5"/>
  <c r="B44" i="5"/>
  <c r="B34" i="5"/>
  <c r="B99" i="5"/>
  <c r="B60" i="5"/>
  <c r="D18" i="5"/>
  <c r="D30" i="5"/>
  <c r="B67" i="5"/>
  <c r="D120" i="5"/>
  <c r="D97" i="5"/>
  <c r="D88" i="5"/>
  <c r="B79" i="5"/>
  <c r="B114" i="5"/>
  <c r="D68" i="5"/>
  <c r="S93" i="3"/>
  <c r="C100" i="5" s="1"/>
  <c r="S68" i="3"/>
  <c r="C96" i="5" s="1"/>
  <c r="B57" i="5"/>
  <c r="B23" i="5"/>
  <c r="B75" i="5"/>
  <c r="P76" i="3"/>
  <c r="E98" i="5" s="1"/>
  <c r="D61" i="5"/>
  <c r="D96" i="5"/>
  <c r="D59" i="5"/>
  <c r="D82" i="5"/>
  <c r="D90" i="5"/>
  <c r="D118" i="5"/>
  <c r="D117" i="5"/>
  <c r="D83" i="5"/>
  <c r="D64" i="5"/>
  <c r="D13" i="5"/>
  <c r="D39" i="5"/>
  <c r="D44" i="5"/>
  <c r="D34" i="5"/>
  <c r="D99" i="5"/>
  <c r="D28" i="5"/>
  <c r="D27" i="5"/>
  <c r="B30" i="5"/>
  <c r="B66" i="5"/>
  <c r="D121" i="5"/>
  <c r="D119" i="5"/>
  <c r="D79" i="5"/>
  <c r="D16" i="5"/>
  <c r="B63" i="5"/>
  <c r="P101" i="3"/>
  <c r="E53" i="5" s="1"/>
  <c r="S96" i="3"/>
  <c r="C24" i="5" s="1"/>
  <c r="B25" i="5"/>
  <c r="S135" i="3"/>
  <c r="S127" i="3"/>
  <c r="C127" i="5" s="1"/>
  <c r="S111" i="3"/>
  <c r="C56" i="5" s="1"/>
  <c r="B45" i="5"/>
  <c r="B7" i="5"/>
  <c r="B81" i="5"/>
  <c r="B22" i="5"/>
  <c r="B40" i="5"/>
  <c r="B110" i="5"/>
  <c r="D19" i="5"/>
  <c r="S99" i="3"/>
  <c r="C36" i="5" s="1"/>
  <c r="D91" i="5"/>
  <c r="D23" i="5"/>
  <c r="D108" i="5"/>
  <c r="D75" i="5"/>
  <c r="D107" i="5"/>
  <c r="B9" i="5"/>
  <c r="D42" i="5"/>
  <c r="D47" i="5"/>
  <c r="S55" i="3"/>
  <c r="C10" i="5" s="1"/>
  <c r="S43" i="3"/>
  <c r="C31" i="5" s="1"/>
  <c r="S31" i="3"/>
  <c r="C16" i="5" s="1"/>
  <c r="D60" i="5"/>
  <c r="B26" i="5"/>
  <c r="S91" i="3"/>
  <c r="C7" i="5" s="1"/>
  <c r="D51" i="5"/>
  <c r="D74" i="5"/>
  <c r="D10" i="5"/>
  <c r="D116" i="5"/>
  <c r="D92" i="5"/>
  <c r="B97" i="5"/>
  <c r="B115" i="5"/>
  <c r="B113" i="5"/>
  <c r="D20" i="5"/>
  <c r="D7" i="5"/>
  <c r="D22" i="5"/>
  <c r="B121" i="5"/>
  <c r="B103" i="5"/>
  <c r="B46" i="5"/>
  <c r="B120" i="5"/>
  <c r="B94" i="5"/>
  <c r="B10" i="5"/>
  <c r="P59" i="3"/>
  <c r="E94" i="5" s="1"/>
  <c r="P55" i="3"/>
  <c r="E10" i="5" s="1"/>
  <c r="P43" i="3"/>
  <c r="E31" i="5" s="1"/>
  <c r="P39" i="3"/>
  <c r="E29" i="5" s="1"/>
  <c r="P35" i="3"/>
  <c r="E93" i="5" s="1"/>
  <c r="P23" i="3"/>
  <c r="E92" i="5" s="1"/>
  <c r="D52" i="5"/>
  <c r="D26" i="5"/>
  <c r="B32" i="5"/>
  <c r="B54" i="5"/>
  <c r="D76" i="5"/>
  <c r="P64" i="3"/>
  <c r="E59" i="5" s="1"/>
  <c r="D29" i="5"/>
  <c r="D114" i="5"/>
  <c r="D70" i="5"/>
  <c r="B29" i="5"/>
  <c r="S20" i="3"/>
  <c r="C99" i="5" s="1"/>
  <c r="S11" i="3"/>
  <c r="C26" i="5" s="1"/>
  <c r="B12" i="5"/>
  <c r="B8" i="5"/>
  <c r="B78" i="5"/>
  <c r="B125" i="5"/>
  <c r="B123" i="5"/>
  <c r="B105" i="5"/>
  <c r="B17" i="5"/>
  <c r="B41" i="5"/>
  <c r="B33" i="5"/>
  <c r="P106" i="3"/>
  <c r="E19" i="5" s="1"/>
  <c r="P102" i="3"/>
  <c r="E6" i="5" s="1"/>
  <c r="P98" i="3"/>
  <c r="E9" i="5" s="1"/>
  <c r="P135" i="3"/>
  <c r="P127" i="3"/>
  <c r="E127" i="5" s="1"/>
  <c r="B48" i="5"/>
  <c r="D24" i="5"/>
  <c r="B65" i="5"/>
  <c r="P132" i="3"/>
  <c r="P124" i="3"/>
  <c r="E78" i="5" s="1"/>
  <c r="P116" i="3"/>
  <c r="E17" i="5" s="1"/>
  <c r="D110" i="5"/>
  <c r="S103" i="3"/>
  <c r="C58" i="5" s="1"/>
  <c r="P133" i="3"/>
  <c r="P125" i="3"/>
  <c r="E84" i="5" s="1"/>
  <c r="P117" i="3"/>
  <c r="E43" i="5" s="1"/>
  <c r="B122" i="5"/>
  <c r="D48" i="5"/>
  <c r="P90" i="3"/>
  <c r="E23" i="5" s="1"/>
  <c r="P86" i="3"/>
  <c r="E108" i="5" s="1"/>
  <c r="P82" i="3"/>
  <c r="E75" i="5" s="1"/>
  <c r="S132" i="3"/>
  <c r="S124" i="3"/>
  <c r="C78" i="5" s="1"/>
  <c r="B104" i="5"/>
  <c r="P103" i="3"/>
  <c r="E58" i="5" s="1"/>
  <c r="S80" i="3"/>
  <c r="C67" i="5" s="1"/>
  <c r="S76" i="3"/>
  <c r="C98" i="5" s="1"/>
  <c r="D45" i="5"/>
  <c r="B87" i="5"/>
  <c r="B89" i="5"/>
  <c r="B80" i="5"/>
  <c r="B102" i="5"/>
  <c r="B85" i="5"/>
  <c r="B73" i="5"/>
  <c r="B11" i="5"/>
  <c r="B15" i="5"/>
  <c r="B106" i="5"/>
  <c r="B72" i="5"/>
  <c r="B38" i="5"/>
  <c r="B37" i="5"/>
  <c r="B71" i="5"/>
  <c r="B112" i="5"/>
  <c r="B50" i="5"/>
  <c r="B28" i="5"/>
  <c r="B111" i="5"/>
  <c r="D46" i="5"/>
  <c r="P60" i="3"/>
  <c r="E82" i="5" s="1"/>
  <c r="D63" i="5"/>
  <c r="D115" i="5"/>
  <c r="P28" i="3"/>
  <c r="E44" i="5" s="1"/>
  <c r="P20" i="3"/>
  <c r="E99" i="5" s="1"/>
  <c r="B116" i="5"/>
  <c r="B92" i="5"/>
  <c r="P14" i="3"/>
  <c r="E52" i="5" s="1"/>
  <c r="B101" i="5"/>
  <c r="B93" i="5"/>
  <c r="B20" i="5"/>
  <c r="S81" i="3"/>
  <c r="C21" i="5" s="1"/>
  <c r="S62" i="3"/>
  <c r="C102" i="5" s="1"/>
  <c r="P16" i="3"/>
  <c r="E60" i="5" s="1"/>
  <c r="B108" i="5"/>
  <c r="B107" i="5"/>
  <c r="D87" i="5"/>
  <c r="D89" i="5"/>
  <c r="D80" i="5"/>
  <c r="D102" i="5"/>
  <c r="D85" i="5"/>
  <c r="D73" i="5"/>
  <c r="D11" i="5"/>
  <c r="D15" i="5"/>
  <c r="D106" i="5"/>
  <c r="D72" i="5"/>
  <c r="D38" i="5"/>
  <c r="D37" i="5"/>
  <c r="D71" i="5"/>
  <c r="D112" i="5"/>
  <c r="D50" i="5"/>
  <c r="B18" i="5"/>
  <c r="D111" i="5"/>
  <c r="D32" i="5"/>
  <c r="P79" i="3"/>
  <c r="E40" i="5" s="1"/>
  <c r="D103" i="5"/>
  <c r="P62" i="3"/>
  <c r="E102" i="5" s="1"/>
  <c r="D55" i="5"/>
  <c r="P36" i="3"/>
  <c r="E13" i="5" s="1"/>
  <c r="D57" i="5"/>
  <c r="B55" i="5"/>
  <c r="S36" i="3"/>
  <c r="C13" i="5" s="1"/>
  <c r="S16" i="3"/>
  <c r="C60" i="5" s="1"/>
  <c r="P9" i="3"/>
  <c r="E62" i="5" s="1"/>
  <c r="D12" i="5"/>
  <c r="P65" i="3"/>
  <c r="E95" i="5" s="1"/>
  <c r="S27" i="3"/>
  <c r="C57" i="5" s="1"/>
  <c r="P8" i="3"/>
  <c r="E30" i="5" s="1"/>
  <c r="S83" i="3"/>
  <c r="C22" i="5" s="1"/>
  <c r="S19" i="3"/>
  <c r="C70" i="5" s="1"/>
  <c r="P118" i="3"/>
  <c r="E105" i="5" s="1"/>
  <c r="P126" i="3"/>
  <c r="E8" i="5" s="1"/>
  <c r="S85" i="3"/>
  <c r="C42" i="5" s="1"/>
  <c r="P80" i="3"/>
  <c r="E67" i="5" s="1"/>
  <c r="P88" i="3"/>
  <c r="E66" i="5" s="1"/>
  <c r="P92" i="3"/>
  <c r="E65" i="5" s="1"/>
  <c r="P112" i="3"/>
  <c r="E33" i="5" s="1"/>
  <c r="P120" i="3"/>
  <c r="E123" i="5" s="1"/>
  <c r="P128" i="3"/>
  <c r="E128" i="5" s="1"/>
  <c r="S97" i="3"/>
  <c r="C86" i="5" s="1"/>
  <c r="S126" i="3"/>
  <c r="C8" i="5" s="1"/>
  <c r="S134" i="3"/>
  <c r="S87" i="3"/>
  <c r="C81" i="5" s="1"/>
  <c r="S128" i="3"/>
  <c r="C128" i="5" s="1"/>
  <c r="P113" i="3"/>
  <c r="E77" i="5" s="1"/>
  <c r="P123" i="3"/>
  <c r="E126" i="5" s="1"/>
  <c r="S32" i="3"/>
  <c r="C39" i="5" s="1"/>
  <c r="S48" i="3"/>
  <c r="C117" i="5" s="1"/>
  <c r="S52" i="3"/>
  <c r="C118" i="5" s="1"/>
  <c r="S8" i="3"/>
  <c r="C30" i="5" s="1"/>
  <c r="S17" i="3"/>
  <c r="C88" i="5" s="1"/>
  <c r="S25" i="3"/>
  <c r="C113" i="5" s="1"/>
  <c r="S33" i="3"/>
  <c r="C68" i="5" s="1"/>
  <c r="S37" i="3"/>
  <c r="C115" i="5" s="1"/>
  <c r="S41" i="3"/>
  <c r="C79" i="5" s="1"/>
  <c r="S49" i="3"/>
  <c r="C97" i="5" s="1"/>
  <c r="S57" i="3"/>
  <c r="C119" i="5" s="1"/>
  <c r="S65" i="3"/>
  <c r="C95" i="5" s="1"/>
  <c r="S69" i="3"/>
  <c r="C51" i="5" s="1"/>
  <c r="S73" i="3"/>
  <c r="C76" i="5" s="1"/>
  <c r="S107" i="3"/>
  <c r="C109" i="5" s="1"/>
  <c r="S108" i="3"/>
  <c r="C69" i="5" s="1"/>
  <c r="S123" i="3"/>
  <c r="C126" i="5" s="1"/>
  <c r="S131" i="3"/>
  <c r="C131" i="5" s="1"/>
  <c r="S102" i="3"/>
  <c r="C6" i="5" s="1"/>
  <c r="S125" i="3"/>
  <c r="C84" i="5" s="1"/>
  <c r="S133" i="3"/>
  <c r="S84" i="3"/>
  <c r="C54" i="5" s="1"/>
  <c r="S105" i="3"/>
  <c r="C25" i="5" s="1"/>
  <c r="S63" i="3"/>
  <c r="C120" i="5" s="1"/>
  <c r="S71" i="3"/>
  <c r="C103" i="5" s="1"/>
  <c r="S90" i="3"/>
  <c r="C23" i="5" s="1"/>
  <c r="S136" i="3"/>
  <c r="S101" i="3"/>
  <c r="C53" i="5" s="1"/>
  <c r="P131" i="3"/>
  <c r="E131" i="5" s="1"/>
  <c r="P32" i="3"/>
  <c r="E39" i="5" s="1"/>
  <c r="P15" i="3"/>
  <c r="E28" i="5" s="1"/>
  <c r="P17" i="3"/>
  <c r="E88" i="5" s="1"/>
  <c r="P21" i="3"/>
  <c r="E20" i="5" s="1"/>
  <c r="P25" i="3"/>
  <c r="E113" i="5" s="1"/>
  <c r="P33" i="3"/>
  <c r="E68" i="5" s="1"/>
  <c r="P37" i="3"/>
  <c r="E115" i="5" s="1"/>
  <c r="P49" i="3"/>
  <c r="E97" i="5" s="1"/>
  <c r="P69" i="3"/>
  <c r="E51" i="5" s="1"/>
  <c r="P73" i="3"/>
  <c r="E76" i="5" s="1"/>
  <c r="P85" i="3"/>
  <c r="E42" i="5" s="1"/>
  <c r="P13" i="3"/>
  <c r="E18" i="5" s="1"/>
  <c r="P26" i="3"/>
  <c r="E71" i="5" s="1"/>
  <c r="P50" i="3"/>
  <c r="E11" i="5" s="1"/>
  <c r="P107" i="3"/>
  <c r="E109" i="5" s="1"/>
  <c r="P91" i="3"/>
  <c r="E7" i="5" s="1"/>
  <c r="P52" i="3"/>
  <c r="E118" i="5" s="1"/>
  <c r="P75" i="3"/>
  <c r="E121" i="5" s="1"/>
  <c r="P30" i="3"/>
  <c r="E37" i="5" s="1"/>
  <c r="P104" i="3"/>
  <c r="E122" i="5" s="1"/>
  <c r="A8" i="3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B1" i="1"/>
  <c r="D5" i="3" a="1"/>
  <c r="D8" i="3" a="1"/>
  <c r="C5" i="3" a="1"/>
  <c r="F6" i="3" a="1"/>
  <c r="F7" i="3" a="1"/>
  <c r="C7" i="3" a="1"/>
  <c r="D6" i="3" a="1"/>
  <c r="D7" i="3" a="1"/>
  <c r="C8" i="3" a="1"/>
  <c r="F5" i="3" a="1"/>
  <c r="B2" i="3" a="1"/>
  <c r="F8" i="3" a="1"/>
  <c r="C6" i="3" a="1"/>
  <c r="O3" i="3" l="1"/>
  <c r="B2" i="5" s="1"/>
  <c r="A4" i="5" s="1"/>
  <c r="P83" i="3"/>
  <c r="E22" i="5" s="1"/>
  <c r="P41" i="3"/>
  <c r="E79" i="5" s="1"/>
  <c r="S82" i="3"/>
  <c r="C75" i="5" s="1"/>
  <c r="S22" i="3"/>
  <c r="C112" i="5" s="1"/>
  <c r="P100" i="3"/>
  <c r="E48" i="5" s="1"/>
  <c r="P74" i="3"/>
  <c r="E87" i="5" s="1"/>
  <c r="P48" i="3"/>
  <c r="E117" i="5" s="1"/>
  <c r="P53" i="3"/>
  <c r="E55" i="5" s="1"/>
  <c r="P11" i="3"/>
  <c r="E26" i="5" s="1"/>
  <c r="S78" i="3"/>
  <c r="C107" i="5" s="1"/>
  <c r="P42" i="3"/>
  <c r="E106" i="5" s="1"/>
  <c r="P38" i="3"/>
  <c r="E72" i="5" s="1"/>
  <c r="P27" i="3"/>
  <c r="E57" i="5" s="1"/>
  <c r="P70" i="3"/>
  <c r="E89" i="5" s="1"/>
  <c r="S114" i="3"/>
  <c r="C41" i="5" s="1"/>
  <c r="S7" i="3"/>
  <c r="C32" i="5" s="1"/>
  <c r="P63" i="3"/>
  <c r="E120" i="5" s="1"/>
  <c r="S15" i="3"/>
  <c r="C28" i="5" s="1"/>
  <c r="S118" i="3"/>
  <c r="C105" i="5" s="1"/>
  <c r="S59" i="3"/>
  <c r="C94" i="5" s="1"/>
  <c r="P96" i="3"/>
  <c r="E24" i="5" s="1"/>
  <c r="P71" i="3"/>
  <c r="E103" i="5" s="1"/>
  <c r="P6" i="3"/>
  <c r="E12" i="5" s="1"/>
  <c r="P19" i="3"/>
  <c r="E70" i="5" s="1"/>
  <c r="S122" i="3"/>
  <c r="C125" i="5" s="1"/>
  <c r="S21" i="3"/>
  <c r="C20" i="5" s="1"/>
  <c r="S88" i="3"/>
  <c r="C66" i="5" s="1"/>
  <c r="P111" i="3"/>
  <c r="E56" i="5" s="1"/>
  <c r="P54" i="3"/>
  <c r="E73" i="5" s="1"/>
  <c r="P58" i="3"/>
  <c r="E85" i="5" s="1"/>
  <c r="P7" i="3"/>
  <c r="E32" i="5" s="1"/>
  <c r="S23" i="3"/>
  <c r="C92" i="5" s="1"/>
  <c r="S104" i="3"/>
  <c r="C122" i="5" s="1"/>
  <c r="S46" i="3"/>
  <c r="C15" i="5" s="1"/>
  <c r="P51" i="3"/>
  <c r="E101" i="5" s="1"/>
  <c r="P89" i="3"/>
  <c r="E49" i="5" s="1"/>
  <c r="S38" i="3"/>
  <c r="C72" i="5" s="1"/>
  <c r="P78" i="3"/>
  <c r="E107" i="5" s="1"/>
  <c r="P94" i="3"/>
  <c r="E91" i="5" s="1"/>
  <c r="P46" i="3"/>
  <c r="E15" i="5" s="1"/>
  <c r="P67" i="3"/>
  <c r="E46" i="5" s="1"/>
  <c r="P12" i="3"/>
  <c r="E27" i="5" s="1"/>
  <c r="P10" i="3"/>
  <c r="E111" i="5" s="1"/>
  <c r="S75" i="3"/>
  <c r="C121" i="5" s="1"/>
  <c r="S35" i="3"/>
  <c r="C93" i="5" s="1"/>
  <c r="S51" i="3"/>
  <c r="C101" i="5" s="1"/>
  <c r="S67" i="3"/>
  <c r="C46" i="5" s="1"/>
  <c r="S110" i="3"/>
  <c r="C110" i="5" s="1"/>
  <c r="P93" i="3"/>
  <c r="E100" i="5" s="1"/>
  <c r="S6" i="3"/>
  <c r="C12" i="5" s="1"/>
  <c r="P22" i="3"/>
  <c r="E112" i="5" s="1"/>
  <c r="S9" i="3"/>
  <c r="C62" i="5" s="1"/>
  <c r="S77" i="3"/>
  <c r="C47" i="5" s="1"/>
  <c r="S18" i="3"/>
  <c r="C50" i="5" s="1"/>
  <c r="P24" i="3"/>
  <c r="E34" i="5" s="1"/>
  <c r="P56" i="3"/>
  <c r="E90" i="5" s="1"/>
  <c r="S120" i="3"/>
  <c r="C123" i="5" s="1"/>
  <c r="P34" i="3"/>
  <c r="E38" i="5" s="1"/>
  <c r="P68" i="3"/>
  <c r="E96" i="5" s="1"/>
  <c r="P29" i="3"/>
  <c r="E114" i="5" s="1"/>
  <c r="P45" i="3"/>
  <c r="E63" i="5" s="1"/>
  <c r="P61" i="3"/>
  <c r="E74" i="5" s="1"/>
  <c r="P77" i="3"/>
  <c r="E47" i="5" s="1"/>
  <c r="S44" i="3"/>
  <c r="C83" i="5" s="1"/>
  <c r="S30" i="3"/>
  <c r="C37" i="5" s="1"/>
  <c r="S29" i="3"/>
  <c r="C114" i="5" s="1"/>
  <c r="S45" i="3"/>
  <c r="C63" i="5" s="1"/>
  <c r="S61" i="3"/>
  <c r="C74" i="5" s="1"/>
  <c r="S130" i="3"/>
  <c r="C130" i="5" s="1"/>
  <c r="P115" i="3"/>
  <c r="E35" i="5" s="1"/>
  <c r="P137" i="3"/>
  <c r="P134" i="3"/>
  <c r="P121" i="3"/>
  <c r="E124" i="5" s="1"/>
  <c r="P136" i="3"/>
  <c r="P129" i="3"/>
  <c r="E129" i="5" s="1"/>
  <c r="S26" i="3"/>
  <c r="C71" i="5" s="1"/>
  <c r="P108" i="3"/>
  <c r="E69" i="5" s="1"/>
  <c r="P40" i="3"/>
  <c r="E64" i="5" s="1"/>
  <c r="P110" i="3"/>
  <c r="E110" i="5" s="1"/>
  <c r="S79" i="3"/>
  <c r="C40" i="5" s="1"/>
  <c r="P84" i="3"/>
  <c r="E54" i="5" s="1"/>
  <c r="P81" i="3"/>
  <c r="E21" i="5" s="1"/>
  <c r="P119" i="3"/>
  <c r="E14" i="5" s="1"/>
  <c r="S89" i="3"/>
  <c r="C49" i="5" s="1"/>
  <c r="S95" i="3"/>
  <c r="C45" i="5" s="1"/>
  <c r="P87" i="3"/>
  <c r="E81" i="5" s="1"/>
  <c r="S92" i="3"/>
  <c r="C65" i="5" s="1"/>
  <c r="P99" i="3"/>
  <c r="E36" i="5" s="1"/>
  <c r="S24" i="3"/>
  <c r="C34" i="5" s="1"/>
  <c r="S40" i="3"/>
  <c r="C64" i="5" s="1"/>
  <c r="P95" i="3"/>
  <c r="E45" i="5" s="1"/>
  <c r="P72" i="3"/>
  <c r="E61" i="5" s="1"/>
  <c r="P66" i="3"/>
  <c r="E80" i="5" s="1"/>
  <c r="S47" i="3"/>
  <c r="C116" i="5" s="1"/>
  <c r="S109" i="3"/>
  <c r="C104" i="5" s="1"/>
  <c r="S12" i="3"/>
  <c r="C27" i="5" s="1"/>
  <c r="S112" i="3"/>
  <c r="C33" i="5" s="1"/>
  <c r="P105" i="3"/>
  <c r="E25" i="5" s="1"/>
  <c r="S106" i="3"/>
  <c r="C19" i="5" s="1"/>
  <c r="S137" i="3"/>
  <c r="S129" i="3"/>
  <c r="C129" i="5" s="1"/>
  <c r="P18" i="3"/>
  <c r="E50" i="5" s="1"/>
  <c r="P57" i="3"/>
  <c r="E119" i="5" s="1"/>
  <c r="S39" i="3"/>
  <c r="C29" i="5" s="1"/>
  <c r="S117" i="3"/>
  <c r="C43" i="5" s="1"/>
  <c r="S115" i="3"/>
  <c r="C35" i="5" s="1"/>
  <c r="S53" i="3"/>
  <c r="C55" i="5" s="1"/>
  <c r="S86" i="3"/>
  <c r="C108" i="5" s="1"/>
  <c r="S50" i="3"/>
  <c r="C11" i="5" s="1"/>
  <c r="S98" i="3"/>
  <c r="C9" i="5" s="1"/>
  <c r="S14" i="3"/>
  <c r="C52" i="5" s="1"/>
  <c r="S66" i="3"/>
  <c r="C80" i="5" s="1"/>
  <c r="S34" i="3"/>
  <c r="C38" i="5" s="1"/>
  <c r="P31" i="3"/>
  <c r="E16" i="5" s="1"/>
  <c r="P47" i="3"/>
  <c r="E116" i="5" s="1"/>
  <c r="S56" i="3"/>
  <c r="C90" i="5" s="1"/>
  <c r="S72" i="3"/>
  <c r="C61" i="5" s="1"/>
  <c r="S58" i="3"/>
  <c r="C85" i="5" s="1"/>
  <c r="S74" i="3"/>
  <c r="C87" i="5" s="1"/>
  <c r="S116" i="3"/>
  <c r="C17" i="5" s="1"/>
  <c r="S64" i="3"/>
  <c r="C59" i="5" s="1"/>
  <c r="S13" i="3"/>
  <c r="C18" i="5" s="1"/>
  <c r="S100" i="3"/>
  <c r="C48" i="5" s="1"/>
  <c r="P44" i="3"/>
  <c r="E83" i="5" s="1"/>
  <c r="S54" i="3"/>
  <c r="C73" i="5" s="1"/>
  <c r="S70" i="3"/>
  <c r="C89" i="5" s="1"/>
  <c r="S10" i="3"/>
  <c r="C111" i="5" s="1"/>
  <c r="S119" i="3"/>
  <c r="C14" i="5" s="1"/>
  <c r="S60" i="3"/>
  <c r="C82" i="5" s="1"/>
  <c r="S28" i="3"/>
  <c r="C44" i="5" s="1"/>
  <c r="S94" i="3"/>
  <c r="C91" i="5" s="1"/>
  <c r="P130" i="3"/>
  <c r="E130" i="5" s="1"/>
  <c r="P109" i="3"/>
  <c r="E104" i="5" s="1"/>
  <c r="S121" i="3"/>
  <c r="C124" i="5" s="1"/>
  <c r="S113" i="3"/>
  <c r="C77" i="5" s="1"/>
  <c r="S42" i="3"/>
  <c r="C106" i="5" s="1"/>
  <c r="P122" i="3"/>
  <c r="E125" i="5" s="1"/>
  <c r="A9" i="3"/>
  <c r="B8" i="3"/>
  <c r="A95" i="4" s="1"/>
  <c r="C5" i="3"/>
  <c r="F8" i="3"/>
  <c r="D8" i="3"/>
  <c r="C6" i="3"/>
  <c r="D5" i="3"/>
  <c r="F7" i="3"/>
  <c r="F6" i="3"/>
  <c r="D7" i="3"/>
  <c r="F5" i="3"/>
  <c r="D6" i="3"/>
  <c r="B2" i="3"/>
  <c r="C7" i="3"/>
  <c r="C8" i="3"/>
  <c r="C9" i="3" a="1"/>
  <c r="F9" i="3" a="1"/>
  <c r="D9" i="3" a="1"/>
  <c r="B1" i="4" l="1"/>
  <c r="A4" i="4" s="1"/>
  <c r="D9" i="3"/>
  <c r="C9" i="3"/>
  <c r="F9" i="3"/>
  <c r="A10" i="3"/>
  <c r="B9" i="3"/>
  <c r="A102" i="4" s="1"/>
  <c r="B95" i="4"/>
  <c r="E95" i="4" s="1"/>
  <c r="B44" i="4"/>
  <c r="E44" i="4" s="1"/>
  <c r="B17" i="4"/>
  <c r="E17" i="4" s="1"/>
  <c r="E5" i="3"/>
  <c r="C13" i="4"/>
  <c r="C95" i="4"/>
  <c r="E8" i="3"/>
  <c r="B13" i="4"/>
  <c r="E13" i="4" s="1"/>
  <c r="E6" i="3"/>
  <c r="C17" i="4"/>
  <c r="C44" i="4"/>
  <c r="E7" i="3"/>
  <c r="C10" i="3" a="1"/>
  <c r="F10" i="3" a="1"/>
  <c r="D10" i="3" a="1"/>
  <c r="D95" i="4" l="1"/>
  <c r="D17" i="4"/>
  <c r="B102" i="4"/>
  <c r="E102" i="4" s="1"/>
  <c r="D44" i="4"/>
  <c r="D13" i="4"/>
  <c r="C102" i="4"/>
  <c r="E9" i="3"/>
  <c r="F10" i="3"/>
  <c r="D10" i="3"/>
  <c r="C10" i="3"/>
  <c r="A11" i="3"/>
  <c r="B10" i="3"/>
  <c r="A34" i="4" s="1"/>
  <c r="D11" i="3" a="1"/>
  <c r="C11" i="3" a="1"/>
  <c r="F11" i="3" a="1"/>
  <c r="D102" i="4" l="1"/>
  <c r="B34" i="4"/>
  <c r="E34" i="4" s="1"/>
  <c r="C11" i="3"/>
  <c r="D11" i="3"/>
  <c r="F11" i="3"/>
  <c r="A12" i="3"/>
  <c r="B11" i="3"/>
  <c r="A43" i="4" s="1"/>
  <c r="E10" i="3"/>
  <c r="C34" i="4"/>
  <c r="C12" i="3" a="1"/>
  <c r="F12" i="3" a="1"/>
  <c r="D12" i="3" a="1"/>
  <c r="D34" i="4" l="1"/>
  <c r="B43" i="4"/>
  <c r="E43" i="4" s="1"/>
  <c r="D12" i="3"/>
  <c r="F12" i="3"/>
  <c r="C12" i="3"/>
  <c r="A13" i="3"/>
  <c r="B12" i="3"/>
  <c r="A24" i="4" s="1"/>
  <c r="E11" i="3"/>
  <c r="C43" i="4"/>
  <c r="C13" i="3" a="1"/>
  <c r="F13" i="3" a="1"/>
  <c r="D13" i="3" a="1"/>
  <c r="D43" i="4" l="1"/>
  <c r="B24" i="4"/>
  <c r="E24" i="4" s="1"/>
  <c r="C13" i="3"/>
  <c r="D13" i="3"/>
  <c r="F13" i="3"/>
  <c r="A14" i="3"/>
  <c r="B13" i="3"/>
  <c r="A41" i="4" s="1"/>
  <c r="C24" i="4"/>
  <c r="E12" i="3"/>
  <c r="D14" i="3" a="1"/>
  <c r="C14" i="3" a="1"/>
  <c r="F14" i="3" a="1"/>
  <c r="B41" i="4" l="1"/>
  <c r="E41" i="4" s="1"/>
  <c r="D24" i="4"/>
  <c r="D14" i="3"/>
  <c r="F14" i="3"/>
  <c r="C14" i="3"/>
  <c r="E13" i="3"/>
  <c r="C41" i="4"/>
  <c r="A15" i="3"/>
  <c r="B14" i="3"/>
  <c r="A37" i="4" s="1"/>
  <c r="C15" i="3" a="1"/>
  <c r="F15" i="3" a="1"/>
  <c r="D15" i="3" a="1"/>
  <c r="B37" i="4" l="1"/>
  <c r="E37" i="4" s="1"/>
  <c r="D41" i="4"/>
  <c r="C15" i="3"/>
  <c r="D15" i="3"/>
  <c r="F15" i="3"/>
  <c r="A16" i="3"/>
  <c r="B15" i="3"/>
  <c r="A80" i="4" s="1"/>
  <c r="E14" i="3"/>
  <c r="C37" i="4"/>
  <c r="F16" i="3" a="1"/>
  <c r="D16" i="3" a="1"/>
  <c r="C16" i="3" a="1"/>
  <c r="B80" i="4" l="1"/>
  <c r="E80" i="4" s="1"/>
  <c r="D37" i="4"/>
  <c r="C16" i="3"/>
  <c r="D16" i="3"/>
  <c r="F16" i="3"/>
  <c r="E15" i="3"/>
  <c r="C80" i="4"/>
  <c r="A17" i="3"/>
  <c r="B16" i="3"/>
  <c r="A78" i="4" s="1"/>
  <c r="F17" i="3" a="1"/>
  <c r="D17" i="3" a="1"/>
  <c r="C17" i="3" a="1"/>
  <c r="D80" i="4" l="1"/>
  <c r="B78" i="4"/>
  <c r="E78" i="4" s="1"/>
  <c r="D17" i="3"/>
  <c r="F17" i="3"/>
  <c r="C17" i="3"/>
  <c r="A18" i="3"/>
  <c r="B17" i="3"/>
  <c r="A63" i="4" s="1"/>
  <c r="E16" i="3"/>
  <c r="C78" i="4"/>
  <c r="F18" i="3" a="1"/>
  <c r="D18" i="3" a="1"/>
  <c r="C18" i="3" a="1"/>
  <c r="B63" i="4" l="1"/>
  <c r="E63" i="4" s="1"/>
  <c r="D78" i="4"/>
  <c r="D18" i="3"/>
  <c r="C18" i="3"/>
  <c r="F18" i="3"/>
  <c r="C63" i="4"/>
  <c r="E17" i="3"/>
  <c r="A19" i="3"/>
  <c r="B18" i="3"/>
  <c r="A68" i="4" s="1"/>
  <c r="C19" i="3" a="1"/>
  <c r="D19" i="3" a="1"/>
  <c r="F19" i="3" a="1"/>
  <c r="B68" i="4" l="1"/>
  <c r="E68" i="4" s="1"/>
  <c r="D63" i="4"/>
  <c r="D19" i="3"/>
  <c r="C19" i="3"/>
  <c r="F19" i="3"/>
  <c r="A20" i="3"/>
  <c r="B19" i="3"/>
  <c r="A92" i="4" s="1"/>
  <c r="C68" i="4"/>
  <c r="E18" i="3"/>
  <c r="C20" i="3" a="1"/>
  <c r="D20" i="3" a="1"/>
  <c r="F20" i="3" a="1"/>
  <c r="B92" i="4" l="1"/>
  <c r="E92" i="4" s="1"/>
  <c r="D68" i="4"/>
  <c r="F20" i="3"/>
  <c r="D20" i="3"/>
  <c r="C20" i="3"/>
  <c r="E19" i="3"/>
  <c r="C92" i="4"/>
  <c r="A21" i="3"/>
  <c r="B20" i="3"/>
  <c r="A16" i="4" s="1"/>
  <c r="C21" i="3" a="1"/>
  <c r="D21" i="3" a="1"/>
  <c r="F21" i="3" a="1"/>
  <c r="D92" i="4" l="1"/>
  <c r="B16" i="4"/>
  <c r="E16" i="4" s="1"/>
  <c r="F21" i="3"/>
  <c r="D21" i="3"/>
  <c r="C21" i="3"/>
  <c r="A22" i="3"/>
  <c r="B21" i="3"/>
  <c r="A96" i="4" s="1"/>
  <c r="E20" i="3"/>
  <c r="C16" i="4"/>
  <c r="D22" i="3" a="1"/>
  <c r="C22" i="3" a="1"/>
  <c r="F22" i="3" a="1"/>
  <c r="B96" i="4" l="1"/>
  <c r="E96" i="4" s="1"/>
  <c r="D16" i="4"/>
  <c r="D22" i="3"/>
  <c r="F22" i="3"/>
  <c r="C22" i="3"/>
  <c r="E21" i="3"/>
  <c r="C96" i="4"/>
  <c r="A23" i="3"/>
  <c r="B22" i="3"/>
  <c r="A118" i="4" s="1"/>
  <c r="F23" i="3" a="1"/>
  <c r="C23" i="3" a="1"/>
  <c r="D23" i="3" a="1"/>
  <c r="D96" i="4" l="1"/>
  <c r="B118" i="4"/>
  <c r="E118" i="4" s="1"/>
  <c r="F23" i="3"/>
  <c r="D23" i="3"/>
  <c r="C23" i="3"/>
  <c r="A24" i="3"/>
  <c r="B23" i="3"/>
  <c r="A35" i="4" s="1"/>
  <c r="C118" i="4"/>
  <c r="E22" i="3"/>
  <c r="C24" i="3" a="1"/>
  <c r="F24" i="3" a="1"/>
  <c r="D24" i="3" a="1"/>
  <c r="B35" i="4" l="1"/>
  <c r="E35" i="4" s="1"/>
  <c r="D118" i="4"/>
  <c r="C24" i="3"/>
  <c r="D24" i="3"/>
  <c r="F24" i="3"/>
  <c r="E23" i="3"/>
  <c r="C35" i="4"/>
  <c r="A25" i="3"/>
  <c r="B24" i="3"/>
  <c r="A113" i="4" s="1"/>
  <c r="F25" i="3" a="1"/>
  <c r="D25" i="3" a="1"/>
  <c r="C25" i="3" a="1"/>
  <c r="B113" i="4" l="1"/>
  <c r="E113" i="4" s="1"/>
  <c r="D35" i="4"/>
  <c r="F25" i="3"/>
  <c r="C25" i="3"/>
  <c r="D25" i="3"/>
  <c r="A26" i="3"/>
  <c r="B25" i="3"/>
  <c r="A70" i="4" s="1"/>
  <c r="E24" i="3"/>
  <c r="C113" i="4"/>
  <c r="F26" i="3" a="1"/>
  <c r="C26" i="3" a="1"/>
  <c r="D26" i="3" a="1"/>
  <c r="D113" i="4" l="1"/>
  <c r="B70" i="4"/>
  <c r="E70" i="4" s="1"/>
  <c r="F26" i="3"/>
  <c r="D26" i="3"/>
  <c r="C26" i="3"/>
  <c r="A27" i="3"/>
  <c r="B26" i="3"/>
  <c r="A65" i="4" s="1"/>
  <c r="E25" i="3"/>
  <c r="C70" i="4"/>
  <c r="C27" i="3" a="1"/>
  <c r="F27" i="3" a="1"/>
  <c r="D27" i="3" a="1"/>
  <c r="D70" i="4" l="1"/>
  <c r="B65" i="4"/>
  <c r="E65" i="4" s="1"/>
  <c r="C27" i="3"/>
  <c r="D27" i="3"/>
  <c r="F27" i="3"/>
  <c r="C65" i="4"/>
  <c r="E26" i="3"/>
  <c r="A28" i="3"/>
  <c r="B27" i="3"/>
  <c r="A48" i="4" s="1"/>
  <c r="C28" i="3" a="1"/>
  <c r="F28" i="3" a="1"/>
  <c r="D28" i="3" a="1"/>
  <c r="D65" i="4" l="1"/>
  <c r="B48" i="4"/>
  <c r="E48" i="4" s="1"/>
  <c r="C28" i="3"/>
  <c r="D28" i="3"/>
  <c r="F28" i="3"/>
  <c r="A29" i="3"/>
  <c r="B28" i="3"/>
  <c r="A119" i="4" s="1"/>
  <c r="E27" i="3"/>
  <c r="C48" i="4"/>
  <c r="F29" i="3" a="1"/>
  <c r="C29" i="3" a="1"/>
  <c r="D29" i="3" a="1"/>
  <c r="D48" i="4" l="1"/>
  <c r="B119" i="4"/>
  <c r="E119" i="4" s="1"/>
  <c r="F29" i="3"/>
  <c r="D29" i="3"/>
  <c r="C29" i="3"/>
  <c r="A30" i="3"/>
  <c r="B29" i="3"/>
  <c r="A42" i="4" s="1"/>
  <c r="E28" i="3"/>
  <c r="C119" i="4"/>
  <c r="C30" i="3" a="1"/>
  <c r="F30" i="3" a="1"/>
  <c r="D30" i="3" a="1"/>
  <c r="B42" i="4" l="1"/>
  <c r="E42" i="4" s="1"/>
  <c r="D119" i="4"/>
  <c r="D30" i="3"/>
  <c r="F30" i="3"/>
  <c r="C30" i="3"/>
  <c r="A31" i="3"/>
  <c r="B30" i="3"/>
  <c r="A28" i="4" s="1"/>
  <c r="E29" i="3"/>
  <c r="C42" i="4"/>
  <c r="D31" i="3" a="1"/>
  <c r="F31" i="3" a="1"/>
  <c r="C31" i="3" a="1"/>
  <c r="D42" i="4" l="1"/>
  <c r="B28" i="4"/>
  <c r="E28" i="4" s="1"/>
  <c r="C31" i="3"/>
  <c r="F31" i="3"/>
  <c r="D31" i="3"/>
  <c r="A32" i="3"/>
  <c r="B31" i="3"/>
  <c r="A38" i="4" s="1"/>
  <c r="E30" i="3"/>
  <c r="C28" i="4"/>
  <c r="F32" i="3" a="1"/>
  <c r="D32" i="3" a="1"/>
  <c r="C32" i="3" a="1"/>
  <c r="D28" i="4" l="1"/>
  <c r="B38" i="4"/>
  <c r="E38" i="4" s="1"/>
  <c r="D32" i="3"/>
  <c r="C32" i="3"/>
  <c r="F32" i="3"/>
  <c r="C38" i="4"/>
  <c r="E31" i="3"/>
  <c r="A33" i="3"/>
  <c r="B32" i="3"/>
  <c r="A53" i="4" s="1"/>
  <c r="C33" i="3" a="1"/>
  <c r="D33" i="3" a="1"/>
  <c r="F33" i="3" a="1"/>
  <c r="B53" i="4" l="1"/>
  <c r="E53" i="4" s="1"/>
  <c r="D38" i="4"/>
  <c r="F33" i="3"/>
  <c r="D33" i="3"/>
  <c r="C33" i="3"/>
  <c r="A34" i="3"/>
  <c r="B33" i="3"/>
  <c r="A51" i="4" s="1"/>
  <c r="C53" i="4"/>
  <c r="E32" i="3"/>
  <c r="D34" i="3" a="1"/>
  <c r="F34" i="3" a="1"/>
  <c r="C34" i="3" a="1"/>
  <c r="D53" i="4" l="1"/>
  <c r="B51" i="4"/>
  <c r="E51" i="4" s="1"/>
  <c r="C34" i="3"/>
  <c r="F34" i="3"/>
  <c r="D34" i="3"/>
  <c r="A35" i="3"/>
  <c r="B34" i="3"/>
  <c r="A110" i="4" s="1"/>
  <c r="E33" i="3"/>
  <c r="C51" i="4"/>
  <c r="C35" i="3" a="1"/>
  <c r="D35" i="3" a="1"/>
  <c r="F35" i="3" a="1"/>
  <c r="D51" i="4" l="1"/>
  <c r="B110" i="4"/>
  <c r="E110" i="4" s="1"/>
  <c r="C35" i="3"/>
  <c r="F35" i="3"/>
  <c r="D35" i="3"/>
  <c r="C110" i="4"/>
  <c r="E34" i="3"/>
  <c r="A36" i="3"/>
  <c r="B35" i="3"/>
  <c r="A14" i="4" s="1"/>
  <c r="F36" i="3" a="1"/>
  <c r="C36" i="3" a="1"/>
  <c r="D36" i="3" a="1"/>
  <c r="B14" i="4" l="1"/>
  <c r="E14" i="4" s="1"/>
  <c r="D110" i="4"/>
  <c r="D36" i="3"/>
  <c r="C36" i="3"/>
  <c r="F36" i="3"/>
  <c r="A37" i="3"/>
  <c r="B36" i="3"/>
  <c r="A97" i="4" s="1"/>
  <c r="E35" i="3"/>
  <c r="C14" i="4"/>
  <c r="F37" i="3" a="1"/>
  <c r="C37" i="3" a="1"/>
  <c r="D37" i="3" a="1"/>
  <c r="D14" i="4" l="1"/>
  <c r="B97" i="4"/>
  <c r="E97" i="4" s="1"/>
  <c r="D37" i="3"/>
  <c r="C37" i="3"/>
  <c r="F37" i="3"/>
  <c r="A38" i="3"/>
  <c r="B37" i="3"/>
  <c r="A88" i="4" s="1"/>
  <c r="E36" i="3"/>
  <c r="C97" i="4"/>
  <c r="C38" i="3" a="1"/>
  <c r="D38" i="3" a="1"/>
  <c r="F38" i="3" a="1"/>
  <c r="D97" i="4" l="1"/>
  <c r="B88" i="4"/>
  <c r="E88" i="4" s="1"/>
  <c r="D38" i="3"/>
  <c r="C38" i="3"/>
  <c r="F38" i="3"/>
  <c r="A39" i="3"/>
  <c r="B38" i="3"/>
  <c r="A32" i="4" s="1"/>
  <c r="C88" i="4"/>
  <c r="E37" i="3"/>
  <c r="C39" i="3" a="1"/>
  <c r="D39" i="3" a="1"/>
  <c r="F39" i="3" a="1"/>
  <c r="B32" i="4" l="1"/>
  <c r="E32" i="4" s="1"/>
  <c r="D88" i="4"/>
  <c r="F39" i="3"/>
  <c r="D39" i="3"/>
  <c r="C39" i="3"/>
  <c r="C32" i="4"/>
  <c r="E38" i="3"/>
  <c r="A40" i="3"/>
  <c r="B39" i="3"/>
  <c r="A66" i="4" s="1"/>
  <c r="F40" i="3" a="1"/>
  <c r="C40" i="3" a="1"/>
  <c r="D40" i="3" a="1"/>
  <c r="D32" i="4" l="1"/>
  <c r="B66" i="4"/>
  <c r="E66" i="4" s="1"/>
  <c r="F40" i="3"/>
  <c r="D40" i="3"/>
  <c r="C40" i="3"/>
  <c r="A41" i="3"/>
  <c r="B40" i="3"/>
  <c r="A98" i="4" s="1"/>
  <c r="E39" i="3"/>
  <c r="C66" i="4"/>
  <c r="D41" i="3" a="1"/>
  <c r="F41" i="3" a="1"/>
  <c r="C41" i="3" a="1"/>
  <c r="D66" i="4" l="1"/>
  <c r="B98" i="4"/>
  <c r="E98" i="4" s="1"/>
  <c r="C41" i="3"/>
  <c r="D41" i="3"/>
  <c r="F41" i="3"/>
  <c r="A42" i="3"/>
  <c r="B41" i="3"/>
  <c r="A109" i="4" s="1"/>
  <c r="E40" i="3"/>
  <c r="C98" i="4"/>
  <c r="D42" i="3" a="1"/>
  <c r="F42" i="3" a="1"/>
  <c r="C42" i="3" a="1"/>
  <c r="D98" i="4" l="1"/>
  <c r="B109" i="4"/>
  <c r="E109" i="4" s="1"/>
  <c r="D42" i="3"/>
  <c r="F42" i="3"/>
  <c r="C42" i="3"/>
  <c r="C109" i="4"/>
  <c r="E41" i="3"/>
  <c r="A43" i="3"/>
  <c r="B42" i="3"/>
  <c r="A27" i="4" s="1"/>
  <c r="C43" i="3" a="1"/>
  <c r="D43" i="3" a="1"/>
  <c r="F43" i="3" a="1"/>
  <c r="B27" i="4" l="1"/>
  <c r="E27" i="4" s="1"/>
  <c r="D109" i="4"/>
  <c r="F43" i="3"/>
  <c r="D43" i="3"/>
  <c r="C43" i="3"/>
  <c r="C27" i="4"/>
  <c r="E42" i="3"/>
  <c r="A44" i="3"/>
  <c r="B43" i="3"/>
  <c r="A91" i="4" s="1"/>
  <c r="D44" i="3" a="1"/>
  <c r="C44" i="3" a="1"/>
  <c r="F44" i="3" a="1"/>
  <c r="B91" i="4" l="1"/>
  <c r="E91" i="4" s="1"/>
  <c r="D27" i="4"/>
  <c r="D44" i="3"/>
  <c r="F44" i="3"/>
  <c r="C44" i="3"/>
  <c r="A45" i="3"/>
  <c r="B44" i="3"/>
  <c r="A75" i="4" s="1"/>
  <c r="C91" i="4"/>
  <c r="E43" i="3"/>
  <c r="D45" i="3" a="1"/>
  <c r="C45" i="3" a="1"/>
  <c r="F45" i="3" a="1"/>
  <c r="D91" i="4" l="1"/>
  <c r="B75" i="4"/>
  <c r="E75" i="4" s="1"/>
  <c r="D45" i="3"/>
  <c r="F45" i="3"/>
  <c r="C45" i="3"/>
  <c r="E44" i="3"/>
  <c r="C75" i="4"/>
  <c r="A46" i="3"/>
  <c r="B45" i="3"/>
  <c r="A18" i="4" s="1"/>
  <c r="D46" i="3" a="1"/>
  <c r="F46" i="3" a="1"/>
  <c r="C46" i="3" a="1"/>
  <c r="D75" i="4" l="1"/>
  <c r="B18" i="4"/>
  <c r="E18" i="4" s="1"/>
  <c r="C46" i="3"/>
  <c r="F46" i="3"/>
  <c r="D46" i="3"/>
  <c r="A47" i="3"/>
  <c r="B46" i="3"/>
  <c r="A105" i="4" s="1"/>
  <c r="E45" i="3"/>
  <c r="C18" i="4"/>
  <c r="C47" i="3" a="1"/>
  <c r="D47" i="3" a="1"/>
  <c r="F47" i="3" a="1"/>
  <c r="D18" i="4" l="1"/>
  <c r="B105" i="4"/>
  <c r="E105" i="4" s="1"/>
  <c r="F47" i="3"/>
  <c r="C47" i="3"/>
  <c r="D47" i="3"/>
  <c r="E46" i="3"/>
  <c r="C105" i="4"/>
  <c r="A48" i="3"/>
  <c r="B47" i="3"/>
  <c r="A120" i="4" s="1"/>
  <c r="D48" i="3" a="1"/>
  <c r="F48" i="3" a="1"/>
  <c r="C48" i="3" a="1"/>
  <c r="B120" i="4" l="1"/>
  <c r="E120" i="4" s="1"/>
  <c r="D105" i="4"/>
  <c r="D48" i="3"/>
  <c r="C48" i="3"/>
  <c r="F48" i="3"/>
  <c r="A49" i="3"/>
  <c r="B48" i="3"/>
  <c r="A6" i="4" s="1"/>
  <c r="C120" i="4"/>
  <c r="E47" i="3"/>
  <c r="D49" i="3" a="1"/>
  <c r="F49" i="3" a="1"/>
  <c r="C49" i="3" a="1"/>
  <c r="B6" i="4" l="1"/>
  <c r="E6" i="4" s="1"/>
  <c r="D120" i="4"/>
  <c r="D49" i="3"/>
  <c r="C49" i="3"/>
  <c r="F49" i="3"/>
  <c r="C6" i="4"/>
  <c r="E48" i="3"/>
  <c r="A50" i="3"/>
  <c r="B49" i="3"/>
  <c r="A21" i="4" s="1"/>
  <c r="D50" i="3" a="1"/>
  <c r="F50" i="3" a="1"/>
  <c r="C50" i="3" a="1"/>
  <c r="D6" i="4" l="1"/>
  <c r="B21" i="4"/>
  <c r="E21" i="4" s="1"/>
  <c r="C50" i="3"/>
  <c r="F50" i="3"/>
  <c r="D50" i="3"/>
  <c r="E49" i="3"/>
  <c r="C21" i="4"/>
  <c r="A51" i="3"/>
  <c r="B50" i="3"/>
  <c r="A67" i="4" s="1"/>
  <c r="C51" i="3" a="1"/>
  <c r="F51" i="3" a="1"/>
  <c r="D51" i="3" a="1"/>
  <c r="B67" i="4" l="1"/>
  <c r="E67" i="4" s="1"/>
  <c r="D21" i="4"/>
  <c r="C51" i="3"/>
  <c r="D51" i="3"/>
  <c r="F51" i="3"/>
  <c r="A52" i="3"/>
  <c r="B51" i="3"/>
  <c r="A85" i="4" s="1"/>
  <c r="E50" i="3"/>
  <c r="C67" i="4"/>
  <c r="C52" i="3" a="1"/>
  <c r="D52" i="3" a="1"/>
  <c r="F52" i="3" a="1"/>
  <c r="B85" i="4" l="1"/>
  <c r="E85" i="4" s="1"/>
  <c r="D67" i="4"/>
  <c r="C52" i="3"/>
  <c r="F52" i="3"/>
  <c r="D52" i="3"/>
  <c r="E51" i="3"/>
  <c r="C85" i="4"/>
  <c r="A53" i="3"/>
  <c r="B52" i="3"/>
  <c r="A52" i="4" s="1"/>
  <c r="D53" i="3" a="1"/>
  <c r="F53" i="3" a="1"/>
  <c r="C53" i="3" a="1"/>
  <c r="B52" i="4" l="1"/>
  <c r="E52" i="4" s="1"/>
  <c r="D85" i="4"/>
  <c r="F53" i="3"/>
  <c r="D53" i="3"/>
  <c r="C53" i="3"/>
  <c r="A54" i="3"/>
  <c r="B53" i="3"/>
  <c r="A79" i="4" s="1"/>
  <c r="E52" i="3"/>
  <c r="C52" i="4"/>
  <c r="C54" i="3" a="1"/>
  <c r="F54" i="3" a="1"/>
  <c r="D54" i="3" a="1"/>
  <c r="D52" i="4" l="1"/>
  <c r="B79" i="4"/>
  <c r="E79" i="4" s="1"/>
  <c r="D54" i="3"/>
  <c r="F54" i="3"/>
  <c r="C54" i="3"/>
  <c r="A55" i="3"/>
  <c r="B54" i="3"/>
  <c r="A8" i="4" s="1"/>
  <c r="E53" i="3"/>
  <c r="C79" i="4"/>
  <c r="F55" i="3" a="1"/>
  <c r="D55" i="3" a="1"/>
  <c r="C55" i="3" a="1"/>
  <c r="B8" i="4" l="1"/>
  <c r="E8" i="4" s="1"/>
  <c r="D79" i="4"/>
  <c r="C55" i="3"/>
  <c r="D55" i="3"/>
  <c r="F55" i="3"/>
  <c r="E54" i="3"/>
  <c r="C8" i="4"/>
  <c r="A56" i="3"/>
  <c r="B55" i="3"/>
  <c r="A101" i="4" s="1"/>
  <c r="D56" i="3" a="1"/>
  <c r="C56" i="3" a="1"/>
  <c r="F56" i="3" a="1"/>
  <c r="D8" i="4" l="1"/>
  <c r="B101" i="4"/>
  <c r="E101" i="4" s="1"/>
  <c r="C56" i="3"/>
  <c r="D56" i="3"/>
  <c r="F56" i="3"/>
  <c r="A57" i="3"/>
  <c r="B56" i="3"/>
  <c r="A121" i="4" s="1"/>
  <c r="E55" i="3"/>
  <c r="C101" i="4"/>
  <c r="D57" i="3" a="1"/>
  <c r="C57" i="3" a="1"/>
  <c r="F57" i="3" a="1"/>
  <c r="D101" i="4" l="1"/>
  <c r="B121" i="4"/>
  <c r="E121" i="4" s="1"/>
  <c r="F57" i="3"/>
  <c r="C57" i="3"/>
  <c r="D57" i="3"/>
  <c r="E56" i="3"/>
  <c r="C121" i="4"/>
  <c r="A58" i="3"/>
  <c r="B57" i="3"/>
  <c r="A73" i="4" s="1"/>
  <c r="C58" i="3" a="1"/>
  <c r="F58" i="3" a="1"/>
  <c r="D58" i="3" a="1"/>
  <c r="B73" i="4" l="1"/>
  <c r="E73" i="4" s="1"/>
  <c r="D121" i="4"/>
  <c r="C58" i="3"/>
  <c r="D58" i="3"/>
  <c r="F58" i="3"/>
  <c r="C73" i="4"/>
  <c r="E57" i="3"/>
  <c r="A59" i="3"/>
  <c r="B58" i="3"/>
  <c r="A114" i="4" s="1"/>
  <c r="D59" i="3" a="1"/>
  <c r="F59" i="3" a="1"/>
  <c r="C59" i="3" a="1"/>
  <c r="D73" i="4" l="1"/>
  <c r="B114" i="4"/>
  <c r="E114" i="4" s="1"/>
  <c r="D59" i="3"/>
  <c r="F59" i="3"/>
  <c r="C59" i="3"/>
  <c r="A60" i="3"/>
  <c r="B59" i="3"/>
  <c r="A61" i="4" s="1"/>
  <c r="E58" i="3"/>
  <c r="C114" i="4"/>
  <c r="D60" i="3" a="1"/>
  <c r="C60" i="3" a="1"/>
  <c r="F60" i="3" a="1"/>
  <c r="B61" i="4" l="1"/>
  <c r="E61" i="4" s="1"/>
  <c r="D114" i="4"/>
  <c r="F60" i="3"/>
  <c r="C60" i="3"/>
  <c r="D60" i="3"/>
  <c r="A61" i="3"/>
  <c r="B60" i="3"/>
  <c r="A99" i="4" s="1"/>
  <c r="C61" i="4"/>
  <c r="E59" i="3"/>
  <c r="C61" i="3" a="1"/>
  <c r="D61" i="3" a="1"/>
  <c r="F61" i="3" a="1"/>
  <c r="B99" i="4" l="1"/>
  <c r="E99" i="4" s="1"/>
  <c r="D61" i="4"/>
  <c r="D61" i="3"/>
  <c r="C61" i="3"/>
  <c r="F61" i="3"/>
  <c r="A62" i="3"/>
  <c r="B61" i="3"/>
  <c r="A94" i="4" s="1"/>
  <c r="E60" i="3"/>
  <c r="C99" i="4"/>
  <c r="F62" i="3" a="1"/>
  <c r="D62" i="3" a="1"/>
  <c r="C62" i="3" a="1"/>
  <c r="D99" i="4" l="1"/>
  <c r="B94" i="4"/>
  <c r="E94" i="4" s="1"/>
  <c r="F62" i="3"/>
  <c r="C62" i="3"/>
  <c r="D62" i="3"/>
  <c r="A63" i="3"/>
  <c r="B62" i="3"/>
  <c r="A122" i="4" s="1"/>
  <c r="E61" i="3"/>
  <c r="C94" i="4"/>
  <c r="C63" i="3" a="1"/>
  <c r="F63" i="3" a="1"/>
  <c r="D63" i="3" a="1"/>
  <c r="D94" i="4" l="1"/>
  <c r="B122" i="4"/>
  <c r="E122" i="4" s="1"/>
  <c r="C63" i="3"/>
  <c r="D63" i="3"/>
  <c r="F63" i="3"/>
  <c r="A64" i="3"/>
  <c r="B63" i="3"/>
  <c r="A39" i="4" s="1"/>
  <c r="E62" i="3"/>
  <c r="C122" i="4"/>
  <c r="F64" i="3" a="1"/>
  <c r="D64" i="3" a="1"/>
  <c r="C64" i="3" a="1"/>
  <c r="D122" i="4" l="1"/>
  <c r="B39" i="4"/>
  <c r="E39" i="4" s="1"/>
  <c r="F64" i="3"/>
  <c r="C64" i="3"/>
  <c r="D64" i="3"/>
  <c r="C39" i="4"/>
  <c r="E63" i="3"/>
  <c r="A65" i="3"/>
  <c r="B64" i="3"/>
  <c r="A107" i="4" s="1"/>
  <c r="D65" i="3" a="1"/>
  <c r="F65" i="3" a="1"/>
  <c r="C65" i="3" a="1"/>
  <c r="B107" i="4" l="1"/>
  <c r="E107" i="4" s="1"/>
  <c r="D39" i="4"/>
  <c r="D65" i="3"/>
  <c r="C65" i="3"/>
  <c r="F65" i="3"/>
  <c r="E64" i="3"/>
  <c r="C107" i="4"/>
  <c r="A66" i="3"/>
  <c r="B65" i="3"/>
  <c r="A54" i="4" s="1"/>
  <c r="F66" i="3" a="1"/>
  <c r="C66" i="3" a="1"/>
  <c r="D66" i="3" a="1"/>
  <c r="B54" i="4" l="1"/>
  <c r="E54" i="4" s="1"/>
  <c r="D107" i="4"/>
  <c r="D66" i="3"/>
  <c r="C66" i="3"/>
  <c r="F66" i="3"/>
  <c r="A67" i="3"/>
  <c r="B66" i="3"/>
  <c r="A40" i="4" s="1"/>
  <c r="E65" i="3"/>
  <c r="C54" i="4"/>
  <c r="F67" i="3" a="1"/>
  <c r="D67" i="3" a="1"/>
  <c r="C67" i="3" a="1"/>
  <c r="D54" i="4" l="1"/>
  <c r="B40" i="4"/>
  <c r="E40" i="4" s="1"/>
  <c r="D67" i="3"/>
  <c r="F67" i="3"/>
  <c r="C67" i="3"/>
  <c r="E66" i="3"/>
  <c r="C40" i="4"/>
  <c r="A68" i="3"/>
  <c r="B67" i="3"/>
  <c r="A93" i="4" s="1"/>
  <c r="C68" i="3" a="1"/>
  <c r="F68" i="3" a="1"/>
  <c r="D68" i="3" a="1"/>
  <c r="D40" i="4" l="1"/>
  <c r="B93" i="4"/>
  <c r="E93" i="4" s="1"/>
  <c r="C68" i="3"/>
  <c r="D68" i="3"/>
  <c r="F68" i="3"/>
  <c r="A69" i="3"/>
  <c r="B68" i="3"/>
  <c r="A74" i="4" s="1"/>
  <c r="C93" i="4"/>
  <c r="E67" i="3"/>
  <c r="D69" i="3" a="1"/>
  <c r="F69" i="3" a="1"/>
  <c r="C69" i="3" a="1"/>
  <c r="B74" i="4" l="1"/>
  <c r="E74" i="4" s="1"/>
  <c r="D93" i="4"/>
  <c r="D69" i="3"/>
  <c r="C69" i="3"/>
  <c r="F69" i="3"/>
  <c r="A70" i="3"/>
  <c r="B69" i="3"/>
  <c r="A106" i="4" s="1"/>
  <c r="C74" i="4"/>
  <c r="E68" i="3"/>
  <c r="C70" i="3" a="1"/>
  <c r="D70" i="3" a="1"/>
  <c r="F70" i="3" a="1"/>
  <c r="D74" i="4" l="1"/>
  <c r="B106" i="4"/>
  <c r="E106" i="4" s="1"/>
  <c r="C70" i="3"/>
  <c r="D70" i="3"/>
  <c r="F70" i="3"/>
  <c r="A71" i="3"/>
  <c r="B70" i="3"/>
  <c r="A82" i="4" s="1"/>
  <c r="E69" i="3"/>
  <c r="C106" i="4"/>
  <c r="F71" i="3" a="1"/>
  <c r="D71" i="3" a="1"/>
  <c r="C71" i="3" a="1"/>
  <c r="D106" i="4" l="1"/>
  <c r="B82" i="4"/>
  <c r="E82" i="4" s="1"/>
  <c r="F71" i="3"/>
  <c r="D71" i="3"/>
  <c r="C71" i="3"/>
  <c r="A72" i="3"/>
  <c r="B71" i="3"/>
  <c r="A83" i="4" s="1"/>
  <c r="E70" i="3"/>
  <c r="C82" i="4"/>
  <c r="C72" i="3" a="1"/>
  <c r="D72" i="3" a="1"/>
  <c r="F72" i="3" a="1"/>
  <c r="B83" i="4" l="1"/>
  <c r="E83" i="4" s="1"/>
  <c r="D82" i="4"/>
  <c r="D72" i="3"/>
  <c r="C72" i="3"/>
  <c r="F72" i="3"/>
  <c r="A73" i="3"/>
  <c r="B72" i="3"/>
  <c r="A84" i="4" s="1"/>
  <c r="C83" i="4"/>
  <c r="E71" i="3"/>
  <c r="F73" i="3" a="1"/>
  <c r="D73" i="3" a="1"/>
  <c r="C73" i="3" a="1"/>
  <c r="D83" i="4" l="1"/>
  <c r="B84" i="4"/>
  <c r="E84" i="4" s="1"/>
  <c r="C73" i="3"/>
  <c r="D73" i="3"/>
  <c r="F73" i="3"/>
  <c r="E72" i="3"/>
  <c r="C84" i="4"/>
  <c r="A74" i="3"/>
  <c r="B73" i="3"/>
  <c r="A76" i="4" s="1"/>
  <c r="C74" i="3" a="1"/>
  <c r="D74" i="3" a="1"/>
  <c r="F74" i="3" a="1"/>
  <c r="B76" i="4" l="1"/>
  <c r="E76" i="4" s="1"/>
  <c r="D84" i="4"/>
  <c r="D74" i="3"/>
  <c r="C74" i="3"/>
  <c r="F74" i="3"/>
  <c r="A75" i="3"/>
  <c r="B74" i="3"/>
  <c r="A104" i="4" s="1"/>
  <c r="C76" i="4"/>
  <c r="E73" i="3"/>
  <c r="C75" i="3" a="1"/>
  <c r="D75" i="3" a="1"/>
  <c r="F75" i="3" a="1"/>
  <c r="D76" i="4" l="1"/>
  <c r="B104" i="4"/>
  <c r="E104" i="4" s="1"/>
  <c r="D75" i="3"/>
  <c r="C75" i="3"/>
  <c r="F75" i="3"/>
  <c r="A76" i="3"/>
  <c r="B75" i="3"/>
  <c r="A60" i="4" s="1"/>
  <c r="E74" i="3"/>
  <c r="C104" i="4"/>
  <c r="D76" i="3" a="1"/>
  <c r="F76" i="3" a="1"/>
  <c r="C76" i="3" a="1"/>
  <c r="D104" i="4" l="1"/>
  <c r="B60" i="4"/>
  <c r="E60" i="4" s="1"/>
  <c r="C76" i="3"/>
  <c r="F76" i="3"/>
  <c r="D76" i="3"/>
  <c r="C60" i="4"/>
  <c r="E75" i="3"/>
  <c r="A77" i="3"/>
  <c r="B76" i="3"/>
  <c r="A56" i="4" s="1"/>
  <c r="F77" i="3" a="1"/>
  <c r="D77" i="3" a="1"/>
  <c r="C77" i="3" a="1"/>
  <c r="D60" i="4" l="1"/>
  <c r="B56" i="4"/>
  <c r="E56" i="4" s="1"/>
  <c r="F77" i="3"/>
  <c r="C77" i="3"/>
  <c r="D77" i="3"/>
  <c r="A78" i="3"/>
  <c r="B77" i="3"/>
  <c r="A115" i="4" s="1"/>
  <c r="C56" i="4"/>
  <c r="E76" i="3"/>
  <c r="D78" i="3" a="1"/>
  <c r="F78" i="3" a="1"/>
  <c r="C78" i="3" a="1"/>
  <c r="D56" i="4" l="1"/>
  <c r="B115" i="4"/>
  <c r="E115" i="4" s="1"/>
  <c r="C78" i="3"/>
  <c r="F78" i="3"/>
  <c r="D78" i="3"/>
  <c r="C115" i="4"/>
  <c r="E77" i="3"/>
  <c r="A79" i="3"/>
  <c r="B78" i="3"/>
  <c r="A45" i="4" s="1"/>
  <c r="D79" i="3" a="1"/>
  <c r="F79" i="3" a="1"/>
  <c r="C79" i="3" a="1"/>
  <c r="D115" i="4" l="1"/>
  <c r="B45" i="4"/>
  <c r="E45" i="4" s="1"/>
  <c r="F79" i="3"/>
  <c r="D79" i="3"/>
  <c r="C79" i="3"/>
  <c r="A80" i="3"/>
  <c r="B79" i="3"/>
  <c r="A50" i="4" s="1"/>
  <c r="C45" i="4"/>
  <c r="E78" i="3"/>
  <c r="C80" i="3" a="1"/>
  <c r="D80" i="3" a="1"/>
  <c r="F80" i="3" a="1"/>
  <c r="B50" i="4" l="1"/>
  <c r="E50" i="4" s="1"/>
  <c r="D45" i="4"/>
  <c r="C80" i="3"/>
  <c r="F80" i="3"/>
  <c r="D80" i="3"/>
  <c r="A81" i="3"/>
  <c r="B80" i="3"/>
  <c r="A12" i="4" s="1"/>
  <c r="E79" i="3"/>
  <c r="C50" i="4"/>
  <c r="F81" i="3" a="1"/>
  <c r="C81" i="3" a="1"/>
  <c r="D81" i="3" a="1"/>
  <c r="D50" i="4" l="1"/>
  <c r="B12" i="4"/>
  <c r="E12" i="4" s="1"/>
  <c r="C81" i="3"/>
  <c r="F81" i="3"/>
  <c r="D81" i="3"/>
  <c r="A82" i="3"/>
  <c r="B81" i="3"/>
  <c r="A89" i="4" s="1"/>
  <c r="E80" i="3"/>
  <c r="C12" i="4"/>
  <c r="F82" i="3" a="1"/>
  <c r="D82" i="3" a="1"/>
  <c r="C82" i="3" a="1"/>
  <c r="B89" i="4" l="1"/>
  <c r="E89" i="4" s="1"/>
  <c r="D12" i="4"/>
  <c r="D82" i="3"/>
  <c r="F82" i="3"/>
  <c r="C82" i="3"/>
  <c r="A83" i="3"/>
  <c r="B82" i="3"/>
  <c r="A23" i="4" s="1"/>
  <c r="E81" i="3"/>
  <c r="C89" i="4"/>
  <c r="F83" i="3" a="1"/>
  <c r="D83" i="3" a="1"/>
  <c r="C83" i="3" a="1"/>
  <c r="D89" i="4" l="1"/>
  <c r="B23" i="4"/>
  <c r="E23" i="4" s="1"/>
  <c r="D83" i="3"/>
  <c r="F83" i="3"/>
  <c r="C83" i="3"/>
  <c r="A84" i="3"/>
  <c r="B83" i="3"/>
  <c r="A57" i="4" s="1"/>
  <c r="C23" i="4"/>
  <c r="E82" i="3"/>
  <c r="D84" i="3" a="1"/>
  <c r="F84" i="3" a="1"/>
  <c r="C84" i="3" a="1"/>
  <c r="D23" i="4" l="1"/>
  <c r="B57" i="4"/>
  <c r="E57" i="4" s="1"/>
  <c r="C84" i="3"/>
  <c r="F84" i="3"/>
  <c r="D84" i="3"/>
  <c r="E83" i="3"/>
  <c r="C57" i="4"/>
  <c r="A85" i="3"/>
  <c r="B84" i="3"/>
  <c r="A30" i="4" s="1"/>
  <c r="C85" i="3" a="1"/>
  <c r="D85" i="3" a="1"/>
  <c r="F85" i="3" a="1"/>
  <c r="B30" i="4" l="1"/>
  <c r="E30" i="4" s="1"/>
  <c r="D57" i="4"/>
  <c r="F85" i="3"/>
  <c r="D85" i="3"/>
  <c r="C85" i="3"/>
  <c r="E84" i="3"/>
  <c r="C30" i="4"/>
  <c r="A86" i="3"/>
  <c r="B85" i="3"/>
  <c r="A112" i="4" s="1"/>
  <c r="D86" i="3" a="1"/>
  <c r="C86" i="3" a="1"/>
  <c r="F86" i="3" a="1"/>
  <c r="B112" i="4" l="1"/>
  <c r="E112" i="4" s="1"/>
  <c r="D30" i="4"/>
  <c r="F86" i="3"/>
  <c r="C86" i="3"/>
  <c r="D86" i="3"/>
  <c r="A87" i="3"/>
  <c r="B86" i="3"/>
  <c r="A25" i="4" s="1"/>
  <c r="E85" i="3"/>
  <c r="C112" i="4"/>
  <c r="D87" i="3" a="1"/>
  <c r="C87" i="3" a="1"/>
  <c r="F87" i="3" a="1"/>
  <c r="D112" i="4" l="1"/>
  <c r="B25" i="4"/>
  <c r="E25" i="4" s="1"/>
  <c r="C87" i="3"/>
  <c r="D87" i="3"/>
  <c r="F87" i="3"/>
  <c r="C25" i="4"/>
  <c r="E86" i="3"/>
  <c r="A88" i="3"/>
  <c r="B87" i="3"/>
  <c r="A81" i="4" s="1"/>
  <c r="F88" i="3" a="1"/>
  <c r="D88" i="3" a="1"/>
  <c r="C88" i="3" a="1"/>
  <c r="D25" i="4" l="1"/>
  <c r="B81" i="4"/>
  <c r="E81" i="4" s="1"/>
  <c r="C88" i="3"/>
  <c r="D88" i="3"/>
  <c r="F88" i="3"/>
  <c r="A89" i="3"/>
  <c r="B88" i="3"/>
  <c r="A59" i="4" s="1"/>
  <c r="E87" i="3"/>
  <c r="C81" i="4"/>
  <c r="C89" i="3" a="1"/>
  <c r="D89" i="3" a="1"/>
  <c r="F89" i="3" a="1"/>
  <c r="D81" i="4" l="1"/>
  <c r="B59" i="4"/>
  <c r="E59" i="4" s="1"/>
  <c r="D89" i="3"/>
  <c r="C89" i="3"/>
  <c r="F89" i="3"/>
  <c r="A90" i="3"/>
  <c r="B89" i="3"/>
  <c r="A26" i="4" s="1"/>
  <c r="C59" i="4"/>
  <c r="E88" i="3"/>
  <c r="D90" i="3" a="1"/>
  <c r="F90" i="3" a="1"/>
  <c r="C90" i="3" a="1"/>
  <c r="B26" i="4" l="1"/>
  <c r="E26" i="4" s="1"/>
  <c r="D59" i="4"/>
  <c r="F90" i="3"/>
  <c r="D90" i="3"/>
  <c r="C90" i="3"/>
  <c r="E89" i="3"/>
  <c r="C26" i="4"/>
  <c r="A91" i="3"/>
  <c r="B90" i="3"/>
  <c r="A9" i="4" s="1"/>
  <c r="D91" i="3" a="1"/>
  <c r="F91" i="3" a="1"/>
  <c r="C91" i="3" a="1"/>
  <c r="B9" i="4" l="1"/>
  <c r="E9" i="4" s="1"/>
  <c r="D26" i="4"/>
  <c r="C91" i="3"/>
  <c r="F91" i="3"/>
  <c r="D91" i="3"/>
  <c r="A92" i="3"/>
  <c r="B91" i="3"/>
  <c r="A62" i="4" s="1"/>
  <c r="C9" i="4"/>
  <c r="E90" i="3"/>
  <c r="D92" i="3" a="1"/>
  <c r="C92" i="3" a="1"/>
  <c r="F92" i="3" a="1"/>
  <c r="B62" i="4" l="1"/>
  <c r="E62" i="4" s="1"/>
  <c r="D9" i="4"/>
  <c r="F92" i="3"/>
  <c r="C92" i="3"/>
  <c r="D92" i="3"/>
  <c r="E91" i="3"/>
  <c r="C62" i="4"/>
  <c r="A93" i="3"/>
  <c r="B92" i="3"/>
  <c r="A87" i="4" s="1"/>
  <c r="D93" i="3" a="1"/>
  <c r="F93" i="3" a="1"/>
  <c r="C93" i="3" a="1"/>
  <c r="B87" i="4" l="1"/>
  <c r="E87" i="4" s="1"/>
  <c r="D62" i="4"/>
  <c r="C93" i="3"/>
  <c r="F93" i="3"/>
  <c r="D93" i="3"/>
  <c r="A94" i="3"/>
  <c r="B93" i="3"/>
  <c r="A72" i="4" s="1"/>
  <c r="E92" i="3"/>
  <c r="C87" i="4"/>
  <c r="F94" i="3" a="1"/>
  <c r="D94" i="3" a="1"/>
  <c r="C94" i="3" a="1"/>
  <c r="D87" i="4" l="1"/>
  <c r="B72" i="4"/>
  <c r="E72" i="4" s="1"/>
  <c r="D94" i="3"/>
  <c r="F94" i="3"/>
  <c r="C94" i="3"/>
  <c r="E93" i="3"/>
  <c r="C72" i="4"/>
  <c r="A95" i="3"/>
  <c r="B94" i="3"/>
  <c r="A46" i="4" s="1"/>
  <c r="F95" i="3" a="1"/>
  <c r="D95" i="3" a="1"/>
  <c r="C95" i="3" a="1"/>
  <c r="D72" i="4" l="1"/>
  <c r="B46" i="4"/>
  <c r="E46" i="4" s="1"/>
  <c r="F95" i="3"/>
  <c r="C95" i="3"/>
  <c r="D95" i="3"/>
  <c r="A96" i="3"/>
  <c r="B95" i="3"/>
  <c r="A33" i="4" s="1"/>
  <c r="C46" i="4"/>
  <c r="E94" i="3"/>
  <c r="D96" i="3" a="1"/>
  <c r="F96" i="3" a="1"/>
  <c r="C96" i="3" a="1"/>
  <c r="B33" i="4" l="1"/>
  <c r="E33" i="4" s="1"/>
  <c r="D46" i="4"/>
  <c r="F96" i="3"/>
  <c r="D96" i="3"/>
  <c r="C96" i="3"/>
  <c r="E95" i="3"/>
  <c r="C33" i="4"/>
  <c r="A97" i="3"/>
  <c r="B96" i="3"/>
  <c r="A103" i="4" s="1"/>
  <c r="C97" i="3" a="1"/>
  <c r="F97" i="3" a="1"/>
  <c r="D97" i="3" a="1"/>
  <c r="D33" i="4" l="1"/>
  <c r="B103" i="4"/>
  <c r="E103" i="4" s="1"/>
  <c r="D97" i="3"/>
  <c r="F97" i="3"/>
  <c r="C97" i="3"/>
  <c r="A98" i="3"/>
  <c r="B97" i="3"/>
  <c r="A11" i="4" s="1"/>
  <c r="E96" i="3"/>
  <c r="C103" i="4"/>
  <c r="F98" i="3" a="1"/>
  <c r="D98" i="3" a="1"/>
  <c r="C98" i="3" a="1"/>
  <c r="D103" i="4" l="1"/>
  <c r="B11" i="4"/>
  <c r="E11" i="4" s="1"/>
  <c r="D98" i="3"/>
  <c r="F98" i="3"/>
  <c r="C98" i="3"/>
  <c r="E97" i="3"/>
  <c r="C11" i="4"/>
  <c r="A99" i="3"/>
  <c r="B98" i="3"/>
  <c r="A69" i="4" s="1"/>
  <c r="C99" i="3" a="1"/>
  <c r="D99" i="3" a="1"/>
  <c r="F99" i="3" a="1"/>
  <c r="B69" i="4" l="1"/>
  <c r="E69" i="4" s="1"/>
  <c r="D11" i="4"/>
  <c r="D99" i="3"/>
  <c r="C99" i="3"/>
  <c r="F99" i="3"/>
  <c r="A100" i="3"/>
  <c r="B99" i="3"/>
  <c r="A49" i="4" s="1"/>
  <c r="E98" i="3"/>
  <c r="C69" i="4"/>
  <c r="D100" i="3" a="1"/>
  <c r="F100" i="3" a="1"/>
  <c r="C100" i="3" a="1"/>
  <c r="D69" i="4" l="1"/>
  <c r="B49" i="4"/>
  <c r="E49" i="4" s="1"/>
  <c r="C100" i="3"/>
  <c r="F100" i="3"/>
  <c r="D100" i="3"/>
  <c r="C49" i="4"/>
  <c r="E99" i="3"/>
  <c r="A101" i="3"/>
  <c r="B100" i="3"/>
  <c r="A64" i="4" s="1"/>
  <c r="D101" i="3" a="1"/>
  <c r="F101" i="3" a="1"/>
  <c r="C101" i="3" a="1"/>
  <c r="D49" i="4" l="1"/>
  <c r="B64" i="4"/>
  <c r="E64" i="4" s="1"/>
  <c r="F101" i="3"/>
  <c r="D101" i="3"/>
  <c r="C101" i="3"/>
  <c r="A102" i="3"/>
  <c r="B101" i="3"/>
  <c r="A7" i="4" s="1"/>
  <c r="E100" i="3"/>
  <c r="C64" i="4"/>
  <c r="C102" i="3" a="1"/>
  <c r="F102" i="3" a="1"/>
  <c r="D102" i="3" a="1"/>
  <c r="B7" i="4" l="1"/>
  <c r="E7" i="4" s="1"/>
  <c r="D64" i="4"/>
  <c r="D102" i="3"/>
  <c r="F102" i="3"/>
  <c r="C102" i="3"/>
  <c r="E101" i="3"/>
  <c r="C7" i="4"/>
  <c r="A103" i="3"/>
  <c r="B102" i="3"/>
  <c r="A77" i="4" s="1"/>
  <c r="D103" i="3" a="1"/>
  <c r="C103" i="3" a="1"/>
  <c r="F103" i="3" a="1"/>
  <c r="D7" i="4" l="1"/>
  <c r="B77" i="4"/>
  <c r="E77" i="4" s="1"/>
  <c r="C103" i="3"/>
  <c r="D103" i="3"/>
  <c r="F103" i="3"/>
  <c r="A104" i="3"/>
  <c r="B103" i="3"/>
  <c r="A116" i="4" s="1"/>
  <c r="E102" i="3"/>
  <c r="C77" i="4"/>
  <c r="C104" i="3" a="1"/>
  <c r="D104" i="3" a="1"/>
  <c r="F104" i="3" a="1"/>
  <c r="D77" i="4" l="1"/>
  <c r="B116" i="4"/>
  <c r="E116" i="4" s="1"/>
  <c r="C104" i="3"/>
  <c r="D104" i="3"/>
  <c r="F104" i="3"/>
  <c r="C116" i="4"/>
  <c r="E103" i="3"/>
  <c r="A105" i="3"/>
  <c r="B104" i="3"/>
  <c r="A19" i="4" s="1"/>
  <c r="D105" i="3" a="1"/>
  <c r="F105" i="3" a="1"/>
  <c r="C105" i="3" a="1"/>
  <c r="D116" i="4" l="1"/>
  <c r="B19" i="4"/>
  <c r="E19" i="4" s="1"/>
  <c r="C105" i="3"/>
  <c r="F105" i="3"/>
  <c r="D105" i="3"/>
  <c r="A106" i="3"/>
  <c r="B105" i="3"/>
  <c r="A20" i="4" s="1"/>
  <c r="E104" i="3"/>
  <c r="C19" i="4"/>
  <c r="F106" i="3" a="1"/>
  <c r="D106" i="3" a="1"/>
  <c r="C106" i="3" a="1"/>
  <c r="D19" i="4" l="1"/>
  <c r="B20" i="4"/>
  <c r="E20" i="4" s="1"/>
  <c r="C106" i="3"/>
  <c r="F106" i="3"/>
  <c r="D106" i="3"/>
  <c r="C20" i="4"/>
  <c r="E105" i="3"/>
  <c r="A107" i="3"/>
  <c r="B106" i="3"/>
  <c r="A117" i="4" s="1"/>
  <c r="D107" i="3" a="1"/>
  <c r="C107" i="3" a="1"/>
  <c r="F107" i="3" a="1"/>
  <c r="D20" i="4" l="1"/>
  <c r="B117" i="4"/>
  <c r="E117" i="4" s="1"/>
  <c r="C107" i="3"/>
  <c r="D107" i="3"/>
  <c r="F107" i="3"/>
  <c r="A108" i="3"/>
  <c r="B107" i="3"/>
  <c r="A55" i="4" s="1"/>
  <c r="E106" i="3"/>
  <c r="C117" i="4"/>
  <c r="C108" i="3" a="1"/>
  <c r="D108" i="3" a="1"/>
  <c r="F108" i="3" a="1"/>
  <c r="D117" i="4" l="1"/>
  <c r="B55" i="4"/>
  <c r="E55" i="4" s="1"/>
  <c r="F108" i="3"/>
  <c r="D108" i="3"/>
  <c r="C108" i="3"/>
  <c r="C55" i="4"/>
  <c r="E107" i="3"/>
  <c r="A109" i="3"/>
  <c r="B108" i="3"/>
  <c r="A111" i="4" s="1"/>
  <c r="D109" i="3" a="1"/>
  <c r="F109" i="3" a="1"/>
  <c r="C109" i="3" a="1"/>
  <c r="B111" i="4" l="1"/>
  <c r="E111" i="4" s="1"/>
  <c r="D55" i="4"/>
  <c r="F109" i="3"/>
  <c r="D109" i="3"/>
  <c r="C109" i="3"/>
  <c r="A110" i="3"/>
  <c r="B109" i="3"/>
  <c r="A86" i="4" s="1"/>
  <c r="C111" i="4"/>
  <c r="E108" i="3"/>
  <c r="F110" i="3" a="1"/>
  <c r="D110" i="3" a="1"/>
  <c r="C110" i="3" a="1"/>
  <c r="D111" i="4" l="1"/>
  <c r="B86" i="4"/>
  <c r="E86" i="4" s="1"/>
  <c r="F110" i="3"/>
  <c r="C110" i="3"/>
  <c r="D110" i="3"/>
  <c r="E109" i="3"/>
  <c r="C86" i="4"/>
  <c r="A111" i="3"/>
  <c r="B110" i="3"/>
  <c r="A58" i="4" s="1"/>
  <c r="C111" i="3" a="1"/>
  <c r="D111" i="3" a="1"/>
  <c r="F111" i="3" a="1"/>
  <c r="D86" i="4" l="1"/>
  <c r="B58" i="4"/>
  <c r="E58" i="4" s="1"/>
  <c r="D111" i="3"/>
  <c r="C111" i="3"/>
  <c r="F111" i="3"/>
  <c r="E110" i="3"/>
  <c r="C58" i="4"/>
  <c r="A112" i="3"/>
  <c r="B111" i="3"/>
  <c r="A36" i="4" s="1"/>
  <c r="D112" i="3" a="1"/>
  <c r="C112" i="3" a="1"/>
  <c r="F112" i="3" a="1"/>
  <c r="B36" i="4" l="1"/>
  <c r="E36" i="4" s="1"/>
  <c r="D58" i="4"/>
  <c r="C112" i="3"/>
  <c r="D112" i="3"/>
  <c r="F112" i="3"/>
  <c r="A113" i="3"/>
  <c r="B112" i="3"/>
  <c r="A108" i="4" s="1"/>
  <c r="C36" i="4"/>
  <c r="E111" i="3"/>
  <c r="F113" i="3" a="1"/>
  <c r="C113" i="3" a="1"/>
  <c r="D113" i="3" a="1"/>
  <c r="B108" i="4" l="1"/>
  <c r="E108" i="4" s="1"/>
  <c r="D36" i="4"/>
  <c r="C113" i="3"/>
  <c r="F113" i="3"/>
  <c r="D113" i="3"/>
  <c r="E112" i="3"/>
  <c r="C108" i="4"/>
  <c r="A114" i="3"/>
  <c r="B113" i="3"/>
  <c r="A31" i="4" s="1"/>
  <c r="D114" i="3" a="1"/>
  <c r="F114" i="3" a="1"/>
  <c r="C114" i="3" a="1"/>
  <c r="B31" i="4" l="1"/>
  <c r="E31" i="4" s="1"/>
  <c r="D108" i="4"/>
  <c r="F114" i="3"/>
  <c r="D114" i="3"/>
  <c r="C114" i="3"/>
  <c r="A115" i="3"/>
  <c r="B114" i="3"/>
  <c r="A29" i="4" s="1"/>
  <c r="E113" i="3"/>
  <c r="C31" i="4"/>
  <c r="D115" i="3" a="1"/>
  <c r="F115" i="3" a="1"/>
  <c r="C115" i="3" a="1"/>
  <c r="D31" i="4" l="1"/>
  <c r="B29" i="4"/>
  <c r="E29" i="4" s="1"/>
  <c r="F115" i="3"/>
  <c r="D115" i="3"/>
  <c r="C115" i="3"/>
  <c r="E114" i="3"/>
  <c r="C29" i="4"/>
  <c r="A116" i="3"/>
  <c r="B115" i="3"/>
  <c r="A22" i="4" s="1"/>
  <c r="F116" i="3" a="1"/>
  <c r="C116" i="3" a="1"/>
  <c r="D116" i="3" a="1"/>
  <c r="D29" i="4" l="1"/>
  <c r="B22" i="4"/>
  <c r="E22" i="4" s="1"/>
  <c r="C116" i="3"/>
  <c r="F116" i="3"/>
  <c r="D116" i="3"/>
  <c r="A117" i="3"/>
  <c r="B116" i="3"/>
  <c r="A47" i="4" s="1"/>
  <c r="C22" i="4"/>
  <c r="E115" i="3"/>
  <c r="D117" i="3" a="1"/>
  <c r="C117" i="3" a="1"/>
  <c r="F117" i="3" a="1"/>
  <c r="B47" i="4" l="1"/>
  <c r="E47" i="4" s="1"/>
  <c r="D22" i="4"/>
  <c r="F117" i="3"/>
  <c r="C117" i="3"/>
  <c r="D117" i="3"/>
  <c r="A118" i="3"/>
  <c r="B117" i="3"/>
  <c r="A100" i="4" s="1"/>
  <c r="E116" i="3"/>
  <c r="C47" i="4"/>
  <c r="C118" i="3" a="1"/>
  <c r="D118" i="3" a="1"/>
  <c r="F118" i="3" a="1"/>
  <c r="D47" i="4" l="1"/>
  <c r="B100" i="4"/>
  <c r="E100" i="4" s="1"/>
  <c r="F118" i="3"/>
  <c r="D118" i="3"/>
  <c r="C118" i="3"/>
  <c r="E117" i="3"/>
  <c r="C100" i="4"/>
  <c r="A119" i="3"/>
  <c r="B118" i="3"/>
  <c r="A15" i="4" s="1"/>
  <c r="F119" i="3" a="1"/>
  <c r="D119" i="3" a="1"/>
  <c r="C119" i="3" a="1"/>
  <c r="D100" i="4" l="1"/>
  <c r="B15" i="4"/>
  <c r="E15" i="4" s="1"/>
  <c r="F119" i="3"/>
  <c r="D119" i="3"/>
  <c r="C119" i="3"/>
  <c r="A120" i="3"/>
  <c r="B119" i="3"/>
  <c r="A123" i="4" s="1"/>
  <c r="E118" i="3"/>
  <c r="C15" i="4"/>
  <c r="C120" i="3" a="1"/>
  <c r="D120" i="3" a="1"/>
  <c r="F120" i="3" a="1"/>
  <c r="B123" i="4" l="1"/>
  <c r="E123" i="4" s="1"/>
  <c r="D15" i="4"/>
  <c r="D120" i="3"/>
  <c r="C120" i="3"/>
  <c r="F120" i="3"/>
  <c r="E119" i="3"/>
  <c r="C123" i="4"/>
  <c r="B120" i="3"/>
  <c r="A124" i="4" s="1"/>
  <c r="A121" i="3"/>
  <c r="D121" i="3" a="1"/>
  <c r="F121" i="3" a="1"/>
  <c r="C121" i="3" a="1"/>
  <c r="B124" i="4" l="1"/>
  <c r="E124" i="4" s="1"/>
  <c r="D123" i="4"/>
  <c r="D121" i="3"/>
  <c r="C121" i="3"/>
  <c r="F121" i="3"/>
  <c r="A122" i="3"/>
  <c r="B121" i="3"/>
  <c r="A125" i="4" s="1"/>
  <c r="C124" i="4"/>
  <c r="E120" i="3"/>
  <c r="D122" i="3" a="1"/>
  <c r="F122" i="3" a="1"/>
  <c r="C122" i="3" a="1"/>
  <c r="D124" i="4" l="1"/>
  <c r="B125" i="4"/>
  <c r="E125" i="4" s="1"/>
  <c r="F122" i="3"/>
  <c r="C122" i="3"/>
  <c r="D122" i="3"/>
  <c r="E121" i="3"/>
  <c r="C125" i="4"/>
  <c r="A123" i="3"/>
  <c r="B122" i="3"/>
  <c r="A126" i="4" s="1"/>
  <c r="D123" i="3" a="1"/>
  <c r="F123" i="3" a="1"/>
  <c r="C123" i="3" a="1"/>
  <c r="B126" i="4" l="1"/>
  <c r="E126" i="4" s="1"/>
  <c r="D125" i="4"/>
  <c r="F123" i="3"/>
  <c r="D123" i="3"/>
  <c r="C123" i="3"/>
  <c r="C126" i="4"/>
  <c r="E122" i="3"/>
  <c r="A124" i="3"/>
  <c r="B123" i="3"/>
  <c r="A90" i="4" s="1"/>
  <c r="D124" i="3" a="1"/>
  <c r="F124" i="3" a="1"/>
  <c r="C124" i="3" a="1"/>
  <c r="B90" i="4" l="1"/>
  <c r="E90" i="4" s="1"/>
  <c r="D126" i="4"/>
  <c r="C124" i="3"/>
  <c r="F124" i="3"/>
  <c r="D124" i="3"/>
  <c r="A125" i="3"/>
  <c r="B124" i="3"/>
  <c r="A71" i="4" s="1"/>
  <c r="E123" i="3"/>
  <c r="C90" i="4"/>
  <c r="C125" i="3" a="1"/>
  <c r="D125" i="3" a="1"/>
  <c r="F125" i="3" a="1"/>
  <c r="D90" i="4" l="1"/>
  <c r="B71" i="4"/>
  <c r="E71" i="4" s="1"/>
  <c r="D125" i="3"/>
  <c r="C125" i="3"/>
  <c r="F125" i="3"/>
  <c r="A126" i="3"/>
  <c r="B125" i="3"/>
  <c r="E124" i="3"/>
  <c r="C71" i="4"/>
  <c r="F126" i="3" a="1"/>
  <c r="D126" i="3" a="1"/>
  <c r="C126" i="3" a="1"/>
  <c r="D71" i="4" l="1"/>
  <c r="B10" i="4"/>
  <c r="E10" i="4" s="1"/>
  <c r="A10" i="4"/>
  <c r="C126" i="3"/>
  <c r="D126" i="3"/>
  <c r="F126" i="3"/>
  <c r="C10" i="4"/>
  <c r="E125" i="3"/>
  <c r="A127" i="3"/>
  <c r="B126" i="3"/>
  <c r="C127" i="3" a="1"/>
  <c r="D127" i="3" a="1"/>
  <c r="F127" i="3" a="1"/>
  <c r="D10" i="4" l="1"/>
  <c r="B127" i="4"/>
  <c r="E127" i="4" s="1"/>
  <c r="A127" i="4"/>
  <c r="F127" i="3"/>
  <c r="D127" i="3"/>
  <c r="C127" i="3"/>
  <c r="A128" i="3"/>
  <c r="B127" i="3"/>
  <c r="E126" i="3"/>
  <c r="C127" i="4"/>
  <c r="F128" i="3" a="1"/>
  <c r="C128" i="3" a="1"/>
  <c r="D128" i="3" a="1"/>
  <c r="D127" i="4" l="1"/>
  <c r="B128" i="4"/>
  <c r="E128" i="4" s="1"/>
  <c r="A128" i="4"/>
  <c r="F128" i="3"/>
  <c r="C128" i="3"/>
  <c r="D128" i="3"/>
  <c r="C128" i="4"/>
  <c r="E127" i="3"/>
  <c r="A129" i="3"/>
  <c r="B128" i="3"/>
  <c r="F129" i="3" a="1"/>
  <c r="D129" i="3" a="1"/>
  <c r="C129" i="3" a="1"/>
  <c r="B129" i="4" l="1"/>
  <c r="E129" i="4" s="1"/>
  <c r="D128" i="4"/>
  <c r="A129" i="4"/>
  <c r="C129" i="3"/>
  <c r="D129" i="3"/>
  <c r="F129" i="3"/>
  <c r="E128" i="3"/>
  <c r="C129" i="4"/>
  <c r="A130" i="3"/>
  <c r="B129" i="3"/>
  <c r="D130" i="3" a="1"/>
  <c r="F130" i="3" a="1"/>
  <c r="C130" i="3" a="1"/>
  <c r="B130" i="4" l="1"/>
  <c r="E130" i="4" s="1"/>
  <c r="D129" i="4"/>
  <c r="A130" i="4"/>
  <c r="F130" i="3"/>
  <c r="D130" i="3"/>
  <c r="C130" i="3"/>
  <c r="A131" i="3"/>
  <c r="B130" i="3"/>
  <c r="C130" i="4"/>
  <c r="E129" i="3"/>
  <c r="C131" i="3" a="1"/>
  <c r="D131" i="3" a="1"/>
  <c r="F131" i="3" a="1"/>
  <c r="D130" i="4" l="1"/>
  <c r="B131" i="4"/>
  <c r="E131" i="4" s="1"/>
  <c r="A131" i="4"/>
  <c r="C131" i="3"/>
  <c r="F131" i="3"/>
  <c r="D131" i="3"/>
  <c r="A132" i="3"/>
  <c r="B131" i="3"/>
  <c r="C131" i="4"/>
  <c r="E130" i="3"/>
  <c r="C132" i="3" a="1"/>
  <c r="D132" i="3" a="1"/>
  <c r="F132" i="3" a="1"/>
  <c r="D131" i="4" l="1"/>
  <c r="E131" i="3"/>
  <c r="D132" i="3"/>
  <c r="C132" i="3"/>
  <c r="F132" i="3"/>
  <c r="A133" i="3"/>
  <c r="B132" i="3"/>
  <c r="D133" i="3" a="1"/>
  <c r="F133" i="3" a="1"/>
  <c r="C133" i="3" a="1"/>
  <c r="E132" i="3" l="1"/>
  <c r="F133" i="3"/>
  <c r="D133" i="3"/>
  <c r="C133" i="3"/>
  <c r="A134" i="3"/>
  <c r="B133" i="3"/>
  <c r="F134" i="3" a="1"/>
  <c r="D134" i="3" a="1"/>
  <c r="C134" i="3" a="1"/>
  <c r="D134" i="3" l="1"/>
  <c r="F134" i="3"/>
  <c r="C134" i="3"/>
  <c r="E133" i="3"/>
  <c r="A135" i="3"/>
  <c r="B134" i="3"/>
  <c r="D135" i="3" a="1"/>
  <c r="F135" i="3" a="1"/>
  <c r="C135" i="3" a="1"/>
  <c r="D135" i="3" l="1"/>
  <c r="C135" i="3"/>
  <c r="F135" i="3"/>
  <c r="A136" i="3"/>
  <c r="B135" i="3"/>
  <c r="E134" i="3"/>
  <c r="C136" i="3" a="1"/>
  <c r="D136" i="3" a="1"/>
  <c r="F136" i="3" a="1"/>
  <c r="E135" i="3" l="1"/>
  <c r="D136" i="3"/>
  <c r="C136" i="3"/>
  <c r="F136" i="3"/>
  <c r="B136" i="3"/>
  <c r="E136" i="3" l="1"/>
</calcChain>
</file>

<file path=xl/connections.xml><?xml version="1.0" encoding="utf-8"?>
<connections xmlns="http://schemas.openxmlformats.org/spreadsheetml/2006/main">
  <connection id="1" name="output_parsed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parsed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parsed1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parsed10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parsed10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parsed10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parsed10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parsed1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parsed1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parsed1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parsed13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utput_parsed13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utput_parsed13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output_parsed1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output_parsed1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output_parsed1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output_parsed1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output_parsed18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output_parsed18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output_parsed19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output_parsed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output_parsed20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output_parsed2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output_parsed2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output_parsed2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output_parsed2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output_parsed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output_parsed3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output_parsed3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output_parsed3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output_parsed3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utput_parsed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output_parsed4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output_parsed4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output_parsed4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utput_parsed4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output_parsed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output_parsed5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output_parsed5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output_parsed5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output_parsed5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output_parsed6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output_parsed6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output_parsed6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output_parsed6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output_parsed6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output_parsed7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output_parsed7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output_parsed7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output_parsed7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output_parsed7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output_parsed8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output_parsed8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output_parsed8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output_parsed8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output_parsed8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output_parsed9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output_parsed9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output_parsed9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output_parsed9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output_parsed9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<sst xmlns="http://schemas.openxmlformats.org/spreadsheetml/2006/main" count="778" uniqueCount="516">
  <si>
    <t>Match Id</t>
  </si>
  <si>
    <t>Time</t>
  </si>
  <si>
    <t>MMR</t>
  </si>
  <si>
    <t>Radiant_win</t>
  </si>
  <si>
    <t>Player_1</t>
  </si>
  <si>
    <t>Player_2</t>
  </si>
  <si>
    <t>Player_3</t>
  </si>
  <si>
    <t>Player_4</t>
  </si>
  <si>
    <t>Player_5</t>
  </si>
  <si>
    <t>Player_6</t>
  </si>
  <si>
    <t>Player_7</t>
  </si>
  <si>
    <t>Player_8</t>
  </si>
  <si>
    <t>Player_9</t>
  </si>
  <si>
    <t>Player_10</t>
  </si>
  <si>
    <t>Bans_1</t>
  </si>
  <si>
    <t>Bans_2</t>
  </si>
  <si>
    <t>Bans_3</t>
  </si>
  <si>
    <t>Bans_4</t>
  </si>
  <si>
    <t>Bans_5</t>
  </si>
  <si>
    <t>Total games</t>
  </si>
  <si>
    <t>Heros</t>
  </si>
  <si>
    <t xml:space="preserve"> {</t>
  </si>
  <si>
    <t xml:space="preserve">  "result": {</t>
  </si>
  <si>
    <t xml:space="preserve">    "heroes": [</t>
  </si>
  <si>
    <t xml:space="preserve">      {</t>
  </si>
  <si>
    <t xml:space="preserve">        "name": "npc_dota_hero_antimage",</t>
  </si>
  <si>
    <t xml:space="preserve">        "id": 1,</t>
  </si>
  <si>
    <t xml:space="preserve">        "localized_name": "Anti-Mage"</t>
  </si>
  <si>
    <t xml:space="preserve">      },</t>
  </si>
  <si>
    <t xml:space="preserve">        "name": "npc_dota_hero_axe",</t>
  </si>
  <si>
    <t xml:space="preserve">        "id": 2,</t>
  </si>
  <si>
    <t xml:space="preserve">        "localized_name": "Axe"</t>
  </si>
  <si>
    <t xml:space="preserve">        "name": "npc_dota_hero_bane",</t>
  </si>
  <si>
    <t xml:space="preserve">        "id": 3,</t>
  </si>
  <si>
    <t xml:space="preserve">        "localized_name": "Bane"</t>
  </si>
  <si>
    <t xml:space="preserve">        "name": "npc_dota_hero_bloodseeker",</t>
  </si>
  <si>
    <t xml:space="preserve">        "id": 4,</t>
  </si>
  <si>
    <t xml:space="preserve">        "localized_name": "Bloodseeker"</t>
  </si>
  <si>
    <t xml:space="preserve">        "name": "npc_dota_hero_crystal_maiden",</t>
  </si>
  <si>
    <t xml:space="preserve">        "id": 5,</t>
  </si>
  <si>
    <t xml:space="preserve">        "localized_name": "Crystal Maiden"</t>
  </si>
  <si>
    <t xml:space="preserve">        "name": "npc_dota_hero_drow_ranger",</t>
  </si>
  <si>
    <t xml:space="preserve">        "id": 6,</t>
  </si>
  <si>
    <t xml:space="preserve">        "localized_name": "Drow Ranger"</t>
  </si>
  <si>
    <t xml:space="preserve">        "name": "npc_dota_hero_earthshaker",</t>
  </si>
  <si>
    <t xml:space="preserve">        "id": 7,</t>
  </si>
  <si>
    <t xml:space="preserve">        "localized_name": "Earthshaker"</t>
  </si>
  <si>
    <t xml:space="preserve">        "name": "npc_dota_hero_juggernaut",</t>
  </si>
  <si>
    <t xml:space="preserve">        "id": 8,</t>
  </si>
  <si>
    <t xml:space="preserve">        "localized_name": "Juggernaut"</t>
  </si>
  <si>
    <t xml:space="preserve">        "name": "npc_dota_hero_mirana",</t>
  </si>
  <si>
    <t xml:space="preserve">        "id": 9,</t>
  </si>
  <si>
    <t xml:space="preserve">        "localized_name": "Mirana"</t>
  </si>
  <si>
    <t xml:space="preserve">        "name": "npc_dota_hero_nevermore",</t>
  </si>
  <si>
    <t xml:space="preserve">        "id": 11,</t>
  </si>
  <si>
    <t xml:space="preserve">        "localized_name": "Shadow Fiend"</t>
  </si>
  <si>
    <t xml:space="preserve">        "name": "npc_dota_hero_morphling",</t>
  </si>
  <si>
    <t xml:space="preserve">        "id": 10,</t>
  </si>
  <si>
    <t xml:space="preserve">        "localized_name": "Morphling"</t>
  </si>
  <si>
    <t xml:space="preserve">        "name": "npc_dota_hero_phantom_lancer",</t>
  </si>
  <si>
    <t xml:space="preserve">        "id": 12,</t>
  </si>
  <si>
    <t xml:space="preserve">        "localized_name": "Phantom Lancer"</t>
  </si>
  <si>
    <t xml:space="preserve">        "name": "npc_dota_hero_puck",</t>
  </si>
  <si>
    <t xml:space="preserve">        "id": 13,</t>
  </si>
  <si>
    <t xml:space="preserve">        "localized_name": "Puck"</t>
  </si>
  <si>
    <t xml:space="preserve">        "name": "npc_dota_hero_pudge",</t>
  </si>
  <si>
    <t xml:space="preserve">        "id": 14,</t>
  </si>
  <si>
    <t xml:space="preserve">        "localized_name": "Pudge"</t>
  </si>
  <si>
    <t xml:space="preserve">        "name": "npc_dota_hero_razor",</t>
  </si>
  <si>
    <t xml:space="preserve">        "id": 15,</t>
  </si>
  <si>
    <t xml:space="preserve">        "localized_name": "Razor"</t>
  </si>
  <si>
    <t xml:space="preserve">        "name": "npc_dota_hero_sand_king",</t>
  </si>
  <si>
    <t xml:space="preserve">        "id": 16,</t>
  </si>
  <si>
    <t xml:space="preserve">        "localized_name": "Sand King"</t>
  </si>
  <si>
    <t xml:space="preserve">        "name": "npc_dota_hero_storm_spirit",</t>
  </si>
  <si>
    <t xml:space="preserve">        "id": 17,</t>
  </si>
  <si>
    <t xml:space="preserve">        "localized_name": "Storm Spirit"</t>
  </si>
  <si>
    <t xml:space="preserve">        "name": "npc_dota_hero_sven",</t>
  </si>
  <si>
    <t xml:space="preserve">        "id": 18,</t>
  </si>
  <si>
    <t xml:space="preserve">        "localized_name": "Sven"</t>
  </si>
  <si>
    <t xml:space="preserve">        "name": "npc_dota_hero_tiny",</t>
  </si>
  <si>
    <t xml:space="preserve">        "id": 19,</t>
  </si>
  <si>
    <t xml:space="preserve">        "localized_name": "Tiny"</t>
  </si>
  <si>
    <t xml:space="preserve">        "name": "npc_dota_hero_vengefulspirit",</t>
  </si>
  <si>
    <t xml:space="preserve">        "id": 20,</t>
  </si>
  <si>
    <t xml:space="preserve">        "localized_name": "Vengeful Spirit"</t>
  </si>
  <si>
    <t xml:space="preserve">        "name": "npc_dota_hero_windrunner",</t>
  </si>
  <si>
    <t xml:space="preserve">        "id": 21,</t>
  </si>
  <si>
    <t xml:space="preserve">        "localized_name": "Windranger"</t>
  </si>
  <si>
    <t xml:space="preserve">        "name": "npc_dota_hero_zuus",</t>
  </si>
  <si>
    <t xml:space="preserve">        "id": 22,</t>
  </si>
  <si>
    <t xml:space="preserve">        "localized_name": "Zeus"</t>
  </si>
  <si>
    <t xml:space="preserve">        "name": "npc_dota_hero_kunkka",</t>
  </si>
  <si>
    <t xml:space="preserve">        "id": 23,</t>
  </si>
  <si>
    <t xml:space="preserve">        "localized_name": "Kunkka"</t>
  </si>
  <si>
    <t xml:space="preserve">        "name": "npc_dota_hero_lina",</t>
  </si>
  <si>
    <t xml:space="preserve">        "id": 25,</t>
  </si>
  <si>
    <t xml:space="preserve">        "localized_name": "Lina"</t>
  </si>
  <si>
    <t xml:space="preserve">        "name": "npc_dota_hero_lich",</t>
  </si>
  <si>
    <t xml:space="preserve">        "id": 31,</t>
  </si>
  <si>
    <t xml:space="preserve">        "localized_name": "Lich"</t>
  </si>
  <si>
    <t xml:space="preserve">        "name": "npc_dota_hero_lion",</t>
  </si>
  <si>
    <t xml:space="preserve">        "id": 26,</t>
  </si>
  <si>
    <t xml:space="preserve">        "localized_name": "Lion"</t>
  </si>
  <si>
    <t xml:space="preserve">        "name": "npc_dota_hero_shadow_shaman",</t>
  </si>
  <si>
    <t xml:space="preserve">        "id": 27,</t>
  </si>
  <si>
    <t xml:space="preserve">        "localized_name": "Shadow Shaman"</t>
  </si>
  <si>
    <t xml:space="preserve">        "name": "npc_dota_hero_slardar",</t>
  </si>
  <si>
    <t xml:space="preserve">        "id": 28,</t>
  </si>
  <si>
    <t xml:space="preserve">        "localized_name": "Slardar"</t>
  </si>
  <si>
    <t xml:space="preserve">        "name": "npc_dota_hero_tidehunter",</t>
  </si>
  <si>
    <t xml:space="preserve">        "id": 29,</t>
  </si>
  <si>
    <t xml:space="preserve">        "localized_name": "Tidehunter"</t>
  </si>
  <si>
    <t xml:space="preserve">        "name": "npc_dota_hero_witch_doctor",</t>
  </si>
  <si>
    <t xml:space="preserve">        "id": 30,</t>
  </si>
  <si>
    <t xml:space="preserve">        "localized_name": "Witch Doctor"</t>
  </si>
  <si>
    <t xml:space="preserve">        "name": "npc_dota_hero_riki",</t>
  </si>
  <si>
    <t xml:space="preserve">        "id": 32,</t>
  </si>
  <si>
    <t xml:space="preserve">        "localized_name": "Riki"</t>
  </si>
  <si>
    <t xml:space="preserve">        "name": "npc_dota_hero_enigma",</t>
  </si>
  <si>
    <t xml:space="preserve">        "id": 33,</t>
  </si>
  <si>
    <t xml:space="preserve">        "localized_name": "Enigma"</t>
  </si>
  <si>
    <t xml:space="preserve">        "name": "npc_dota_hero_tinker",</t>
  </si>
  <si>
    <t xml:space="preserve">        "id": 34,</t>
  </si>
  <si>
    <t xml:space="preserve">        "localized_name": "Tinker"</t>
  </si>
  <si>
    <t xml:space="preserve">        "name": "npc_dota_hero_sniper",</t>
  </si>
  <si>
    <t xml:space="preserve">        "id": 35,</t>
  </si>
  <si>
    <t xml:space="preserve">        "localized_name": "Sniper"</t>
  </si>
  <si>
    <t xml:space="preserve">        "name": "npc_dota_hero_necrolyte",</t>
  </si>
  <si>
    <t xml:space="preserve">        "id": 36,</t>
  </si>
  <si>
    <t xml:space="preserve">        "localized_name": "Necrophos"</t>
  </si>
  <si>
    <t xml:space="preserve">        "name": "npc_dota_hero_warlock",</t>
  </si>
  <si>
    <t xml:space="preserve">        "id": 37,</t>
  </si>
  <si>
    <t xml:space="preserve">        "localized_name": "Warlock"</t>
  </si>
  <si>
    <t xml:space="preserve">        "name": "npc_dota_hero_beastmaster",</t>
  </si>
  <si>
    <t xml:space="preserve">        "id": 38,</t>
  </si>
  <si>
    <t xml:space="preserve">        "localized_name": "Beastmaster"</t>
  </si>
  <si>
    <t xml:space="preserve">        "name": "npc_dota_hero_queenofpain",</t>
  </si>
  <si>
    <t xml:space="preserve">        "id": 39,</t>
  </si>
  <si>
    <t xml:space="preserve">        "localized_name": "Queen of Pain"</t>
  </si>
  <si>
    <t xml:space="preserve">        "name": "npc_dota_hero_venomancer",</t>
  </si>
  <si>
    <t xml:space="preserve">        "id": 40,</t>
  </si>
  <si>
    <t xml:space="preserve">        "localized_name": "Venomancer"</t>
  </si>
  <si>
    <t xml:space="preserve">        "name": "npc_dota_hero_faceless_void",</t>
  </si>
  <si>
    <t xml:space="preserve">        "id": 41,</t>
  </si>
  <si>
    <t xml:space="preserve">        "localized_name": "Faceless Void"</t>
  </si>
  <si>
    <t xml:space="preserve">        "name": "npc_dota_hero_skeleton_king",</t>
  </si>
  <si>
    <t xml:space="preserve">        "id": 42,</t>
  </si>
  <si>
    <t xml:space="preserve">        "localized_name": "Wraith King"</t>
  </si>
  <si>
    <t xml:space="preserve">        "name": "npc_dota_hero_death_prophet",</t>
  </si>
  <si>
    <t xml:space="preserve">        "id": 43,</t>
  </si>
  <si>
    <t xml:space="preserve">        "localized_name": "Death Prophet"</t>
  </si>
  <si>
    <t xml:space="preserve">        "name": "npc_dota_hero_phantom_assassin",</t>
  </si>
  <si>
    <t xml:space="preserve">        "id": 44,</t>
  </si>
  <si>
    <t xml:space="preserve">        "localized_name": "Phantom Assassin"</t>
  </si>
  <si>
    <t xml:space="preserve">        "name": "npc_dota_hero_pugna",</t>
  </si>
  <si>
    <t xml:space="preserve">        "id": 45,</t>
  </si>
  <si>
    <t xml:space="preserve">        "localized_name": "Pugna"</t>
  </si>
  <si>
    <t xml:space="preserve">        "name": "npc_dota_hero_templar_assassin",</t>
  </si>
  <si>
    <t xml:space="preserve">        "id": 46,</t>
  </si>
  <si>
    <t xml:space="preserve">        "localized_name": "Templar Assassin"</t>
  </si>
  <si>
    <t xml:space="preserve">        "name": "npc_dota_hero_viper",</t>
  </si>
  <si>
    <t xml:space="preserve">        "id": 47,</t>
  </si>
  <si>
    <t xml:space="preserve">        "localized_name": "Viper"</t>
  </si>
  <si>
    <t xml:space="preserve">        "name": "npc_dota_hero_luna",</t>
  </si>
  <si>
    <t xml:space="preserve">        "id": 48,</t>
  </si>
  <si>
    <t xml:space="preserve">        "localized_name": "Luna"</t>
  </si>
  <si>
    <t xml:space="preserve">        "name": "npc_dota_hero_dragon_knight",</t>
  </si>
  <si>
    <t xml:space="preserve">        "id": 49,</t>
  </si>
  <si>
    <t xml:space="preserve">        "localized_name": "Dragon Knight"</t>
  </si>
  <si>
    <t xml:space="preserve">        "name": "npc_dota_hero_dazzle",</t>
  </si>
  <si>
    <t xml:space="preserve">        "id": 50,</t>
  </si>
  <si>
    <t xml:space="preserve">        "localized_name": "Dazzle"</t>
  </si>
  <si>
    <t xml:space="preserve">        "name": "npc_dota_hero_rattletrap",</t>
  </si>
  <si>
    <t xml:space="preserve">        "id": 51,</t>
  </si>
  <si>
    <t xml:space="preserve">        "localized_name": "Clockwerk"</t>
  </si>
  <si>
    <t xml:space="preserve">        "name": "npc_dota_hero_leshrac",</t>
  </si>
  <si>
    <t xml:space="preserve">        "id": 52,</t>
  </si>
  <si>
    <t xml:space="preserve">        "localized_name": "Leshrac"</t>
  </si>
  <si>
    <t xml:space="preserve">        "name": "npc_dota_hero_furion",</t>
  </si>
  <si>
    <t xml:space="preserve">        "id": 53,</t>
  </si>
  <si>
    <t xml:space="preserve">        "localized_name": "Nature's Prophet"</t>
  </si>
  <si>
    <t xml:space="preserve">        "name": "npc_dota_hero_life_stealer",</t>
  </si>
  <si>
    <t xml:space="preserve">        "id": 54,</t>
  </si>
  <si>
    <t xml:space="preserve">        "localized_name": "Lifestealer"</t>
  </si>
  <si>
    <t xml:space="preserve">        "name": "npc_dota_hero_dark_seer",</t>
  </si>
  <si>
    <t xml:space="preserve">        "id": 55,</t>
  </si>
  <si>
    <t xml:space="preserve">        "localized_name": "Dark Seer"</t>
  </si>
  <si>
    <t xml:space="preserve">        "name": "npc_dota_hero_clinkz",</t>
  </si>
  <si>
    <t xml:space="preserve">        "id": 56,</t>
  </si>
  <si>
    <t xml:space="preserve">        "localized_name": "Clinkz"</t>
  </si>
  <si>
    <t xml:space="preserve">        "name": "npc_dota_hero_omniknight",</t>
  </si>
  <si>
    <t xml:space="preserve">        "id": 57,</t>
  </si>
  <si>
    <t xml:space="preserve">        "localized_name": "Omniknight"</t>
  </si>
  <si>
    <t xml:space="preserve">        "name": "npc_dota_hero_enchantress",</t>
  </si>
  <si>
    <t xml:space="preserve">        "id": 58,</t>
  </si>
  <si>
    <t xml:space="preserve">        "localized_name": "Enchantress"</t>
  </si>
  <si>
    <t xml:space="preserve">        "name": "npc_dota_hero_huskar",</t>
  </si>
  <si>
    <t xml:space="preserve">        "id": 59,</t>
  </si>
  <si>
    <t xml:space="preserve">        "localized_name": "Huskar"</t>
  </si>
  <si>
    <t xml:space="preserve">        "name": "npc_dota_hero_night_stalker",</t>
  </si>
  <si>
    <t xml:space="preserve">        "id": 60,</t>
  </si>
  <si>
    <t xml:space="preserve">        "localized_name": "Night Stalker"</t>
  </si>
  <si>
    <t xml:space="preserve">        "name": "npc_dota_hero_broodmother",</t>
  </si>
  <si>
    <t xml:space="preserve">        "id": 61,</t>
  </si>
  <si>
    <t xml:space="preserve">        "localized_name": "Broodmother"</t>
  </si>
  <si>
    <t xml:space="preserve">        "name": "npc_dota_hero_bounty_hunter",</t>
  </si>
  <si>
    <t xml:space="preserve">        "id": 62,</t>
  </si>
  <si>
    <t xml:space="preserve">        "localized_name": "Bounty Hunter"</t>
  </si>
  <si>
    <t xml:space="preserve">        "name": "npc_dota_hero_weaver",</t>
  </si>
  <si>
    <t xml:space="preserve">        "id": 63,</t>
  </si>
  <si>
    <t xml:space="preserve">        "localized_name": "Weaver"</t>
  </si>
  <si>
    <t xml:space="preserve">        "name": "npc_dota_hero_jakiro",</t>
  </si>
  <si>
    <t xml:space="preserve">        "id": 64,</t>
  </si>
  <si>
    <t xml:space="preserve">        "localized_name": "Jakiro"</t>
  </si>
  <si>
    <t xml:space="preserve">        "name": "npc_dota_hero_batrider",</t>
  </si>
  <si>
    <t xml:space="preserve">        "id": 65,</t>
  </si>
  <si>
    <t xml:space="preserve">        "localized_name": "Batrider"</t>
  </si>
  <si>
    <t xml:space="preserve">        "name": "npc_dota_hero_chen",</t>
  </si>
  <si>
    <t xml:space="preserve">        "id": 66,</t>
  </si>
  <si>
    <t xml:space="preserve">        "localized_name": "Chen"</t>
  </si>
  <si>
    <t xml:space="preserve">        "name": "npc_dota_hero_spectre",</t>
  </si>
  <si>
    <t xml:space="preserve">        "id": 67,</t>
  </si>
  <si>
    <t xml:space="preserve">        "localized_name": "Spectre"</t>
  </si>
  <si>
    <t xml:space="preserve">        "name": "npc_dota_hero_doom_bringer",</t>
  </si>
  <si>
    <t xml:space="preserve">        "id": 69,</t>
  </si>
  <si>
    <t xml:space="preserve">        "localized_name": "Doom"</t>
  </si>
  <si>
    <t xml:space="preserve">        "name": "npc_dota_hero_ancient_apparition",</t>
  </si>
  <si>
    <t xml:space="preserve">        "id": 68,</t>
  </si>
  <si>
    <t xml:space="preserve">        "localized_name": "Ancient Apparition"</t>
  </si>
  <si>
    <t xml:space="preserve">        "name": "npc_dota_hero_ursa",</t>
  </si>
  <si>
    <t xml:space="preserve">        "id": 70,</t>
  </si>
  <si>
    <t xml:space="preserve">        "localized_name": "Ursa"</t>
  </si>
  <si>
    <t xml:space="preserve">        "name": "npc_dota_hero_spirit_breaker",</t>
  </si>
  <si>
    <t xml:space="preserve">        "id": 71,</t>
  </si>
  <si>
    <t xml:space="preserve">        "localized_name": "Spirit Breaker"</t>
  </si>
  <si>
    <t xml:space="preserve">        "name": "npc_dota_hero_gyrocopter",</t>
  </si>
  <si>
    <t xml:space="preserve">        "id": 72,</t>
  </si>
  <si>
    <t xml:space="preserve">        "localized_name": "Gyrocopter"</t>
  </si>
  <si>
    <t xml:space="preserve">        "name": "npc_dota_hero_alchemist",</t>
  </si>
  <si>
    <t xml:space="preserve">        "id": 73,</t>
  </si>
  <si>
    <t xml:space="preserve">        "localized_name": "Alchemist"</t>
  </si>
  <si>
    <t xml:space="preserve">        "name": "npc_dota_hero_invoker",</t>
  </si>
  <si>
    <t xml:space="preserve">        "id": 74,</t>
  </si>
  <si>
    <t xml:space="preserve">        "localized_name": "Invoker"</t>
  </si>
  <si>
    <t xml:space="preserve">        "name": "npc_dota_hero_silencer",</t>
  </si>
  <si>
    <t xml:space="preserve">        "id": 75,</t>
  </si>
  <si>
    <t xml:space="preserve">        "localized_name": "Silencer"</t>
  </si>
  <si>
    <t xml:space="preserve">        "name": "npc_dota_hero_obsidian_destroyer",</t>
  </si>
  <si>
    <t xml:space="preserve">        "id": 76,</t>
  </si>
  <si>
    <t xml:space="preserve">        "localized_name": "Outworld Devourer"</t>
  </si>
  <si>
    <t xml:space="preserve">        "name": "npc_dota_hero_lycan",</t>
  </si>
  <si>
    <t xml:space="preserve">        "id": 77,</t>
  </si>
  <si>
    <t xml:space="preserve">        "localized_name": "Lycan"</t>
  </si>
  <si>
    <t xml:space="preserve">        "name": "npc_dota_hero_brewmaster",</t>
  </si>
  <si>
    <t xml:space="preserve">        "id": 78,</t>
  </si>
  <si>
    <t xml:space="preserve">        "localized_name": "Brewmaster"</t>
  </si>
  <si>
    <t xml:space="preserve">        "name": "npc_dota_hero_shadow_demon",</t>
  </si>
  <si>
    <t xml:space="preserve">        "id": 79,</t>
  </si>
  <si>
    <t xml:space="preserve">        "localized_name": "Shadow Demon"</t>
  </si>
  <si>
    <t xml:space="preserve">        "name": "npc_dota_hero_lone_druid",</t>
  </si>
  <si>
    <t xml:space="preserve">        "id": 80,</t>
  </si>
  <si>
    <t xml:space="preserve">        "localized_name": "Lone Druid"</t>
  </si>
  <si>
    <t xml:space="preserve">        "name": "npc_dota_hero_chaos_knight",</t>
  </si>
  <si>
    <t xml:space="preserve">        "id": 81,</t>
  </si>
  <si>
    <t xml:space="preserve">        "localized_name": "Chaos Knight"</t>
  </si>
  <si>
    <t xml:space="preserve">        "name": "npc_dota_hero_meepo",</t>
  </si>
  <si>
    <t xml:space="preserve">        "id": 82,</t>
  </si>
  <si>
    <t xml:space="preserve">        "localized_name": "Meepo"</t>
  </si>
  <si>
    <t xml:space="preserve">        "name": "npc_dota_hero_treant",</t>
  </si>
  <si>
    <t xml:space="preserve">        "id": 83,</t>
  </si>
  <si>
    <t xml:space="preserve">        "localized_name": "Treant Protector"</t>
  </si>
  <si>
    <t xml:space="preserve">        "name": "npc_dota_hero_ogre_magi",</t>
  </si>
  <si>
    <t xml:space="preserve">        "id": 84,</t>
  </si>
  <si>
    <t xml:space="preserve">        "localized_name": "Ogre Magi"</t>
  </si>
  <si>
    <t xml:space="preserve">        "name": "npc_dota_hero_undying",</t>
  </si>
  <si>
    <t xml:space="preserve">        "id": 85,</t>
  </si>
  <si>
    <t xml:space="preserve">        "localized_name": "Undying"</t>
  </si>
  <si>
    <t xml:space="preserve">        "name": "npc_dota_hero_rubick",</t>
  </si>
  <si>
    <t xml:space="preserve">        "id": 86,</t>
  </si>
  <si>
    <t xml:space="preserve">        "localized_name": "Rubick"</t>
  </si>
  <si>
    <t xml:space="preserve">        "name": "npc_dota_hero_disruptor",</t>
  </si>
  <si>
    <t xml:space="preserve">        "id": 87,</t>
  </si>
  <si>
    <t xml:space="preserve">        "localized_name": "Disruptor"</t>
  </si>
  <si>
    <t xml:space="preserve">        "name": "npc_dota_hero_nyx_assassin",</t>
  </si>
  <si>
    <t xml:space="preserve">        "id": 88,</t>
  </si>
  <si>
    <t xml:space="preserve">        "localized_name": "Nyx Assassin"</t>
  </si>
  <si>
    <t xml:space="preserve">        "name": "npc_dota_hero_naga_siren",</t>
  </si>
  <si>
    <t xml:space="preserve">        "id": 89,</t>
  </si>
  <si>
    <t xml:space="preserve">        "localized_name": "Naga Siren"</t>
  </si>
  <si>
    <t xml:space="preserve">        "name": "npc_dota_hero_keeper_of_the_light",</t>
  </si>
  <si>
    <t xml:space="preserve">        "id": 90,</t>
  </si>
  <si>
    <t xml:space="preserve">        "localized_name": "Keeper of the Light"</t>
  </si>
  <si>
    <t xml:space="preserve">        "name": "npc_dota_hero_wisp",</t>
  </si>
  <si>
    <t xml:space="preserve">        "id": 91,</t>
  </si>
  <si>
    <t xml:space="preserve">        "localized_name": "Io"</t>
  </si>
  <si>
    <t xml:space="preserve">        "name": "npc_dota_hero_visage",</t>
  </si>
  <si>
    <t xml:space="preserve">        "id": 92,</t>
  </si>
  <si>
    <t xml:space="preserve">        "localized_name": "Visage"</t>
  </si>
  <si>
    <t xml:space="preserve">        "name": "npc_dota_hero_slark",</t>
  </si>
  <si>
    <t xml:space="preserve">        "id": 93,</t>
  </si>
  <si>
    <t xml:space="preserve">        "localized_name": "Slark"</t>
  </si>
  <si>
    <t xml:space="preserve">        "name": "npc_dota_hero_medusa",</t>
  </si>
  <si>
    <t xml:space="preserve">        "id": 94,</t>
  </si>
  <si>
    <t xml:space="preserve">        "localized_name": "Medusa"</t>
  </si>
  <si>
    <t xml:space="preserve">        "name": "npc_dota_hero_troll_warlord",</t>
  </si>
  <si>
    <t xml:space="preserve">        "id": 95,</t>
  </si>
  <si>
    <t xml:space="preserve">        "localized_name": "Troll Warlord"</t>
  </si>
  <si>
    <t xml:space="preserve">        "name": "npc_dota_hero_centaur",</t>
  </si>
  <si>
    <t xml:space="preserve">        "id": 96,</t>
  </si>
  <si>
    <t xml:space="preserve">        "localized_name": "Centaur Warrunner"</t>
  </si>
  <si>
    <t xml:space="preserve">        "name": "npc_dota_hero_magnataur",</t>
  </si>
  <si>
    <t xml:space="preserve">        "id": 97,</t>
  </si>
  <si>
    <t xml:space="preserve">        "localized_name": "Magnus"</t>
  </si>
  <si>
    <t xml:space="preserve">        "name": "npc_dota_hero_shredder",</t>
  </si>
  <si>
    <t xml:space="preserve">        "id": 98,</t>
  </si>
  <si>
    <t xml:space="preserve">        "localized_name": "Timbersaw"</t>
  </si>
  <si>
    <t xml:space="preserve">        "name": "npc_dota_hero_bristleback",</t>
  </si>
  <si>
    <t xml:space="preserve">        "id": 99,</t>
  </si>
  <si>
    <t xml:space="preserve">        "localized_name": "Bristleback"</t>
  </si>
  <si>
    <t xml:space="preserve">        "name": "npc_dota_hero_tusk",</t>
  </si>
  <si>
    <t xml:space="preserve">        "id": 100,</t>
  </si>
  <si>
    <t xml:space="preserve">        "localized_name": "Tusk"</t>
  </si>
  <si>
    <t xml:space="preserve">        "name": "npc_dota_hero_skywrath_mage",</t>
  </si>
  <si>
    <t xml:space="preserve">        "id": 101,</t>
  </si>
  <si>
    <t xml:space="preserve">        "localized_name": "Skywrath Mage"</t>
  </si>
  <si>
    <t xml:space="preserve">        "name": "npc_dota_hero_abaddon",</t>
  </si>
  <si>
    <t xml:space="preserve">        "id": 102,</t>
  </si>
  <si>
    <t xml:space="preserve">        "localized_name": "Abaddon"</t>
  </si>
  <si>
    <t xml:space="preserve">        "name": "npc_dota_hero_elder_titan",</t>
  </si>
  <si>
    <t xml:space="preserve">        "id": 103,</t>
  </si>
  <si>
    <t xml:space="preserve">        "localized_name": "Elder Titan"</t>
  </si>
  <si>
    <t xml:space="preserve">        "name": "npc_dota_hero_legion_commander",</t>
  </si>
  <si>
    <t xml:space="preserve">        "id": 104,</t>
  </si>
  <si>
    <t xml:space="preserve">        "localized_name": "Legion Commander"</t>
  </si>
  <si>
    <t xml:space="preserve">        "name": "npc_dota_hero_ember_spirit",</t>
  </si>
  <si>
    <t xml:space="preserve">        "id": 106,</t>
  </si>
  <si>
    <t xml:space="preserve">        "localized_name": "Ember Spirit"</t>
  </si>
  <si>
    <t xml:space="preserve">        "name": "npc_dota_hero_earth_spirit",</t>
  </si>
  <si>
    <t xml:space="preserve">        "id": 107,</t>
  </si>
  <si>
    <t xml:space="preserve">        "localized_name": "Earth Spirit"</t>
  </si>
  <si>
    <t xml:space="preserve">        "name": "npc_dota_hero_terrorblade",</t>
  </si>
  <si>
    <t xml:space="preserve">        "id": 109,</t>
  </si>
  <si>
    <t xml:space="preserve">        "localized_name": "Terrorblade"</t>
  </si>
  <si>
    <t xml:space="preserve">        "name": "npc_dota_hero_phoenix",</t>
  </si>
  <si>
    <t xml:space="preserve">        "id": 110,</t>
  </si>
  <si>
    <t xml:space="preserve">        "localized_name": "Phoenix"</t>
  </si>
  <si>
    <t xml:space="preserve">        "name": "npc_dota_hero_oracle",</t>
  </si>
  <si>
    <t xml:space="preserve">        "id": 111,</t>
  </si>
  <si>
    <t xml:space="preserve">        "localized_name": "Oracle"</t>
  </si>
  <si>
    <t xml:space="preserve">        "name": "npc_dota_hero_techies",</t>
  </si>
  <si>
    <t xml:space="preserve">        "id": 105,</t>
  </si>
  <si>
    <t xml:space="preserve">        "localized_name": "Techies"</t>
  </si>
  <si>
    <t xml:space="preserve">        "name": "npc_dota_hero_winter_wyvern",</t>
  </si>
  <si>
    <t xml:space="preserve">        "id": 112,</t>
  </si>
  <si>
    <t xml:space="preserve">        "localized_name": "Winter Wyvern"</t>
  </si>
  <si>
    <t xml:space="preserve">        "name": "npc_dota_hero_arc_warden",</t>
  </si>
  <si>
    <t xml:space="preserve">        "id": 113,</t>
  </si>
  <si>
    <t xml:space="preserve">        "localized_name": "Arc Warden"</t>
  </si>
  <si>
    <t xml:space="preserve">        "name": "npc_dota_hero_abyssal_underlord",</t>
  </si>
  <si>
    <t xml:space="preserve">        "id": 108,</t>
  </si>
  <si>
    <t xml:space="preserve">        "localized_name": "Underlord"</t>
  </si>
  <si>
    <t xml:space="preserve">        "name": "npc_dota_hero_monkey_king",</t>
  </si>
  <si>
    <t xml:space="preserve">        "id": 114,</t>
  </si>
  <si>
    <t xml:space="preserve">        "localized_name": "Monkey King"</t>
  </si>
  <si>
    <t xml:space="preserve">        "name": "npc_dota_hero_pangolier",</t>
  </si>
  <si>
    <t xml:space="preserve">        "id": 120,</t>
  </si>
  <si>
    <t xml:space="preserve">        "localized_name": "Pangolier"</t>
  </si>
  <si>
    <t xml:space="preserve">        "name": "npc_dota_hero_dark_willow",</t>
  </si>
  <si>
    <t xml:space="preserve">        "id": 119,</t>
  </si>
  <si>
    <t xml:space="preserve">        "localized_name": "Dark Willow"</t>
  </si>
  <si>
    <t xml:space="preserve">        "name": "npc_dota_hero_grimstroke",</t>
  </si>
  <si>
    <t xml:space="preserve">        "id": 121,</t>
  </si>
  <si>
    <t xml:space="preserve">        "localized_name": "Grimstroke"</t>
  </si>
  <si>
    <t xml:space="preserve">      }</t>
  </si>
  <si>
    <t xml:space="preserve">    ],</t>
  </si>
  <si>
    <t xml:space="preserve">    "status": 200,</t>
  </si>
  <si>
    <t xml:space="preserve">    "count": 116</t>
  </si>
  <si>
    <t xml:space="preserve">  }</t>
  </si>
  <si>
    <t xml:space="preserve">} </t>
  </si>
  <si>
    <t>Picked</t>
  </si>
  <si>
    <t>Banned</t>
  </si>
  <si>
    <t>Won</t>
  </si>
  <si>
    <t>Picked/Banned</t>
  </si>
  <si>
    <t>Total Matches</t>
  </si>
  <si>
    <t>Total Parsed</t>
  </si>
  <si>
    <t>Total matches:</t>
  </si>
  <si>
    <t>Average MMR:</t>
  </si>
  <si>
    <t xml:space="preserve">MMR: </t>
  </si>
  <si>
    <t>Axe match ups</t>
  </si>
  <si>
    <t>Ally</t>
  </si>
  <si>
    <t>Enemy</t>
  </si>
  <si>
    <t>Win</t>
  </si>
  <si>
    <t>Radiant</t>
  </si>
  <si>
    <t>Dire</t>
  </si>
  <si>
    <t>Win% With</t>
  </si>
  <si>
    <t>Win% Against</t>
  </si>
  <si>
    <t>Games Against</t>
  </si>
  <si>
    <t>Games With</t>
  </si>
  <si>
    <t>Anti-Mage</t>
  </si>
  <si>
    <t>Axe</t>
  </si>
  <si>
    <t>Bane</t>
  </si>
  <si>
    <t>Bloodseeker</t>
  </si>
  <si>
    <t>Crystal Maiden</t>
  </si>
  <si>
    <t>Drow Ranger</t>
  </si>
  <si>
    <t>Earthshaker</t>
  </si>
  <si>
    <t>Juggernaut</t>
  </si>
  <si>
    <t>Mirana</t>
  </si>
  <si>
    <t>Morphling</t>
  </si>
  <si>
    <t>Shadow Fiend</t>
  </si>
  <si>
    <t>Phantom Lancer</t>
  </si>
  <si>
    <t>Puck</t>
  </si>
  <si>
    <t>Pudge</t>
  </si>
  <si>
    <t>Razor</t>
  </si>
  <si>
    <t>Sand King</t>
  </si>
  <si>
    <t>Storm Spirit</t>
  </si>
  <si>
    <t>Sven</t>
  </si>
  <si>
    <t>Tiny</t>
  </si>
  <si>
    <t>Vengeful Spirit</t>
  </si>
  <si>
    <t>Windranger</t>
  </si>
  <si>
    <t>Zeus</t>
  </si>
  <si>
    <t>Kunkka</t>
  </si>
  <si>
    <t>Lina</t>
  </si>
  <si>
    <t>Lion</t>
  </si>
  <si>
    <t>Shadow Shaman</t>
  </si>
  <si>
    <t>Slardar</t>
  </si>
  <si>
    <t>Tidehunter</t>
  </si>
  <si>
    <t>Witch Doctor</t>
  </si>
  <si>
    <t>Lich</t>
  </si>
  <si>
    <t>Riki</t>
  </si>
  <si>
    <t>Enigma</t>
  </si>
  <si>
    <t>Tinker</t>
  </si>
  <si>
    <t>Sniper</t>
  </si>
  <si>
    <t>Necrophos</t>
  </si>
  <si>
    <t>Warlock</t>
  </si>
  <si>
    <t>Beastmaster</t>
  </si>
  <si>
    <t>Queen of Pain</t>
  </si>
  <si>
    <t>Venomancer</t>
  </si>
  <si>
    <t>Faceless Void</t>
  </si>
  <si>
    <t>Wraith King</t>
  </si>
  <si>
    <t>Death Prophet</t>
  </si>
  <si>
    <t>Phantom Assassin</t>
  </si>
  <si>
    <t>Pugna</t>
  </si>
  <si>
    <t>Templar Assassin</t>
  </si>
  <si>
    <t>Viper</t>
  </si>
  <si>
    <t>Luna</t>
  </si>
  <si>
    <t>Dragon Knight</t>
  </si>
  <si>
    <t>Dazzle</t>
  </si>
  <si>
    <t>Clockwerk</t>
  </si>
  <si>
    <t>Leshrac</t>
  </si>
  <si>
    <t>Nature's Prophet</t>
  </si>
  <si>
    <t>Lifestealer</t>
  </si>
  <si>
    <t>Dark Seer</t>
  </si>
  <si>
    <t>Clinkz</t>
  </si>
  <si>
    <t>Omniknight</t>
  </si>
  <si>
    <t>Enchantress</t>
  </si>
  <si>
    <t>Huskar</t>
  </si>
  <si>
    <t>Night Stalker</t>
  </si>
  <si>
    <t>Broodmother</t>
  </si>
  <si>
    <t>Bounty Hunter</t>
  </si>
  <si>
    <t>Weaver</t>
  </si>
  <si>
    <t>Jakiro</t>
  </si>
  <si>
    <t>Batrider</t>
  </si>
  <si>
    <t>Chen</t>
  </si>
  <si>
    <t>Spectre</t>
  </si>
  <si>
    <t>Ancient Apparition</t>
  </si>
  <si>
    <t>Doom</t>
  </si>
  <si>
    <t>Ursa</t>
  </si>
  <si>
    <t>Spirit Breaker</t>
  </si>
  <si>
    <t>Gyrocopter</t>
  </si>
  <si>
    <t>Alchemist</t>
  </si>
  <si>
    <t>Invoker</t>
  </si>
  <si>
    <t>Silencer</t>
  </si>
  <si>
    <t>Outworld Devourer</t>
  </si>
  <si>
    <t>Lycan</t>
  </si>
  <si>
    <t>Brewmaster</t>
  </si>
  <si>
    <t>Shadow Demon</t>
  </si>
  <si>
    <t>Lone Druid</t>
  </si>
  <si>
    <t>Chaos Knight</t>
  </si>
  <si>
    <t>Meepo</t>
  </si>
  <si>
    <t>Treant Protector</t>
  </si>
  <si>
    <t>Ogre Magi</t>
  </si>
  <si>
    <t>Undying</t>
  </si>
  <si>
    <t>Rubick</t>
  </si>
  <si>
    <t>Disruptor</t>
  </si>
  <si>
    <t>Nyx Assassin</t>
  </si>
  <si>
    <t>Naga Siren</t>
  </si>
  <si>
    <t>Keeper of the Light</t>
  </si>
  <si>
    <t>Io</t>
  </si>
  <si>
    <t>Visage</t>
  </si>
  <si>
    <t>Slark</t>
  </si>
  <si>
    <t>Medusa</t>
  </si>
  <si>
    <t>Troll Warlord</t>
  </si>
  <si>
    <t>Centaur Warrunner</t>
  </si>
  <si>
    <t>Magnus</t>
  </si>
  <si>
    <t>Timbersaw</t>
  </si>
  <si>
    <t>Bristleback</t>
  </si>
  <si>
    <t>Tusk</t>
  </si>
  <si>
    <t>Skywrath Mage</t>
  </si>
  <si>
    <t>Abaddon</t>
  </si>
  <si>
    <t>Elder Titan</t>
  </si>
  <si>
    <t>Legion Commander</t>
  </si>
  <si>
    <t>Techies</t>
  </si>
  <si>
    <t>Ember Spirit</t>
  </si>
  <si>
    <t>Earth Spirit</t>
  </si>
  <si>
    <t>Underlord</t>
  </si>
  <si>
    <t>Terrorblade</t>
  </si>
  <si>
    <t>Phoenix</t>
  </si>
  <si>
    <t>Oracle</t>
  </si>
  <si>
    <t>Winter Wyvern</t>
  </si>
  <si>
    <t>Arc Warden</t>
  </si>
  <si>
    <t>Monkey King</t>
  </si>
  <si>
    <t>Dark Willow</t>
  </si>
  <si>
    <t>Pangolier</t>
  </si>
  <si>
    <t>Grimstroke</t>
  </si>
  <si>
    <t>Hero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</si>
</sst>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theme="1"/>
      <name val="Calibri"/>
      <family val="2"/>
      <scheme val="minor"/>
    </font>
    <font>
      <sz val="10"/>
      <color rgb="FF191919"/>
      <name val="Lato"/>
      <family val="2"/>
    </font>
    <font>
      <b/>
      <sz val="10"/>
      <color rgb="FF191919"/>
      <name val="Lato"/>
      <family val="2"/>
    </font>
    <font>
      <b/>
      <u/>
      <sz val="10"/>
      <color rgb="FF191919"/>
      <name val="Lato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0">
    <xf numFmtId="0" fontId="0" fillId="0" borderId="0" xfId="0"/>
    <xf numFmtId="22" fontId="0" fillId="0" borderId="0" xfId="0" applyNumberFormat="1"/>
    <xf numFmtId="0" fontId="1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164" fontId="4" fillId="3" borderId="0" xfId="1" applyNumberFormat="1" applyFont="1" applyFill="1" applyBorder="1" applyAlignment="1">
      <alignment horizontal="left" vertical="center" wrapText="1"/>
    </xf>
    <xf numFmtId="164" fontId="4" fillId="3" borderId="0" xfId="1" applyNumberFormat="1" applyFont="1" applyFill="1" applyBorder="1" applyAlignment="1">
      <alignment horizontal="center" vertical="center" wrapText="1"/>
    </xf>
    <xf numFmtId="164" fontId="3" fillId="2" borderId="0" xfId="1" applyNumberFormat="1" applyFont="1" applyFill="1" applyBorder="1" applyAlignment="1">
      <alignment horizontal="center" vertical="center" wrapText="1"/>
    </xf>
    <xf numFmtId="164" fontId="3" fillId="2" borderId="0" xfId="1" applyNumberFormat="1" applyFont="1" applyFill="1" applyBorder="1" applyAlignment="1">
      <alignment horizontal="left" vertical="center" wrapText="1"/>
    </xf>
    <xf numFmtId="164" fontId="4" fillId="3" borderId="0" xfId="1" applyNumberFormat="1" applyFont="1" applyFill="1" applyBorder="1" applyAlignment="1">
      <alignment horizontal="centerContinuous" vertical="center" wrapText="1"/>
    </xf>
    <xf numFmtId="164" fontId="5" fillId="3" borderId="0" xfId="1" applyNumberFormat="1" applyFont="1" applyFill="1" applyBorder="1" applyAlignment="1">
      <alignment horizontal="centerContinuous" vertical="center" wrapText="1"/>
    </xf>
    <xf numFmtId="0" fontId="3" fillId="2" borderId="0" xfId="1" applyNumberFormat="1" applyFont="1" applyFill="1" applyBorder="1" applyAlignment="1">
      <alignment horizontal="center" vertical="center" wrapText="1"/>
    </xf>
    <xf numFmtId="0" fontId="0" fillId="0" borderId="0" xfId="0" applyAlignme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Sanderlin_47" connectionId="5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Sanderlin_46" connectionId="2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anderlin_45" connectionId="2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anderlin_44" connectionId="2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Sanderlin_43" connectionId="5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Sanderlin_42" connectionId="1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Sanderlin_41" connectionId="3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Sanderlin_40" connectionId="6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Sanderlin_39" connectionId="3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Sanderlin_38" connectionId="4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Sanderlin_37" connectionId="4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Sanderlin_36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Sanderlin_35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Sanderlin_4" connectionId="3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Sanderlin_6" connectionId="4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Sanderlin_2" connectionId="2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Sanderlin_14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Sanderlin_22" connectionId="1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Sanderlin_27" connectionId="3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Sanderlin_32" connectionId="6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Sanderlin_9" connectionId="5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Sanderlin_17" connectionId="5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Sanderlin_26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Sanderlin_3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Sanderlin_7" connectionId="4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Sanderlin_13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Sanderlin_21" connectionId="4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Sanderlin_31" connectionId="4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Sanderlin_1" connectionId="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Sanderlin_12" connectionId="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Sanderlin_25" connectionId="4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Sanderlin_30" connectionId="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Sanderlin" connectionId="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Sanderlin_16" connectionId="1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Sanderlin_20" connectionId="5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Sanderlin_34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Sanderlin_10" connectionId="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Sanderlin_11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Sanderlin_19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Sanderlin_24" connectionId="2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Sanderlin_29" connectionId="5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Sanderlin_8" connectionId="5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Sanderlin_15" connectionId="2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Sanderlin_33" connectionId="5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Sanderlin_5" connectionId="3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Sanderlin_18" connectionId="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Sanderlin_23" connectionId="1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Sanderlin_28" connectionId="1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Sanderlin_12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Sanderlin_10" connectionId="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Sanderlin_5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Sanderlin_6" connectionId="4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Sanderlin_4" connectionId="3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Sanderlin_9" connectionId="5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Sanderlin_3" connectionId="2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Sanderlin_11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Sanderlin_7" connectionId="4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Sanderlin_1" connectionId="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Sanderlin_2" connectionId="2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Sanderlin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Sanderlin_8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41" Type="http://schemas.openxmlformats.org/officeDocument/2006/relationships/queryTable" Target="../queryTables/queryTable40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8" Type="http://schemas.openxmlformats.org/officeDocument/2006/relationships/queryTable" Target="../queryTables/queryTable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5.xml"/><Relationship Id="rId13" Type="http://schemas.openxmlformats.org/officeDocument/2006/relationships/queryTable" Target="../queryTables/queryTable60.xml"/><Relationship Id="rId3" Type="http://schemas.openxmlformats.org/officeDocument/2006/relationships/queryTable" Target="../queryTables/queryTable50.xml"/><Relationship Id="rId7" Type="http://schemas.openxmlformats.org/officeDocument/2006/relationships/queryTable" Target="../queryTables/queryTable54.xml"/><Relationship Id="rId12" Type="http://schemas.openxmlformats.org/officeDocument/2006/relationships/queryTable" Target="../queryTables/queryTable59.xml"/><Relationship Id="rId2" Type="http://schemas.openxmlformats.org/officeDocument/2006/relationships/queryTable" Target="../queryTables/queryTable49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53.xml"/><Relationship Id="rId11" Type="http://schemas.openxmlformats.org/officeDocument/2006/relationships/queryTable" Target="../queryTables/queryTable58.xml"/><Relationship Id="rId5" Type="http://schemas.openxmlformats.org/officeDocument/2006/relationships/queryTable" Target="../queryTables/queryTable52.xml"/><Relationship Id="rId10" Type="http://schemas.openxmlformats.org/officeDocument/2006/relationships/queryTable" Target="../queryTables/queryTable57.xml"/><Relationship Id="rId4" Type="http://schemas.openxmlformats.org/officeDocument/2006/relationships/queryTable" Target="../queryTables/queryTable51.xml"/><Relationship Id="rId9" Type="http://schemas.openxmlformats.org/officeDocument/2006/relationships/queryTable" Target="../queryTables/queryTable56.xml"/><Relationship Id="rId14" Type="http://schemas.openxmlformats.org/officeDocument/2006/relationships/queryTable" Target="../queryTables/queryTable6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6349"/>
  <sheetViews>
    <sheetView workbookViewId="0">
      <selection sqref="A1:S1048576"/>
    </sheetView>
  </sheetViews>
  <sheetFormatPr defaultRowHeight="14.4" x14ac:dyDescent="0.3"/>
  <cols>
    <col min="1" max="1" width="11" bestFit="1" customWidth="1"/>
    <col min="2" max="2" width="14.6640625" bestFit="1" customWidth="1"/>
    <col min="3" max="3" width="5.44140625" bestFit="1" customWidth="1"/>
    <col min="4" max="4" width="11.109375" bestFit="1" customWidth="1"/>
    <col min="5" max="13" width="8" bestFit="1" customWidth="1"/>
    <col min="14" max="14" width="9" bestFit="1" customWidth="1"/>
    <col min="15" max="19" width="6.886718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>
        <f t="array" ref="T1">SUM(IF(T2:T260='Analysis backend'!L1,1))</f>
        <v>123</v>
      </c>
    </row>
    <row r="2" spans="1:21" x14ac:dyDescent="0.3">
      <c r="A2">
        <v>4255766288</v>
      </c>
      <c r="B2" s="1">
        <v>43439.537499999999</v>
      </c>
      <c r="C2">
        <v>7339</v>
      </c>
      <c r="D2" t="b">
        <v>1</v>
      </c>
      <c r="E2">
        <v>41</v>
      </c>
      <c r="F2">
        <v>44</v>
      </c>
      <c r="G2">
        <v>121</v>
      </c>
      <c r="H2">
        <v>21</v>
      </c>
      <c r="I2">
        <v>45</v>
      </c>
      <c r="J2">
        <v>9</v>
      </c>
      <c r="K2">
        <v>1</v>
      </c>
      <c r="L2">
        <v>101</v>
      </c>
      <c r="M2">
        <v>31</v>
      </c>
      <c r="N2">
        <v>78</v>
      </c>
      <c r="O2">
        <v>114</v>
      </c>
      <c r="T2" t="str">
        <f>IF(ISERROR(MATCH('Analysis backend'!$M$1,E2:N2,0)),"",'Analysis backend'!$L$1)</f>
        <v>Phantom Assassin</v>
      </c>
      <c r="U2" t="str">
        <f>IF(T2='Analysis backend'!$L$1,IF(ISERROR(MATCH('Analysis backend'!$M$1,E2:I2,0)),"Dire","Radiant"),"")</f>
        <v>Radiant</v>
      </c>
    </row>
    <row r="3" spans="1:21" x14ac:dyDescent="0.3">
      <c r="A3">
        <v>4255759761</v>
      </c>
      <c r="B3" s="1">
        <v>43439.536111111112</v>
      </c>
      <c r="C3">
        <v>7246</v>
      </c>
      <c r="D3" t="b">
        <v>0</v>
      </c>
      <c r="E3">
        <v>23</v>
      </c>
      <c r="F3">
        <v>86</v>
      </c>
      <c r="G3">
        <v>31</v>
      </c>
      <c r="H3">
        <v>98</v>
      </c>
      <c r="I3">
        <v>44</v>
      </c>
      <c r="J3">
        <v>26</v>
      </c>
      <c r="K3">
        <v>97</v>
      </c>
      <c r="L3">
        <v>50</v>
      </c>
      <c r="M3">
        <v>36</v>
      </c>
      <c r="N3">
        <v>101</v>
      </c>
      <c r="O3">
        <v>89</v>
      </c>
      <c r="P3">
        <v>83</v>
      </c>
      <c r="T3" t="str">
        <f>IF(ISERROR(MATCH('Analysis backend'!$M$1,E3:N3,0)),"",'Analysis backend'!$L$1)</f>
        <v>Phantom Assassin</v>
      </c>
      <c r="U3" t="str">
        <f>IF(T3='Analysis backend'!$L$1,IF(ISERROR(MATCH('Analysis backend'!$M$1,E3:I3,0)),"Dire","Radiant"),"")</f>
        <v>Radiant</v>
      </c>
    </row>
    <row r="4" spans="1:21" x14ac:dyDescent="0.3">
      <c r="A4">
        <v>4255735189</v>
      </c>
      <c r="B4" s="1">
        <v>43439.525694444441</v>
      </c>
      <c r="C4">
        <v>7093</v>
      </c>
      <c r="D4" t="b">
        <v>1</v>
      </c>
      <c r="E4">
        <v>69</v>
      </c>
      <c r="F4">
        <v>8</v>
      </c>
      <c r="G4">
        <v>86</v>
      </c>
      <c r="H4">
        <v>112</v>
      </c>
      <c r="I4">
        <v>45</v>
      </c>
      <c r="J4">
        <v>47</v>
      </c>
      <c r="K4">
        <v>16</v>
      </c>
      <c r="L4">
        <v>31</v>
      </c>
      <c r="M4">
        <v>100</v>
      </c>
      <c r="N4">
        <v>1</v>
      </c>
      <c r="O4">
        <v>97</v>
      </c>
      <c r="P4">
        <v>44</v>
      </c>
      <c r="Q4">
        <v>38</v>
      </c>
      <c r="T4" t="str">
        <f>IF(ISERROR(MATCH('Analysis backend'!$M$1,E4:N4,0)),"",'Analysis backend'!$L$1)</f>
        <v/>
      </c>
      <c r="U4" t="str">
        <f>IF(T4='Analysis backend'!$L$1,IF(ISERROR(MATCH('Analysis backend'!$M$1,E4:I4,0)),"Dire","Radiant"),"")</f>
        <v/>
      </c>
    </row>
    <row r="5" spans="1:21" x14ac:dyDescent="0.3">
      <c r="A5">
        <v>4255743598</v>
      </c>
      <c r="B5" s="1">
        <v>43439.52847222222</v>
      </c>
      <c r="C5">
        <v>6988</v>
      </c>
      <c r="D5" t="b">
        <v>0</v>
      </c>
      <c r="E5">
        <v>19</v>
      </c>
      <c r="F5">
        <v>121</v>
      </c>
      <c r="G5">
        <v>44</v>
      </c>
      <c r="H5">
        <v>65</v>
      </c>
      <c r="I5">
        <v>111</v>
      </c>
      <c r="J5">
        <v>114</v>
      </c>
      <c r="K5">
        <v>27</v>
      </c>
      <c r="L5">
        <v>95</v>
      </c>
      <c r="M5">
        <v>112</v>
      </c>
      <c r="N5">
        <v>23</v>
      </c>
      <c r="O5">
        <v>97</v>
      </c>
      <c r="P5">
        <v>61</v>
      </c>
      <c r="T5" t="str">
        <f>IF(ISERROR(MATCH('Analysis backend'!$M$1,E5:N5,0)),"",'Analysis backend'!$L$1)</f>
        <v>Phantom Assassin</v>
      </c>
      <c r="U5" t="str">
        <f>IF(T5='Analysis backend'!$L$1,IF(ISERROR(MATCH('Analysis backend'!$M$1,E5:I5,0)),"Dire","Radiant"),"")</f>
        <v>Radiant</v>
      </c>
    </row>
    <row r="6" spans="1:21" x14ac:dyDescent="0.3">
      <c r="A6">
        <v>4255751251</v>
      </c>
      <c r="B6" s="1">
        <v>43439.53125</v>
      </c>
      <c r="C6">
        <v>6944</v>
      </c>
      <c r="D6" t="b">
        <v>1</v>
      </c>
      <c r="E6">
        <v>85</v>
      </c>
      <c r="F6">
        <v>112</v>
      </c>
      <c r="G6">
        <v>38</v>
      </c>
      <c r="H6">
        <v>34</v>
      </c>
      <c r="I6">
        <v>93</v>
      </c>
      <c r="J6">
        <v>44</v>
      </c>
      <c r="K6">
        <v>11</v>
      </c>
      <c r="L6">
        <v>79</v>
      </c>
      <c r="M6">
        <v>97</v>
      </c>
      <c r="N6">
        <v>86</v>
      </c>
      <c r="O6">
        <v>50</v>
      </c>
      <c r="T6" t="str">
        <f>IF(ISERROR(MATCH('Analysis backend'!$M$1,E6:N6,0)),"",'Analysis backend'!$L$1)</f>
        <v>Phantom Assassin</v>
      </c>
      <c r="U6" t="str">
        <f>IF(T6='Analysis backend'!$L$1,IF(ISERROR(MATCH('Analysis backend'!$M$1,E6:I6,0)),"Dire","Radiant"),"")</f>
        <v>Dire</v>
      </c>
    </row>
    <row r="7" spans="1:21" x14ac:dyDescent="0.3">
      <c r="A7">
        <v>4255745320</v>
      </c>
      <c r="B7" s="1">
        <v>43439.529861111114</v>
      </c>
      <c r="C7">
        <v>6863</v>
      </c>
      <c r="D7" t="b">
        <v>0</v>
      </c>
      <c r="E7">
        <v>28</v>
      </c>
      <c r="F7">
        <v>3</v>
      </c>
      <c r="G7">
        <v>1</v>
      </c>
      <c r="H7">
        <v>35</v>
      </c>
      <c r="I7">
        <v>86</v>
      </c>
      <c r="J7">
        <v>50</v>
      </c>
      <c r="K7">
        <v>31</v>
      </c>
      <c r="L7">
        <v>42</v>
      </c>
      <c r="M7">
        <v>84</v>
      </c>
      <c r="N7">
        <v>106</v>
      </c>
      <c r="O7">
        <v>78</v>
      </c>
      <c r="P7">
        <v>97</v>
      </c>
      <c r="Q7">
        <v>61</v>
      </c>
      <c r="T7" t="str">
        <f>IF(ISERROR(MATCH('Analysis backend'!$M$1,E7:N7,0)),"",'Analysis backend'!$L$1)</f>
        <v/>
      </c>
      <c r="U7" t="str">
        <f>IF(T7='Analysis backend'!$L$1,IF(ISERROR(MATCH('Analysis backend'!$M$1,E7:I7,0)),"Dire","Radiant"),"")</f>
        <v/>
      </c>
    </row>
    <row r="8" spans="1:21" x14ac:dyDescent="0.3">
      <c r="A8">
        <v>4255766472</v>
      </c>
      <c r="B8" s="1">
        <v>43439.537499999999</v>
      </c>
      <c r="C8">
        <v>6947</v>
      </c>
      <c r="T8" t="str">
        <f>IF(ISERROR(MATCH('Analysis backend'!$M$1,E8:N8,0)),"",'Analysis backend'!$L$1)</f>
        <v/>
      </c>
      <c r="U8" t="str">
        <f>IF(T8='Analysis backend'!$L$1,IF(ISERROR(MATCH('Analysis backend'!$M$1,E8:I8,0)),"Dire","Radiant"),"")</f>
        <v/>
      </c>
    </row>
    <row r="9" spans="1:21" x14ac:dyDescent="0.3">
      <c r="A9">
        <v>4255768009</v>
      </c>
      <c r="B9" s="1">
        <v>43439.538888888892</v>
      </c>
      <c r="C9">
        <v>7019</v>
      </c>
      <c r="D9" t="b">
        <v>1</v>
      </c>
      <c r="E9">
        <v>75</v>
      </c>
      <c r="F9">
        <v>71</v>
      </c>
      <c r="G9">
        <v>74</v>
      </c>
      <c r="H9">
        <v>29</v>
      </c>
      <c r="I9">
        <v>44</v>
      </c>
      <c r="J9">
        <v>2</v>
      </c>
      <c r="K9">
        <v>27</v>
      </c>
      <c r="L9">
        <v>23</v>
      </c>
      <c r="M9">
        <v>101</v>
      </c>
      <c r="N9">
        <v>41</v>
      </c>
      <c r="O9">
        <v>97</v>
      </c>
      <c r="P9">
        <v>85</v>
      </c>
      <c r="T9" t="str">
        <f>IF(ISERROR(MATCH('Analysis backend'!$M$1,E9:N9,0)),"",'Analysis backend'!$L$1)</f>
        <v>Phantom Assassin</v>
      </c>
      <c r="U9" t="str">
        <f>IF(T9='Analysis backend'!$L$1,IF(ISERROR(MATCH('Analysis backend'!$M$1,E9:I9,0)),"Dire","Radiant"),"")</f>
        <v>Radiant</v>
      </c>
    </row>
    <row r="10" spans="1:21" x14ac:dyDescent="0.3">
      <c r="A10">
        <v>4255746546</v>
      </c>
      <c r="B10" s="1">
        <v>43439.529861111114</v>
      </c>
      <c r="C10">
        <v>6982</v>
      </c>
      <c r="D10" t="b">
        <v>1</v>
      </c>
      <c r="E10">
        <v>28</v>
      </c>
      <c r="F10">
        <v>57</v>
      </c>
      <c r="G10">
        <v>15</v>
      </c>
      <c r="H10">
        <v>27</v>
      </c>
      <c r="I10">
        <v>93</v>
      </c>
      <c r="J10">
        <v>86</v>
      </c>
      <c r="K10">
        <v>45</v>
      </c>
      <c r="L10">
        <v>41</v>
      </c>
      <c r="M10">
        <v>101</v>
      </c>
      <c r="N10">
        <v>23</v>
      </c>
      <c r="O10">
        <v>50</v>
      </c>
      <c r="P10">
        <v>97</v>
      </c>
      <c r="T10" t="str">
        <f>IF(ISERROR(MATCH('Analysis backend'!$M$1,E10:N10,0)),"",'Analysis backend'!$L$1)</f>
        <v/>
      </c>
      <c r="U10" t="str">
        <f>IF(T10='Analysis backend'!$L$1,IF(ISERROR(MATCH('Analysis backend'!$M$1,E10:I10,0)),"Dire","Radiant"),"")</f>
        <v/>
      </c>
    </row>
    <row r="11" spans="1:21" x14ac:dyDescent="0.3">
      <c r="A11">
        <v>4255781049</v>
      </c>
      <c r="B11" s="1">
        <v>43439.543055555558</v>
      </c>
      <c r="C11">
        <v>6935</v>
      </c>
      <c r="D11" t="b">
        <v>1</v>
      </c>
      <c r="E11">
        <v>79</v>
      </c>
      <c r="F11">
        <v>109</v>
      </c>
      <c r="G11">
        <v>19</v>
      </c>
      <c r="H11">
        <v>114</v>
      </c>
      <c r="I11">
        <v>121</v>
      </c>
      <c r="J11">
        <v>50</v>
      </c>
      <c r="K11">
        <v>63</v>
      </c>
      <c r="L11">
        <v>59</v>
      </c>
      <c r="M11">
        <v>101</v>
      </c>
      <c r="N11">
        <v>41</v>
      </c>
      <c r="O11">
        <v>44</v>
      </c>
      <c r="P11">
        <v>78</v>
      </c>
      <c r="Q11">
        <v>97</v>
      </c>
      <c r="T11" t="str">
        <f>IF(ISERROR(MATCH('Analysis backend'!$M$1,E11:N11,0)),"",'Analysis backend'!$L$1)</f>
        <v/>
      </c>
      <c r="U11" t="str">
        <f>IF(T11='Analysis backend'!$L$1,IF(ISERROR(MATCH('Analysis backend'!$M$1,E11:I11,0)),"Dire","Radiant"),"")</f>
        <v/>
      </c>
    </row>
    <row r="12" spans="1:21" x14ac:dyDescent="0.3">
      <c r="A12">
        <v>4255790193</v>
      </c>
      <c r="B12" s="1">
        <v>43439.54791666667</v>
      </c>
      <c r="C12">
        <v>6873</v>
      </c>
      <c r="D12" t="b">
        <v>0</v>
      </c>
      <c r="E12">
        <v>105</v>
      </c>
      <c r="F12">
        <v>7</v>
      </c>
      <c r="G12">
        <v>41</v>
      </c>
      <c r="H12">
        <v>76</v>
      </c>
      <c r="I12">
        <v>63</v>
      </c>
      <c r="J12">
        <v>50</v>
      </c>
      <c r="K12">
        <v>95</v>
      </c>
      <c r="L12">
        <v>75</v>
      </c>
      <c r="M12">
        <v>86</v>
      </c>
      <c r="N12">
        <v>16</v>
      </c>
      <c r="O12">
        <v>88</v>
      </c>
      <c r="P12">
        <v>44</v>
      </c>
      <c r="Q12">
        <v>97</v>
      </c>
      <c r="T12" t="str">
        <f>IF(ISERROR(MATCH('Analysis backend'!$M$1,E12:N12,0)),"",'Analysis backend'!$L$1)</f>
        <v/>
      </c>
      <c r="U12" t="str">
        <f>IF(T12='Analysis backend'!$L$1,IF(ISERROR(MATCH('Analysis backend'!$M$1,E12:I12,0)),"Dire","Radiant"),"")</f>
        <v/>
      </c>
    </row>
    <row r="13" spans="1:21" x14ac:dyDescent="0.3">
      <c r="A13">
        <v>4255780442</v>
      </c>
      <c r="B13" s="1">
        <v>43439.543055555558</v>
      </c>
      <c r="C13">
        <v>6805</v>
      </c>
      <c r="D13" t="b">
        <v>0</v>
      </c>
      <c r="E13">
        <v>106</v>
      </c>
      <c r="F13">
        <v>71</v>
      </c>
      <c r="G13">
        <v>86</v>
      </c>
      <c r="H13">
        <v>45</v>
      </c>
      <c r="I13">
        <v>15</v>
      </c>
      <c r="J13">
        <v>31</v>
      </c>
      <c r="K13">
        <v>41</v>
      </c>
      <c r="L13">
        <v>97</v>
      </c>
      <c r="M13">
        <v>110</v>
      </c>
      <c r="N13">
        <v>114</v>
      </c>
      <c r="O13">
        <v>93</v>
      </c>
      <c r="P13">
        <v>44</v>
      </c>
      <c r="T13" t="str">
        <f>IF(ISERROR(MATCH('Analysis backend'!$M$1,E13:N13,0)),"",'Analysis backend'!$L$1)</f>
        <v/>
      </c>
      <c r="U13" t="str">
        <f>IF(T13='Analysis backend'!$L$1,IF(ISERROR(MATCH('Analysis backend'!$M$1,E13:I13,0)),"Dire","Radiant"),"")</f>
        <v/>
      </c>
    </row>
    <row r="14" spans="1:21" x14ac:dyDescent="0.3">
      <c r="A14">
        <v>4255808674</v>
      </c>
      <c r="B14" s="1">
        <v>43439.553472222222</v>
      </c>
      <c r="C14">
        <v>7316</v>
      </c>
      <c r="D14" t="b">
        <v>0</v>
      </c>
      <c r="E14">
        <v>114</v>
      </c>
      <c r="F14">
        <v>100</v>
      </c>
      <c r="G14">
        <v>50</v>
      </c>
      <c r="H14">
        <v>49</v>
      </c>
      <c r="I14">
        <v>40</v>
      </c>
      <c r="J14">
        <v>79</v>
      </c>
      <c r="K14">
        <v>7</v>
      </c>
      <c r="L14">
        <v>12</v>
      </c>
      <c r="M14">
        <v>15</v>
      </c>
      <c r="N14">
        <v>87</v>
      </c>
      <c r="T14" t="str">
        <f>IF(ISERROR(MATCH('Analysis backend'!$M$1,E14:N14,0)),"",'Analysis backend'!$L$1)</f>
        <v/>
      </c>
      <c r="U14" t="str">
        <f>IF(T14='Analysis backend'!$L$1,IF(ISERROR(MATCH('Analysis backend'!$M$1,E14:I14,0)),"Dire","Radiant"),"")</f>
        <v/>
      </c>
    </row>
    <row r="15" spans="1:21" x14ac:dyDescent="0.3">
      <c r="A15">
        <v>4255798867</v>
      </c>
      <c r="B15" s="1">
        <v>43439.550694444442</v>
      </c>
      <c r="C15">
        <v>7145</v>
      </c>
      <c r="D15" t="b">
        <v>1</v>
      </c>
      <c r="E15">
        <v>100</v>
      </c>
      <c r="F15">
        <v>44</v>
      </c>
      <c r="G15">
        <v>50</v>
      </c>
      <c r="H15">
        <v>121</v>
      </c>
      <c r="I15">
        <v>59</v>
      </c>
      <c r="J15">
        <v>1</v>
      </c>
      <c r="K15">
        <v>97</v>
      </c>
      <c r="L15">
        <v>83</v>
      </c>
      <c r="M15">
        <v>23</v>
      </c>
      <c r="N15">
        <v>86</v>
      </c>
      <c r="O15">
        <v>61</v>
      </c>
      <c r="T15" t="str">
        <f>IF(ISERROR(MATCH('Analysis backend'!$M$1,E15:N15,0)),"",'Analysis backend'!$L$1)</f>
        <v>Phantom Assassin</v>
      </c>
      <c r="U15" t="str">
        <f>IF(T15='Analysis backend'!$L$1,IF(ISERROR(MATCH('Analysis backend'!$M$1,E15:I15,0)),"Dire","Radiant"),"")</f>
        <v>Radiant</v>
      </c>
    </row>
    <row r="16" spans="1:21" x14ac:dyDescent="0.3">
      <c r="A16">
        <v>4255833275</v>
      </c>
      <c r="B16">
        <v>1544016768</v>
      </c>
      <c r="C16">
        <v>7687</v>
      </c>
      <c r="D16" t="b">
        <v>0</v>
      </c>
      <c r="E16">
        <v>86</v>
      </c>
      <c r="F16">
        <v>109</v>
      </c>
      <c r="G16">
        <v>31</v>
      </c>
      <c r="H16">
        <v>7</v>
      </c>
      <c r="I16">
        <v>95</v>
      </c>
      <c r="J16">
        <v>19</v>
      </c>
      <c r="K16">
        <v>8</v>
      </c>
      <c r="L16">
        <v>45</v>
      </c>
      <c r="M16">
        <v>74</v>
      </c>
      <c r="N16">
        <v>50</v>
      </c>
      <c r="O16">
        <v>23</v>
      </c>
      <c r="P16">
        <v>77</v>
      </c>
      <c r="Q16">
        <v>44</v>
      </c>
      <c r="T16" t="str">
        <f>IF(ISERROR(MATCH('Analysis backend'!$M$1,E16:N16,0)),"",'Analysis backend'!$L$1)</f>
        <v/>
      </c>
      <c r="U16" t="str">
        <f>IF(T16='Analysis backend'!$L$1,IF(ISERROR(MATCH('Analysis backend'!$M$1,E16:I16,0)),"Dire","Radiant"),"")</f>
        <v/>
      </c>
    </row>
    <row r="17" spans="1:21" x14ac:dyDescent="0.3">
      <c r="A17">
        <v>4255832396</v>
      </c>
      <c r="B17">
        <v>1544016640</v>
      </c>
      <c r="C17">
        <v>7138</v>
      </c>
      <c r="D17" t="b">
        <v>1</v>
      </c>
      <c r="E17">
        <v>94</v>
      </c>
      <c r="F17">
        <v>27</v>
      </c>
      <c r="G17">
        <v>121</v>
      </c>
      <c r="H17">
        <v>25</v>
      </c>
      <c r="I17">
        <v>84</v>
      </c>
      <c r="J17">
        <v>50</v>
      </c>
      <c r="K17">
        <v>45</v>
      </c>
      <c r="L17">
        <v>86</v>
      </c>
      <c r="M17">
        <v>44</v>
      </c>
      <c r="N17">
        <v>83</v>
      </c>
      <c r="O17">
        <v>100</v>
      </c>
      <c r="P17">
        <v>97</v>
      </c>
      <c r="T17" t="str">
        <f>IF(ISERROR(MATCH('Analysis backend'!$M$1,E17:N17,0)),"",'Analysis backend'!$L$1)</f>
        <v>Phantom Assassin</v>
      </c>
      <c r="U17" t="str">
        <f>IF(T17='Analysis backend'!$L$1,IF(ISERROR(MATCH('Analysis backend'!$M$1,E17:I17,0)),"Dire","Radiant"),"")</f>
        <v>Dire</v>
      </c>
    </row>
    <row r="18" spans="1:21" x14ac:dyDescent="0.3">
      <c r="A18">
        <v>4255835347</v>
      </c>
      <c r="B18">
        <v>1544016768</v>
      </c>
      <c r="C18">
        <v>7113</v>
      </c>
      <c r="D18" t="b">
        <v>1</v>
      </c>
      <c r="E18">
        <v>97</v>
      </c>
      <c r="F18">
        <v>93</v>
      </c>
      <c r="G18">
        <v>26</v>
      </c>
      <c r="H18">
        <v>100</v>
      </c>
      <c r="I18">
        <v>45</v>
      </c>
      <c r="J18">
        <v>114</v>
      </c>
      <c r="K18">
        <v>44</v>
      </c>
      <c r="L18">
        <v>57</v>
      </c>
      <c r="M18">
        <v>39</v>
      </c>
      <c r="N18">
        <v>88</v>
      </c>
      <c r="O18">
        <v>86</v>
      </c>
      <c r="T18" t="str">
        <f>IF(ISERROR(MATCH('Analysis backend'!$M$1,E18:N18,0)),"",'Analysis backend'!$L$1)</f>
        <v>Phantom Assassin</v>
      </c>
      <c r="U18" t="str">
        <f>IF(T18='Analysis backend'!$L$1,IF(ISERROR(MATCH('Analysis backend'!$M$1,E18:I18,0)),"Dire","Radiant"),"")</f>
        <v>Dire</v>
      </c>
    </row>
    <row r="19" spans="1:21" x14ac:dyDescent="0.3">
      <c r="A19">
        <v>4255823693</v>
      </c>
      <c r="B19">
        <v>1544016384</v>
      </c>
      <c r="C19">
        <v>6894</v>
      </c>
      <c r="D19" t="b">
        <v>1</v>
      </c>
      <c r="E19">
        <v>80</v>
      </c>
      <c r="F19">
        <v>103</v>
      </c>
      <c r="G19">
        <v>89</v>
      </c>
      <c r="H19">
        <v>78</v>
      </c>
      <c r="I19">
        <v>85</v>
      </c>
      <c r="J19">
        <v>27</v>
      </c>
      <c r="K19">
        <v>95</v>
      </c>
      <c r="L19">
        <v>100</v>
      </c>
      <c r="M19">
        <v>21</v>
      </c>
      <c r="N19">
        <v>110</v>
      </c>
      <c r="O19">
        <v>97</v>
      </c>
      <c r="P19">
        <v>10</v>
      </c>
      <c r="Q19">
        <v>44</v>
      </c>
      <c r="T19" t="str">
        <f>IF(ISERROR(MATCH('Analysis backend'!$M$1,E19:N19,0)),"",'Analysis backend'!$L$1)</f>
        <v/>
      </c>
      <c r="U19" t="str">
        <f>IF(T19='Analysis backend'!$L$1,IF(ISERROR(MATCH('Analysis backend'!$M$1,E19:I19,0)),"Dire","Radiant"),"")</f>
        <v/>
      </c>
    </row>
    <row r="20" spans="1:21" x14ac:dyDescent="0.3">
      <c r="A20">
        <v>4255844215</v>
      </c>
      <c r="B20">
        <v>1544017152</v>
      </c>
      <c r="C20">
        <v>7360</v>
      </c>
      <c r="D20" t="b">
        <v>1</v>
      </c>
      <c r="E20">
        <v>90</v>
      </c>
      <c r="F20">
        <v>1</v>
      </c>
      <c r="G20">
        <v>121</v>
      </c>
      <c r="H20">
        <v>97</v>
      </c>
      <c r="I20">
        <v>16</v>
      </c>
      <c r="J20">
        <v>114</v>
      </c>
      <c r="K20">
        <v>27</v>
      </c>
      <c r="L20">
        <v>53</v>
      </c>
      <c r="M20">
        <v>44</v>
      </c>
      <c r="N20">
        <v>62</v>
      </c>
      <c r="O20">
        <v>91</v>
      </c>
      <c r="T20" t="str">
        <f>IF(ISERROR(MATCH('Analysis backend'!$M$1,E20:N20,0)),"",'Analysis backend'!$L$1)</f>
        <v>Phantom Assassin</v>
      </c>
      <c r="U20" t="str">
        <f>IF(T20='Analysis backend'!$L$1,IF(ISERROR(MATCH('Analysis backend'!$M$1,E20:I20,0)),"Dire","Radiant"),"")</f>
        <v>Dire</v>
      </c>
    </row>
    <row r="21" spans="1:21" x14ac:dyDescent="0.3">
      <c r="A21">
        <v>4255858506</v>
      </c>
      <c r="B21">
        <v>1544017536</v>
      </c>
      <c r="C21">
        <v>6986</v>
      </c>
      <c r="D21" t="b">
        <v>1</v>
      </c>
      <c r="E21">
        <v>16</v>
      </c>
      <c r="F21">
        <v>53</v>
      </c>
      <c r="G21">
        <v>41</v>
      </c>
      <c r="H21">
        <v>51</v>
      </c>
      <c r="I21">
        <v>78</v>
      </c>
      <c r="J21">
        <v>93</v>
      </c>
      <c r="K21">
        <v>31</v>
      </c>
      <c r="L21">
        <v>13</v>
      </c>
      <c r="M21">
        <v>62</v>
      </c>
      <c r="N21">
        <v>98</v>
      </c>
      <c r="O21">
        <v>44</v>
      </c>
      <c r="P21">
        <v>59</v>
      </c>
      <c r="T21" t="str">
        <f>IF(ISERROR(MATCH('Analysis backend'!$M$1,E21:N21,0)),"",'Analysis backend'!$L$1)</f>
        <v/>
      </c>
      <c r="U21" t="str">
        <f>IF(T21='Analysis backend'!$L$1,IF(ISERROR(MATCH('Analysis backend'!$M$1,E21:I21,0)),"Dire","Radiant"),"")</f>
        <v/>
      </c>
    </row>
    <row r="22" spans="1:21" x14ac:dyDescent="0.3">
      <c r="A22">
        <v>4255860370</v>
      </c>
      <c r="B22">
        <v>1544017664</v>
      </c>
      <c r="C22">
        <v>6924</v>
      </c>
      <c r="T22" t="str">
        <f>IF(ISERROR(MATCH('Analysis backend'!$M$1,E22:N22,0)),"",'Analysis backend'!$L$1)</f>
        <v/>
      </c>
      <c r="U22" t="str">
        <f>IF(T22='Analysis backend'!$L$1,IF(ISERROR(MATCH('Analysis backend'!$M$1,E22:I22,0)),"Dire","Radiant"),"")</f>
        <v/>
      </c>
    </row>
    <row r="23" spans="1:21" x14ac:dyDescent="0.3">
      <c r="A23">
        <v>4255893912</v>
      </c>
      <c r="B23">
        <v>1544018688</v>
      </c>
      <c r="C23">
        <v>7167</v>
      </c>
      <c r="D23" t="b">
        <v>1</v>
      </c>
      <c r="E23">
        <v>1</v>
      </c>
      <c r="F23">
        <v>31</v>
      </c>
      <c r="G23">
        <v>7</v>
      </c>
      <c r="H23">
        <v>45</v>
      </c>
      <c r="I23">
        <v>97</v>
      </c>
      <c r="J23">
        <v>76</v>
      </c>
      <c r="K23">
        <v>121</v>
      </c>
      <c r="L23">
        <v>41</v>
      </c>
      <c r="M23">
        <v>38</v>
      </c>
      <c r="N23">
        <v>86</v>
      </c>
      <c r="O23">
        <v>105</v>
      </c>
      <c r="T23" t="str">
        <f>IF(ISERROR(MATCH('Analysis backend'!$M$1,E23:N23,0)),"",'Analysis backend'!$L$1)</f>
        <v/>
      </c>
      <c r="U23" t="str">
        <f>IF(T23='Analysis backend'!$L$1,IF(ISERROR(MATCH('Analysis backend'!$M$1,E23:I23,0)),"Dire","Radiant"),"")</f>
        <v/>
      </c>
    </row>
    <row r="24" spans="1:21" x14ac:dyDescent="0.3">
      <c r="A24">
        <v>4255876090</v>
      </c>
      <c r="B24">
        <v>1544018176</v>
      </c>
      <c r="C24">
        <v>7005</v>
      </c>
      <c r="D24" t="b">
        <v>1</v>
      </c>
      <c r="E24">
        <v>31</v>
      </c>
      <c r="F24">
        <v>4</v>
      </c>
      <c r="G24">
        <v>100</v>
      </c>
      <c r="H24">
        <v>22</v>
      </c>
      <c r="I24">
        <v>28</v>
      </c>
      <c r="J24">
        <v>10</v>
      </c>
      <c r="K24">
        <v>16</v>
      </c>
      <c r="L24">
        <v>26</v>
      </c>
      <c r="M24">
        <v>34</v>
      </c>
      <c r="N24">
        <v>86</v>
      </c>
      <c r="O24">
        <v>93</v>
      </c>
      <c r="P24">
        <v>44</v>
      </c>
      <c r="T24" t="str">
        <f>IF(ISERROR(MATCH('Analysis backend'!$M$1,E24:N24,0)),"",'Analysis backend'!$L$1)</f>
        <v/>
      </c>
      <c r="U24" t="str">
        <f>IF(T24='Analysis backend'!$L$1,IF(ISERROR(MATCH('Analysis backend'!$M$1,E24:I24,0)),"Dire","Radiant"),"")</f>
        <v/>
      </c>
    </row>
    <row r="25" spans="1:21" x14ac:dyDescent="0.3">
      <c r="A25">
        <v>4255891168</v>
      </c>
      <c r="B25">
        <v>1544018688</v>
      </c>
      <c r="C25">
        <v>7065</v>
      </c>
      <c r="D25" t="b">
        <v>0</v>
      </c>
      <c r="E25">
        <v>97</v>
      </c>
      <c r="F25">
        <v>106</v>
      </c>
      <c r="G25">
        <v>76</v>
      </c>
      <c r="H25">
        <v>2</v>
      </c>
      <c r="I25">
        <v>111</v>
      </c>
      <c r="J25">
        <v>85</v>
      </c>
      <c r="K25">
        <v>29</v>
      </c>
      <c r="L25">
        <v>10</v>
      </c>
      <c r="M25">
        <v>11</v>
      </c>
      <c r="N25">
        <v>50</v>
      </c>
      <c r="O25">
        <v>44</v>
      </c>
      <c r="T25" t="str">
        <f>IF(ISERROR(MATCH('Analysis backend'!$M$1,E25:N25,0)),"",'Analysis backend'!$L$1)</f>
        <v/>
      </c>
      <c r="U25" t="str">
        <f>IF(T25='Analysis backend'!$L$1,IF(ISERROR(MATCH('Analysis backend'!$M$1,E25:I25,0)),"Dire","Radiant"),"")</f>
        <v/>
      </c>
    </row>
    <row r="26" spans="1:21" x14ac:dyDescent="0.3">
      <c r="A26">
        <v>4255850575</v>
      </c>
      <c r="B26">
        <v>1544017280</v>
      </c>
      <c r="C26">
        <v>6902</v>
      </c>
      <c r="D26" t="b">
        <v>0</v>
      </c>
      <c r="E26">
        <v>44</v>
      </c>
      <c r="F26">
        <v>97</v>
      </c>
      <c r="G26">
        <v>68</v>
      </c>
      <c r="H26">
        <v>23</v>
      </c>
      <c r="I26">
        <v>108</v>
      </c>
      <c r="J26">
        <v>31</v>
      </c>
      <c r="K26">
        <v>121</v>
      </c>
      <c r="L26">
        <v>6</v>
      </c>
      <c r="M26">
        <v>93</v>
      </c>
      <c r="N26">
        <v>69</v>
      </c>
      <c r="O26">
        <v>61</v>
      </c>
      <c r="P26">
        <v>85</v>
      </c>
      <c r="T26" t="str">
        <f>IF(ISERROR(MATCH('Analysis backend'!$M$1,E26:N26,0)),"",'Analysis backend'!$L$1)</f>
        <v>Phantom Assassin</v>
      </c>
      <c r="U26" t="str">
        <f>IF(T26='Analysis backend'!$L$1,IF(ISERROR(MATCH('Analysis backend'!$M$1,E26:I26,0)),"Dire","Radiant"),"")</f>
        <v>Radiant</v>
      </c>
    </row>
    <row r="27" spans="1:21" x14ac:dyDescent="0.3">
      <c r="A27">
        <v>4255909431</v>
      </c>
      <c r="B27">
        <v>1544019200</v>
      </c>
      <c r="C27">
        <v>7604</v>
      </c>
      <c r="D27" t="b">
        <v>1</v>
      </c>
      <c r="E27">
        <v>44</v>
      </c>
      <c r="F27">
        <v>100</v>
      </c>
      <c r="G27">
        <v>16</v>
      </c>
      <c r="H27">
        <v>76</v>
      </c>
      <c r="I27">
        <v>86</v>
      </c>
      <c r="J27">
        <v>78</v>
      </c>
      <c r="K27">
        <v>26</v>
      </c>
      <c r="L27">
        <v>95</v>
      </c>
      <c r="M27">
        <v>7</v>
      </c>
      <c r="N27">
        <v>97</v>
      </c>
      <c r="O27">
        <v>112</v>
      </c>
      <c r="T27" t="str">
        <f>IF(ISERROR(MATCH('Analysis backend'!$M$1,E27:N27,0)),"",'Analysis backend'!$L$1)</f>
        <v>Phantom Assassin</v>
      </c>
      <c r="U27" t="str">
        <f>IF(T27='Analysis backend'!$L$1,IF(ISERROR(MATCH('Analysis backend'!$M$1,E27:I27,0)),"Dire","Radiant"),"")</f>
        <v>Radiant</v>
      </c>
    </row>
    <row r="28" spans="1:21" x14ac:dyDescent="0.3">
      <c r="A28">
        <v>4255900664</v>
      </c>
      <c r="B28">
        <v>1544018944</v>
      </c>
      <c r="C28">
        <v>7144</v>
      </c>
      <c r="D28" t="b">
        <v>0</v>
      </c>
      <c r="E28">
        <v>78</v>
      </c>
      <c r="F28">
        <v>44</v>
      </c>
      <c r="G28">
        <v>75</v>
      </c>
      <c r="H28">
        <v>114</v>
      </c>
      <c r="I28">
        <v>85</v>
      </c>
      <c r="J28">
        <v>109</v>
      </c>
      <c r="K28">
        <v>83</v>
      </c>
      <c r="L28">
        <v>97</v>
      </c>
      <c r="M28">
        <v>77</v>
      </c>
      <c r="N28">
        <v>25</v>
      </c>
      <c r="O28">
        <v>34</v>
      </c>
      <c r="P28">
        <v>50</v>
      </c>
      <c r="T28" t="str">
        <f>IF(ISERROR(MATCH('Analysis backend'!$M$1,E28:N28,0)),"",'Analysis backend'!$L$1)</f>
        <v>Phantom Assassin</v>
      </c>
      <c r="U28" t="str">
        <f>IF(T28='Analysis backend'!$L$1,IF(ISERROR(MATCH('Analysis backend'!$M$1,E28:I28,0)),"Dire","Radiant"),"")</f>
        <v>Radiant</v>
      </c>
    </row>
    <row r="29" spans="1:21" x14ac:dyDescent="0.3">
      <c r="A29">
        <v>4255902095</v>
      </c>
      <c r="B29">
        <v>1544018944</v>
      </c>
      <c r="C29">
        <v>7111</v>
      </c>
      <c r="D29" t="b">
        <v>0</v>
      </c>
      <c r="E29">
        <v>38</v>
      </c>
      <c r="F29">
        <v>76</v>
      </c>
      <c r="G29">
        <v>91</v>
      </c>
      <c r="H29">
        <v>45</v>
      </c>
      <c r="I29">
        <v>86</v>
      </c>
      <c r="J29">
        <v>23</v>
      </c>
      <c r="K29">
        <v>1</v>
      </c>
      <c r="L29">
        <v>103</v>
      </c>
      <c r="M29">
        <v>85</v>
      </c>
      <c r="N29">
        <v>16</v>
      </c>
      <c r="O29">
        <v>53</v>
      </c>
      <c r="P29">
        <v>44</v>
      </c>
      <c r="Q29">
        <v>2</v>
      </c>
      <c r="T29" t="str">
        <f>IF(ISERROR(MATCH('Analysis backend'!$M$1,E29:N29,0)),"",'Analysis backend'!$L$1)</f>
        <v/>
      </c>
      <c r="U29" t="str">
        <f>IF(T29='Analysis backend'!$L$1,IF(ISERROR(MATCH('Analysis backend'!$M$1,E29:I29,0)),"Dire","Radiant"),"")</f>
        <v/>
      </c>
    </row>
    <row r="30" spans="1:21" x14ac:dyDescent="0.3">
      <c r="A30">
        <v>4255906591</v>
      </c>
      <c r="B30">
        <v>1544019200</v>
      </c>
      <c r="C30">
        <v>7108</v>
      </c>
      <c r="D30" t="b">
        <v>0</v>
      </c>
      <c r="E30">
        <v>56</v>
      </c>
      <c r="F30">
        <v>101</v>
      </c>
      <c r="G30">
        <v>2</v>
      </c>
      <c r="H30">
        <v>4</v>
      </c>
      <c r="I30">
        <v>121</v>
      </c>
      <c r="J30">
        <v>90</v>
      </c>
      <c r="K30">
        <v>22</v>
      </c>
      <c r="L30">
        <v>97</v>
      </c>
      <c r="M30">
        <v>64</v>
      </c>
      <c r="N30">
        <v>44</v>
      </c>
      <c r="O30">
        <v>34</v>
      </c>
      <c r="T30" t="str">
        <f>IF(ISERROR(MATCH('Analysis backend'!$M$1,E30:N30,0)),"",'Analysis backend'!$L$1)</f>
        <v>Phantom Assassin</v>
      </c>
      <c r="U30" t="str">
        <f>IF(T30='Analysis backend'!$L$1,IF(ISERROR(MATCH('Analysis backend'!$M$1,E30:I30,0)),"Dire","Radiant"),"")</f>
        <v>Dire</v>
      </c>
    </row>
    <row r="31" spans="1:21" x14ac:dyDescent="0.3">
      <c r="A31">
        <v>4255930223</v>
      </c>
      <c r="B31">
        <v>1544019968</v>
      </c>
      <c r="C31">
        <v>7232</v>
      </c>
      <c r="D31" t="b">
        <v>0</v>
      </c>
      <c r="E31">
        <v>9</v>
      </c>
      <c r="F31">
        <v>1</v>
      </c>
      <c r="G31">
        <v>101</v>
      </c>
      <c r="H31">
        <v>91</v>
      </c>
      <c r="I31">
        <v>78</v>
      </c>
      <c r="J31">
        <v>13</v>
      </c>
      <c r="K31">
        <v>80</v>
      </c>
      <c r="L31">
        <v>121</v>
      </c>
      <c r="M31">
        <v>50</v>
      </c>
      <c r="N31">
        <v>107</v>
      </c>
      <c r="O31">
        <v>44</v>
      </c>
      <c r="P31">
        <v>97</v>
      </c>
      <c r="T31" t="str">
        <f>IF(ISERROR(MATCH('Analysis backend'!$M$1,E31:N31,0)),"",'Analysis backend'!$L$1)</f>
        <v/>
      </c>
      <c r="U31" t="str">
        <f>IF(T31='Analysis backend'!$L$1,IF(ISERROR(MATCH('Analysis backend'!$M$1,E31:I31,0)),"Dire","Radiant"),"")</f>
        <v/>
      </c>
    </row>
    <row r="32" spans="1:21" x14ac:dyDescent="0.3">
      <c r="A32">
        <v>4255944539</v>
      </c>
      <c r="B32">
        <v>1544020352</v>
      </c>
      <c r="C32">
        <v>7146</v>
      </c>
      <c r="D32" t="b">
        <v>1</v>
      </c>
      <c r="E32">
        <v>78</v>
      </c>
      <c r="F32">
        <v>39</v>
      </c>
      <c r="G32">
        <v>50</v>
      </c>
      <c r="H32">
        <v>44</v>
      </c>
      <c r="I32">
        <v>86</v>
      </c>
      <c r="J32">
        <v>109</v>
      </c>
      <c r="K32">
        <v>97</v>
      </c>
      <c r="L32">
        <v>7</v>
      </c>
      <c r="M32">
        <v>3</v>
      </c>
      <c r="N32">
        <v>87</v>
      </c>
      <c r="O32">
        <v>82</v>
      </c>
      <c r="T32" t="str">
        <f>IF(ISERROR(MATCH('Analysis backend'!$M$1,E32:N32,0)),"",'Analysis backend'!$L$1)</f>
        <v>Phantom Assassin</v>
      </c>
      <c r="U32" t="str">
        <f>IF(T32='Analysis backend'!$L$1,IF(ISERROR(MATCH('Analysis backend'!$M$1,E32:I32,0)),"Dire","Radiant"),"")</f>
        <v>Radiant</v>
      </c>
    </row>
    <row r="33" spans="1:21" x14ac:dyDescent="0.3">
      <c r="A33">
        <v>4255955300</v>
      </c>
      <c r="B33">
        <v>1544020736</v>
      </c>
      <c r="C33">
        <v>7075</v>
      </c>
      <c r="D33" t="b">
        <v>1</v>
      </c>
      <c r="E33">
        <v>97</v>
      </c>
      <c r="F33">
        <v>46</v>
      </c>
      <c r="G33">
        <v>26</v>
      </c>
      <c r="H33">
        <v>114</v>
      </c>
      <c r="I33">
        <v>38</v>
      </c>
      <c r="J33">
        <v>86</v>
      </c>
      <c r="K33">
        <v>6</v>
      </c>
      <c r="L33">
        <v>27</v>
      </c>
      <c r="M33">
        <v>16</v>
      </c>
      <c r="N33">
        <v>35</v>
      </c>
      <c r="O33">
        <v>76</v>
      </c>
      <c r="P33">
        <v>121</v>
      </c>
      <c r="Q33">
        <v>44</v>
      </c>
      <c r="T33" t="str">
        <f>IF(ISERROR(MATCH('Analysis backend'!$M$1,E33:N33,0)),"",'Analysis backend'!$L$1)</f>
        <v/>
      </c>
      <c r="U33" t="str">
        <f>IF(T33='Analysis backend'!$L$1,IF(ISERROR(MATCH('Analysis backend'!$M$1,E33:I33,0)),"Dire","Radiant"),"")</f>
        <v/>
      </c>
    </row>
    <row r="34" spans="1:21" x14ac:dyDescent="0.3">
      <c r="A34">
        <v>4255987496</v>
      </c>
      <c r="B34">
        <v>1544021888</v>
      </c>
      <c r="C34">
        <v>7202</v>
      </c>
      <c r="D34" t="b">
        <v>0</v>
      </c>
      <c r="E34">
        <v>91</v>
      </c>
      <c r="F34">
        <v>1</v>
      </c>
      <c r="G34">
        <v>45</v>
      </c>
      <c r="H34">
        <v>114</v>
      </c>
      <c r="I34">
        <v>86</v>
      </c>
      <c r="J34">
        <v>19</v>
      </c>
      <c r="K34">
        <v>37</v>
      </c>
      <c r="L34">
        <v>63</v>
      </c>
      <c r="M34">
        <v>100</v>
      </c>
      <c r="N34">
        <v>41</v>
      </c>
      <c r="O34">
        <v>80</v>
      </c>
      <c r="P34">
        <v>110</v>
      </c>
      <c r="Q34">
        <v>44</v>
      </c>
      <c r="T34" t="str">
        <f>IF(ISERROR(MATCH('Analysis backend'!$M$1,E34:N34,0)),"",'Analysis backend'!$L$1)</f>
        <v/>
      </c>
      <c r="U34" t="str">
        <f>IF(T34='Analysis backend'!$L$1,IF(ISERROR(MATCH('Analysis backend'!$M$1,E34:I34,0)),"Dire","Radiant"),"")</f>
        <v/>
      </c>
    </row>
    <row r="35" spans="1:21" x14ac:dyDescent="0.3">
      <c r="A35">
        <v>4255973983</v>
      </c>
      <c r="B35">
        <v>1544021376</v>
      </c>
      <c r="C35">
        <v>7028</v>
      </c>
      <c r="D35" t="b">
        <v>1</v>
      </c>
      <c r="E35">
        <v>50</v>
      </c>
      <c r="F35">
        <v>1</v>
      </c>
      <c r="G35">
        <v>100</v>
      </c>
      <c r="H35">
        <v>26</v>
      </c>
      <c r="I35">
        <v>22</v>
      </c>
      <c r="J35">
        <v>69</v>
      </c>
      <c r="K35">
        <v>8</v>
      </c>
      <c r="L35">
        <v>82</v>
      </c>
      <c r="M35">
        <v>31</v>
      </c>
      <c r="N35">
        <v>62</v>
      </c>
      <c r="O35">
        <v>97</v>
      </c>
      <c r="P35">
        <v>80</v>
      </c>
      <c r="T35" t="str">
        <f>IF(ISERROR(MATCH('Analysis backend'!$M$1,E35:N35,0)),"",'Analysis backend'!$L$1)</f>
        <v/>
      </c>
      <c r="U35" t="str">
        <f>IF(T35='Analysis backend'!$L$1,IF(ISERROR(MATCH('Analysis backend'!$M$1,E35:I35,0)),"Dire","Radiant"),"")</f>
        <v/>
      </c>
    </row>
    <row r="36" spans="1:21" x14ac:dyDescent="0.3">
      <c r="A36">
        <v>4255990367</v>
      </c>
      <c r="B36">
        <v>1544022016</v>
      </c>
      <c r="C36">
        <v>7234</v>
      </c>
      <c r="D36" t="b">
        <v>1</v>
      </c>
      <c r="E36">
        <v>53</v>
      </c>
      <c r="F36">
        <v>76</v>
      </c>
      <c r="G36">
        <v>50</v>
      </c>
      <c r="H36">
        <v>95</v>
      </c>
      <c r="I36">
        <v>7</v>
      </c>
      <c r="J36">
        <v>9</v>
      </c>
      <c r="K36">
        <v>1</v>
      </c>
      <c r="L36">
        <v>46</v>
      </c>
      <c r="M36">
        <v>14</v>
      </c>
      <c r="N36">
        <v>31</v>
      </c>
      <c r="O36">
        <v>44</v>
      </c>
      <c r="P36">
        <v>82</v>
      </c>
      <c r="Q36">
        <v>57</v>
      </c>
      <c r="T36" t="str">
        <f>IF(ISERROR(MATCH('Analysis backend'!$M$1,E36:N36,0)),"",'Analysis backend'!$L$1)</f>
        <v/>
      </c>
      <c r="U36" t="str">
        <f>IF(T36='Analysis backend'!$L$1,IF(ISERROR(MATCH('Analysis backend'!$M$1,E36:I36,0)),"Dire","Radiant"),"")</f>
        <v/>
      </c>
    </row>
    <row r="37" spans="1:21" x14ac:dyDescent="0.3">
      <c r="A37">
        <v>4256000928</v>
      </c>
      <c r="B37">
        <v>1544022400</v>
      </c>
      <c r="C37">
        <v>7033</v>
      </c>
      <c r="D37" t="b">
        <v>1</v>
      </c>
      <c r="E37">
        <v>40</v>
      </c>
      <c r="F37">
        <v>64</v>
      </c>
      <c r="G37">
        <v>93</v>
      </c>
      <c r="H37">
        <v>77</v>
      </c>
      <c r="I37">
        <v>100</v>
      </c>
      <c r="J37">
        <v>101</v>
      </c>
      <c r="K37">
        <v>111</v>
      </c>
      <c r="L37">
        <v>23</v>
      </c>
      <c r="M37">
        <v>38</v>
      </c>
      <c r="N37">
        <v>10</v>
      </c>
      <c r="O37">
        <v>121</v>
      </c>
      <c r="P37">
        <v>114</v>
      </c>
      <c r="Q37">
        <v>44</v>
      </c>
      <c r="T37" t="str">
        <f>IF(ISERROR(MATCH('Analysis backend'!$M$1,E37:N37,0)),"",'Analysis backend'!$L$1)</f>
        <v/>
      </c>
      <c r="U37" t="str">
        <f>IF(T37='Analysis backend'!$L$1,IF(ISERROR(MATCH('Analysis backend'!$M$1,E37:I37,0)),"Dire","Radiant"),"")</f>
        <v/>
      </c>
    </row>
    <row r="38" spans="1:21" x14ac:dyDescent="0.3">
      <c r="A38">
        <v>4255934941</v>
      </c>
      <c r="B38">
        <v>1544020096</v>
      </c>
      <c r="C38">
        <v>7016</v>
      </c>
      <c r="D38" t="b">
        <v>1</v>
      </c>
      <c r="E38">
        <v>85</v>
      </c>
      <c r="F38">
        <v>25</v>
      </c>
      <c r="G38">
        <v>97</v>
      </c>
      <c r="H38">
        <v>44</v>
      </c>
      <c r="I38">
        <v>13</v>
      </c>
      <c r="J38">
        <v>100</v>
      </c>
      <c r="K38">
        <v>38</v>
      </c>
      <c r="L38">
        <v>34</v>
      </c>
      <c r="M38">
        <v>67</v>
      </c>
      <c r="N38">
        <v>91</v>
      </c>
      <c r="O38">
        <v>93</v>
      </c>
      <c r="T38" t="str">
        <f>IF(ISERROR(MATCH('Analysis backend'!$M$1,E38:N38,0)),"",'Analysis backend'!$L$1)</f>
        <v>Phantom Assassin</v>
      </c>
      <c r="U38" t="str">
        <f>IF(T38='Analysis backend'!$L$1,IF(ISERROR(MATCH('Analysis backend'!$M$1,E38:I38,0)),"Dire","Radiant"),"")</f>
        <v>Radiant</v>
      </c>
    </row>
    <row r="39" spans="1:21" x14ac:dyDescent="0.3">
      <c r="A39">
        <v>4255968403</v>
      </c>
      <c r="B39">
        <v>1544021248</v>
      </c>
      <c r="C39">
        <v>6992</v>
      </c>
      <c r="D39" t="b">
        <v>0</v>
      </c>
      <c r="E39">
        <v>75</v>
      </c>
      <c r="F39">
        <v>50</v>
      </c>
      <c r="G39">
        <v>19</v>
      </c>
      <c r="H39">
        <v>41</v>
      </c>
      <c r="I39">
        <v>121</v>
      </c>
      <c r="J39">
        <v>31</v>
      </c>
      <c r="K39">
        <v>45</v>
      </c>
      <c r="L39">
        <v>97</v>
      </c>
      <c r="M39">
        <v>100</v>
      </c>
      <c r="N39">
        <v>1</v>
      </c>
      <c r="O39">
        <v>82</v>
      </c>
      <c r="P39">
        <v>44</v>
      </c>
      <c r="Q39">
        <v>89</v>
      </c>
      <c r="T39" t="str">
        <f>IF(ISERROR(MATCH('Analysis backend'!$M$1,E39:N39,0)),"",'Analysis backend'!$L$1)</f>
        <v/>
      </c>
      <c r="U39" t="str">
        <f>IF(T39='Analysis backend'!$L$1,IF(ISERROR(MATCH('Analysis backend'!$M$1,E39:I39,0)),"Dire","Radiant"),"")</f>
        <v/>
      </c>
    </row>
    <row r="40" spans="1:21" x14ac:dyDescent="0.3">
      <c r="A40">
        <v>4255974175</v>
      </c>
      <c r="B40">
        <v>1544021376</v>
      </c>
      <c r="C40">
        <v>7001</v>
      </c>
      <c r="D40" t="b">
        <v>0</v>
      </c>
      <c r="E40">
        <v>86</v>
      </c>
      <c r="F40">
        <v>89</v>
      </c>
      <c r="G40">
        <v>97</v>
      </c>
      <c r="H40">
        <v>31</v>
      </c>
      <c r="I40">
        <v>76</v>
      </c>
      <c r="J40">
        <v>1</v>
      </c>
      <c r="K40">
        <v>55</v>
      </c>
      <c r="L40">
        <v>114</v>
      </c>
      <c r="M40">
        <v>112</v>
      </c>
      <c r="N40">
        <v>71</v>
      </c>
      <c r="O40">
        <v>44</v>
      </c>
      <c r="P40">
        <v>2</v>
      </c>
      <c r="T40" t="str">
        <f>IF(ISERROR(MATCH('Analysis backend'!$M$1,E40:N40,0)),"",'Analysis backend'!$L$1)</f>
        <v/>
      </c>
      <c r="U40" t="str">
        <f>IF(T40='Analysis backend'!$L$1,IF(ISERROR(MATCH('Analysis backend'!$M$1,E40:I40,0)),"Dire","Radiant"),"")</f>
        <v/>
      </c>
    </row>
    <row r="41" spans="1:21" x14ac:dyDescent="0.3">
      <c r="A41">
        <v>4255978626</v>
      </c>
      <c r="B41">
        <v>1544021632</v>
      </c>
      <c r="C41">
        <v>6937</v>
      </c>
      <c r="D41" t="b">
        <v>0</v>
      </c>
      <c r="E41">
        <v>5</v>
      </c>
      <c r="F41">
        <v>78</v>
      </c>
      <c r="G41">
        <v>1</v>
      </c>
      <c r="H41">
        <v>76</v>
      </c>
      <c r="I41">
        <v>100</v>
      </c>
      <c r="J41">
        <v>62</v>
      </c>
      <c r="K41">
        <v>109</v>
      </c>
      <c r="L41">
        <v>111</v>
      </c>
      <c r="M41">
        <v>90</v>
      </c>
      <c r="N41">
        <v>113</v>
      </c>
      <c r="O41">
        <v>44</v>
      </c>
      <c r="P41">
        <v>33</v>
      </c>
      <c r="Q41">
        <v>6</v>
      </c>
      <c r="T41" t="str">
        <f>IF(ISERROR(MATCH('Analysis backend'!$M$1,E41:N41,0)),"",'Analysis backend'!$L$1)</f>
        <v/>
      </c>
      <c r="U41" t="str">
        <f>IF(T41='Analysis backend'!$L$1,IF(ISERROR(MATCH('Analysis backend'!$M$1,E41:I41,0)),"Dire","Radiant"),"")</f>
        <v/>
      </c>
    </row>
    <row r="42" spans="1:21" x14ac:dyDescent="0.3">
      <c r="A42">
        <v>4256004691</v>
      </c>
      <c r="B42">
        <v>1544022528</v>
      </c>
      <c r="C42">
        <v>6923</v>
      </c>
      <c r="D42" t="b">
        <v>1</v>
      </c>
      <c r="E42">
        <v>121</v>
      </c>
      <c r="F42">
        <v>86</v>
      </c>
      <c r="G42">
        <v>44</v>
      </c>
      <c r="H42">
        <v>2</v>
      </c>
      <c r="I42">
        <v>25</v>
      </c>
      <c r="J42">
        <v>27</v>
      </c>
      <c r="K42">
        <v>100</v>
      </c>
      <c r="L42">
        <v>1</v>
      </c>
      <c r="M42">
        <v>98</v>
      </c>
      <c r="N42">
        <v>34</v>
      </c>
      <c r="O42">
        <v>114</v>
      </c>
      <c r="P42">
        <v>50</v>
      </c>
      <c r="Q42">
        <v>97</v>
      </c>
      <c r="T42" t="str">
        <f>IF(ISERROR(MATCH('Analysis backend'!$M$1,E42:N42,0)),"",'Analysis backend'!$L$1)</f>
        <v>Phantom Assassin</v>
      </c>
      <c r="U42" t="str">
        <f>IF(T42='Analysis backend'!$L$1,IF(ISERROR(MATCH('Analysis backend'!$M$1,E42:I42,0)),"Dire","Radiant"),"")</f>
        <v>Radiant</v>
      </c>
    </row>
    <row r="43" spans="1:21" x14ac:dyDescent="0.3">
      <c r="A43">
        <v>4256027377</v>
      </c>
      <c r="B43">
        <v>1544023296</v>
      </c>
      <c r="C43">
        <v>6951</v>
      </c>
      <c r="D43" t="b">
        <v>0</v>
      </c>
      <c r="E43">
        <v>13</v>
      </c>
      <c r="F43">
        <v>91</v>
      </c>
      <c r="G43">
        <v>67</v>
      </c>
      <c r="H43">
        <v>50</v>
      </c>
      <c r="I43">
        <v>97</v>
      </c>
      <c r="J43">
        <v>90</v>
      </c>
      <c r="K43">
        <v>23</v>
      </c>
      <c r="L43">
        <v>44</v>
      </c>
      <c r="M43">
        <v>16</v>
      </c>
      <c r="N43">
        <v>14</v>
      </c>
      <c r="O43">
        <v>93</v>
      </c>
      <c r="T43" t="str">
        <f>IF(ISERROR(MATCH('Analysis backend'!$M$1,E43:N43,0)),"",'Analysis backend'!$L$1)</f>
        <v>Phantom Assassin</v>
      </c>
      <c r="U43" t="str">
        <f>IF(T43='Analysis backend'!$L$1,IF(ISERROR(MATCH('Analysis backend'!$M$1,E43:I43,0)),"Dire","Radiant"),"")</f>
        <v>Dire</v>
      </c>
    </row>
    <row r="44" spans="1:21" x14ac:dyDescent="0.3">
      <c r="A44">
        <v>4256045553</v>
      </c>
      <c r="B44">
        <v>1544023936</v>
      </c>
      <c r="C44">
        <v>7123</v>
      </c>
      <c r="D44" t="b">
        <v>1</v>
      </c>
      <c r="E44">
        <v>48</v>
      </c>
      <c r="F44">
        <v>71</v>
      </c>
      <c r="G44">
        <v>86</v>
      </c>
      <c r="H44">
        <v>55</v>
      </c>
      <c r="I44">
        <v>16</v>
      </c>
      <c r="J44">
        <v>26</v>
      </c>
      <c r="K44">
        <v>29</v>
      </c>
      <c r="L44">
        <v>27</v>
      </c>
      <c r="M44">
        <v>95</v>
      </c>
      <c r="N44">
        <v>80</v>
      </c>
      <c r="O44">
        <v>93</v>
      </c>
      <c r="P44">
        <v>106</v>
      </c>
      <c r="T44" t="str">
        <f>IF(ISERROR(MATCH('Analysis backend'!$M$1,E44:N44,0)),"",'Analysis backend'!$L$1)</f>
        <v/>
      </c>
      <c r="U44" t="str">
        <f>IF(T44='Analysis backend'!$L$1,IF(ISERROR(MATCH('Analysis backend'!$M$1,E44:I44,0)),"Dire","Radiant"),"")</f>
        <v/>
      </c>
    </row>
    <row r="45" spans="1:21" x14ac:dyDescent="0.3">
      <c r="A45">
        <v>4256046128</v>
      </c>
      <c r="B45">
        <v>1544024064</v>
      </c>
      <c r="C45">
        <v>7188</v>
      </c>
      <c r="D45" t="b">
        <v>1</v>
      </c>
      <c r="E45">
        <v>88</v>
      </c>
      <c r="F45">
        <v>44</v>
      </c>
      <c r="G45">
        <v>121</v>
      </c>
      <c r="H45">
        <v>50</v>
      </c>
      <c r="I45">
        <v>76</v>
      </c>
      <c r="J45">
        <v>1</v>
      </c>
      <c r="K45">
        <v>14</v>
      </c>
      <c r="L45">
        <v>97</v>
      </c>
      <c r="M45">
        <v>19</v>
      </c>
      <c r="N45">
        <v>31</v>
      </c>
      <c r="O45">
        <v>86</v>
      </c>
      <c r="P45">
        <v>93</v>
      </c>
      <c r="T45" t="str">
        <f>IF(ISERROR(MATCH('Analysis backend'!$M$1,E45:N45,0)),"",'Analysis backend'!$L$1)</f>
        <v>Phantom Assassin</v>
      </c>
      <c r="U45" t="str">
        <f>IF(T45='Analysis backend'!$L$1,IF(ISERROR(MATCH('Analysis backend'!$M$1,E45:I45,0)),"Dire","Radiant"),"")</f>
        <v>Radiant</v>
      </c>
    </row>
    <row r="46" spans="1:21" x14ac:dyDescent="0.3">
      <c r="A46">
        <v>4256043315</v>
      </c>
      <c r="B46">
        <v>1544023936</v>
      </c>
      <c r="C46">
        <v>7036</v>
      </c>
      <c r="D46" t="b">
        <v>0</v>
      </c>
      <c r="E46">
        <v>11</v>
      </c>
      <c r="F46">
        <v>121</v>
      </c>
      <c r="G46">
        <v>93</v>
      </c>
      <c r="H46">
        <v>96</v>
      </c>
      <c r="I46">
        <v>91</v>
      </c>
      <c r="J46">
        <v>44</v>
      </c>
      <c r="K46">
        <v>97</v>
      </c>
      <c r="L46">
        <v>86</v>
      </c>
      <c r="M46">
        <v>119</v>
      </c>
      <c r="N46">
        <v>112</v>
      </c>
      <c r="O46">
        <v>19</v>
      </c>
      <c r="P46">
        <v>16</v>
      </c>
      <c r="T46" t="str">
        <f>IF(ISERROR(MATCH('Analysis backend'!$M$1,E46:N46,0)),"",'Analysis backend'!$L$1)</f>
        <v>Phantom Assassin</v>
      </c>
      <c r="U46" t="str">
        <f>IF(T46='Analysis backend'!$L$1,IF(ISERROR(MATCH('Analysis backend'!$M$1,E46:I46,0)),"Dire","Radiant"),"")</f>
        <v>Dire</v>
      </c>
    </row>
    <row r="47" spans="1:21" x14ac:dyDescent="0.3">
      <c r="A47">
        <v>4256017942</v>
      </c>
      <c r="B47">
        <v>1544022912</v>
      </c>
      <c r="C47">
        <v>6918</v>
      </c>
      <c r="D47" t="b">
        <v>0</v>
      </c>
      <c r="E47">
        <v>72</v>
      </c>
      <c r="F47">
        <v>25</v>
      </c>
      <c r="G47">
        <v>32</v>
      </c>
      <c r="H47">
        <v>53</v>
      </c>
      <c r="I47">
        <v>91</v>
      </c>
      <c r="J47">
        <v>41</v>
      </c>
      <c r="K47">
        <v>87</v>
      </c>
      <c r="L47">
        <v>34</v>
      </c>
      <c r="M47">
        <v>9</v>
      </c>
      <c r="N47">
        <v>112</v>
      </c>
      <c r="O47">
        <v>97</v>
      </c>
      <c r="P47">
        <v>44</v>
      </c>
      <c r="T47" t="str">
        <f>IF(ISERROR(MATCH('Analysis backend'!$M$1,E47:N47,0)),"",'Analysis backend'!$L$1)</f>
        <v/>
      </c>
      <c r="U47" t="str">
        <f>IF(T47='Analysis backend'!$L$1,IF(ISERROR(MATCH('Analysis backend'!$M$1,E47:I47,0)),"Dire","Radiant"),"")</f>
        <v/>
      </c>
    </row>
    <row r="48" spans="1:21" x14ac:dyDescent="0.3">
      <c r="A48">
        <v>4256062415</v>
      </c>
      <c r="B48">
        <v>1544024576</v>
      </c>
      <c r="C48">
        <v>7174</v>
      </c>
      <c r="D48" t="b">
        <v>1</v>
      </c>
      <c r="E48">
        <v>38</v>
      </c>
      <c r="F48">
        <v>106</v>
      </c>
      <c r="G48">
        <v>26</v>
      </c>
      <c r="H48">
        <v>62</v>
      </c>
      <c r="I48">
        <v>44</v>
      </c>
      <c r="J48">
        <v>107</v>
      </c>
      <c r="K48">
        <v>79</v>
      </c>
      <c r="L48">
        <v>119</v>
      </c>
      <c r="M48">
        <v>97</v>
      </c>
      <c r="N48">
        <v>8</v>
      </c>
      <c r="O48">
        <v>32</v>
      </c>
      <c r="T48" t="str">
        <f>IF(ISERROR(MATCH('Analysis backend'!$M$1,E48:N48,0)),"",'Analysis backend'!$L$1)</f>
        <v>Phantom Assassin</v>
      </c>
      <c r="U48" t="str">
        <f>IF(T48='Analysis backend'!$L$1,IF(ISERROR(MATCH('Analysis backend'!$M$1,E48:I48,0)),"Dire","Radiant"),"")</f>
        <v>Radiant</v>
      </c>
    </row>
    <row r="49" spans="1:21" x14ac:dyDescent="0.3">
      <c r="A49">
        <v>4256054122</v>
      </c>
      <c r="B49">
        <v>1544024320</v>
      </c>
      <c r="C49">
        <v>7066</v>
      </c>
      <c r="D49" t="b">
        <v>0</v>
      </c>
      <c r="E49">
        <v>38</v>
      </c>
      <c r="F49">
        <v>26</v>
      </c>
      <c r="G49">
        <v>93</v>
      </c>
      <c r="H49">
        <v>106</v>
      </c>
      <c r="I49">
        <v>50</v>
      </c>
      <c r="J49">
        <v>41</v>
      </c>
      <c r="K49">
        <v>107</v>
      </c>
      <c r="L49">
        <v>111</v>
      </c>
      <c r="M49">
        <v>104</v>
      </c>
      <c r="N49">
        <v>74</v>
      </c>
      <c r="O49">
        <v>47</v>
      </c>
      <c r="P49">
        <v>44</v>
      </c>
      <c r="T49" t="str">
        <f>IF(ISERROR(MATCH('Analysis backend'!$M$1,E49:N49,0)),"",'Analysis backend'!$L$1)</f>
        <v/>
      </c>
      <c r="U49" t="str">
        <f>IF(T49='Analysis backend'!$L$1,IF(ISERROR(MATCH('Analysis backend'!$M$1,E49:I49,0)),"Dire","Radiant"),"")</f>
        <v/>
      </c>
    </row>
    <row r="50" spans="1:21" x14ac:dyDescent="0.3">
      <c r="A50">
        <v>4256063765</v>
      </c>
      <c r="B50">
        <v>1544024704</v>
      </c>
      <c r="C50">
        <v>7109</v>
      </c>
      <c r="D50" t="b">
        <v>1</v>
      </c>
      <c r="E50">
        <v>121</v>
      </c>
      <c r="F50">
        <v>45</v>
      </c>
      <c r="G50">
        <v>1</v>
      </c>
      <c r="H50">
        <v>50</v>
      </c>
      <c r="I50">
        <v>13</v>
      </c>
      <c r="J50">
        <v>44</v>
      </c>
      <c r="K50">
        <v>31</v>
      </c>
      <c r="L50">
        <v>47</v>
      </c>
      <c r="M50">
        <v>97</v>
      </c>
      <c r="N50">
        <v>84</v>
      </c>
      <c r="T50" t="str">
        <f>IF(ISERROR(MATCH('Analysis backend'!$M$1,E50:N50,0)),"",'Analysis backend'!$L$1)</f>
        <v>Phantom Assassin</v>
      </c>
      <c r="U50" t="str">
        <f>IF(T50='Analysis backend'!$L$1,IF(ISERROR(MATCH('Analysis backend'!$M$1,E50:I50,0)),"Dire","Radiant"),"")</f>
        <v>Dire</v>
      </c>
    </row>
    <row r="51" spans="1:21" x14ac:dyDescent="0.3">
      <c r="A51">
        <v>4256069321</v>
      </c>
      <c r="B51">
        <v>1544024832</v>
      </c>
      <c r="C51">
        <v>6993</v>
      </c>
      <c r="D51" t="b">
        <v>1</v>
      </c>
      <c r="E51">
        <v>86</v>
      </c>
      <c r="F51">
        <v>114</v>
      </c>
      <c r="G51">
        <v>93</v>
      </c>
      <c r="H51">
        <v>121</v>
      </c>
      <c r="I51">
        <v>28</v>
      </c>
      <c r="J51">
        <v>78</v>
      </c>
      <c r="K51">
        <v>25</v>
      </c>
      <c r="L51">
        <v>44</v>
      </c>
      <c r="M51">
        <v>90</v>
      </c>
      <c r="N51">
        <v>97</v>
      </c>
      <c r="O51">
        <v>111</v>
      </c>
      <c r="P51">
        <v>36</v>
      </c>
      <c r="Q51">
        <v>34</v>
      </c>
      <c r="T51" t="str">
        <f>IF(ISERROR(MATCH('Analysis backend'!$M$1,E51:N51,0)),"",'Analysis backend'!$L$1)</f>
        <v>Phantom Assassin</v>
      </c>
      <c r="U51" t="str">
        <f>IF(T51='Analysis backend'!$L$1,IF(ISERROR(MATCH('Analysis backend'!$M$1,E51:I51,0)),"Dire","Radiant"),"")</f>
        <v>Dire</v>
      </c>
    </row>
    <row r="52" spans="1:21" x14ac:dyDescent="0.3">
      <c r="A52">
        <v>4256080475</v>
      </c>
      <c r="B52">
        <v>1544025344</v>
      </c>
      <c r="C52">
        <v>7104</v>
      </c>
      <c r="D52" t="b">
        <v>1</v>
      </c>
      <c r="E52">
        <v>111</v>
      </c>
      <c r="F52">
        <v>82</v>
      </c>
      <c r="G52">
        <v>112</v>
      </c>
      <c r="H52">
        <v>50</v>
      </c>
      <c r="I52">
        <v>93</v>
      </c>
      <c r="J52">
        <v>29</v>
      </c>
      <c r="K52">
        <v>44</v>
      </c>
      <c r="L52">
        <v>41</v>
      </c>
      <c r="M52">
        <v>95</v>
      </c>
      <c r="N52">
        <v>90</v>
      </c>
      <c r="O52">
        <v>97</v>
      </c>
      <c r="P52">
        <v>2</v>
      </c>
      <c r="T52" t="str">
        <f>IF(ISERROR(MATCH('Analysis backend'!$M$1,E52:N52,0)),"",'Analysis backend'!$L$1)</f>
        <v>Phantom Assassin</v>
      </c>
      <c r="U52" t="str">
        <f>IF(T52='Analysis backend'!$L$1,IF(ISERROR(MATCH('Analysis backend'!$M$1,E52:I52,0)),"Dire","Radiant"),"")</f>
        <v>Dire</v>
      </c>
    </row>
    <row r="53" spans="1:21" x14ac:dyDescent="0.3">
      <c r="A53">
        <v>4256088332</v>
      </c>
      <c r="B53">
        <v>1544025600</v>
      </c>
      <c r="C53">
        <v>7000</v>
      </c>
      <c r="D53" t="b">
        <v>0</v>
      </c>
      <c r="E53">
        <v>19</v>
      </c>
      <c r="F53">
        <v>50</v>
      </c>
      <c r="G53">
        <v>45</v>
      </c>
      <c r="H53">
        <v>1</v>
      </c>
      <c r="I53">
        <v>74</v>
      </c>
      <c r="J53">
        <v>76</v>
      </c>
      <c r="K53">
        <v>109</v>
      </c>
      <c r="L53">
        <v>97</v>
      </c>
      <c r="M53">
        <v>44</v>
      </c>
      <c r="N53">
        <v>31</v>
      </c>
      <c r="O53">
        <v>105</v>
      </c>
      <c r="P53">
        <v>2</v>
      </c>
      <c r="T53" t="str">
        <f>IF(ISERROR(MATCH('Analysis backend'!$M$1,E53:N53,0)),"",'Analysis backend'!$L$1)</f>
        <v>Phantom Assassin</v>
      </c>
      <c r="U53" t="str">
        <f>IF(T53='Analysis backend'!$L$1,IF(ISERROR(MATCH('Analysis backend'!$M$1,E53:I53,0)),"Dire","Radiant"),"")</f>
        <v>Dire</v>
      </c>
    </row>
    <row r="54" spans="1:21" x14ac:dyDescent="0.3">
      <c r="A54">
        <v>4256082778</v>
      </c>
      <c r="B54">
        <v>1544025472</v>
      </c>
      <c r="C54">
        <v>6910</v>
      </c>
      <c r="D54" t="b">
        <v>1</v>
      </c>
      <c r="E54">
        <v>1</v>
      </c>
      <c r="F54">
        <v>85</v>
      </c>
      <c r="G54">
        <v>68</v>
      </c>
      <c r="H54">
        <v>76</v>
      </c>
      <c r="I54">
        <v>16</v>
      </c>
      <c r="J54">
        <v>114</v>
      </c>
      <c r="K54">
        <v>8</v>
      </c>
      <c r="L54">
        <v>50</v>
      </c>
      <c r="M54">
        <v>78</v>
      </c>
      <c r="N54">
        <v>26</v>
      </c>
      <c r="O54">
        <v>80</v>
      </c>
      <c r="P54">
        <v>97</v>
      </c>
      <c r="Q54">
        <v>121</v>
      </c>
      <c r="T54" t="str">
        <f>IF(ISERROR(MATCH('Analysis backend'!$M$1,E54:N54,0)),"",'Analysis backend'!$L$1)</f>
        <v/>
      </c>
      <c r="U54" t="str">
        <f>IF(T54='Analysis backend'!$L$1,IF(ISERROR(MATCH('Analysis backend'!$M$1,E54:I54,0)),"Dire","Radiant"),"")</f>
        <v/>
      </c>
    </row>
    <row r="55" spans="1:21" x14ac:dyDescent="0.3">
      <c r="A55">
        <v>4256101631</v>
      </c>
      <c r="B55">
        <v>1544026240</v>
      </c>
      <c r="C55">
        <v>7668</v>
      </c>
      <c r="D55" t="b">
        <v>1</v>
      </c>
      <c r="E55">
        <v>76</v>
      </c>
      <c r="F55">
        <v>97</v>
      </c>
      <c r="G55">
        <v>88</v>
      </c>
      <c r="H55">
        <v>50</v>
      </c>
      <c r="I55">
        <v>44</v>
      </c>
      <c r="J55">
        <v>93</v>
      </c>
      <c r="K55">
        <v>35</v>
      </c>
      <c r="L55">
        <v>55</v>
      </c>
      <c r="M55">
        <v>103</v>
      </c>
      <c r="N55">
        <v>86</v>
      </c>
      <c r="O55">
        <v>82</v>
      </c>
      <c r="P55">
        <v>114</v>
      </c>
      <c r="T55" t="str">
        <f>IF(ISERROR(MATCH('Analysis backend'!$M$1,E55:N55,0)),"",'Analysis backend'!$L$1)</f>
        <v>Phantom Assassin</v>
      </c>
      <c r="U55" t="str">
        <f>IF(T55='Analysis backend'!$L$1,IF(ISERROR(MATCH('Analysis backend'!$M$1,E55:I55,0)),"Dire","Radiant"),"")</f>
        <v>Radiant</v>
      </c>
    </row>
    <row r="56" spans="1:21" x14ac:dyDescent="0.3">
      <c r="A56">
        <v>4256110722</v>
      </c>
      <c r="B56">
        <v>1544026496</v>
      </c>
      <c r="C56">
        <v>7081</v>
      </c>
      <c r="D56" t="b">
        <v>0</v>
      </c>
      <c r="E56">
        <v>111</v>
      </c>
      <c r="F56">
        <v>93</v>
      </c>
      <c r="G56">
        <v>50</v>
      </c>
      <c r="H56">
        <v>74</v>
      </c>
      <c r="I56">
        <v>41</v>
      </c>
      <c r="J56">
        <v>5</v>
      </c>
      <c r="K56">
        <v>76</v>
      </c>
      <c r="L56">
        <v>121</v>
      </c>
      <c r="M56">
        <v>44</v>
      </c>
      <c r="N56">
        <v>29</v>
      </c>
      <c r="O56">
        <v>97</v>
      </c>
      <c r="P56">
        <v>78</v>
      </c>
      <c r="T56" t="str">
        <f>IF(ISERROR(MATCH('Analysis backend'!$M$1,E56:N56,0)),"",'Analysis backend'!$L$1)</f>
        <v>Phantom Assassin</v>
      </c>
      <c r="U56" t="str">
        <f>IF(T56='Analysis backend'!$L$1,IF(ISERROR(MATCH('Analysis backend'!$M$1,E56:I56,0)),"Dire","Radiant"),"")</f>
        <v>Dire</v>
      </c>
    </row>
    <row r="57" spans="1:21" x14ac:dyDescent="0.3">
      <c r="A57">
        <v>4256093255</v>
      </c>
      <c r="B57">
        <v>1544025856</v>
      </c>
      <c r="C57">
        <v>6877</v>
      </c>
      <c r="D57" t="b">
        <v>1</v>
      </c>
      <c r="E57">
        <v>34</v>
      </c>
      <c r="F57">
        <v>62</v>
      </c>
      <c r="G57">
        <v>79</v>
      </c>
      <c r="H57">
        <v>97</v>
      </c>
      <c r="I57">
        <v>93</v>
      </c>
      <c r="J57">
        <v>74</v>
      </c>
      <c r="K57">
        <v>85</v>
      </c>
      <c r="L57">
        <v>86</v>
      </c>
      <c r="M57">
        <v>16</v>
      </c>
      <c r="N57">
        <v>44</v>
      </c>
      <c r="O57">
        <v>45</v>
      </c>
      <c r="P57">
        <v>76</v>
      </c>
      <c r="T57" t="str">
        <f>IF(ISERROR(MATCH('Analysis backend'!$M$1,E57:N57,0)),"",'Analysis backend'!$L$1)</f>
        <v>Phantom Assassin</v>
      </c>
      <c r="U57" t="str">
        <f>IF(T57='Analysis backend'!$L$1,IF(ISERROR(MATCH('Analysis backend'!$M$1,E57:I57,0)),"Dire","Radiant"),"")</f>
        <v>Dire</v>
      </c>
    </row>
    <row r="58" spans="1:21" x14ac:dyDescent="0.3">
      <c r="A58">
        <v>4256073650</v>
      </c>
      <c r="B58">
        <v>1544025088</v>
      </c>
      <c r="C58">
        <v>6878</v>
      </c>
      <c r="D58" t="b">
        <v>1</v>
      </c>
      <c r="E58">
        <v>64</v>
      </c>
      <c r="F58">
        <v>100</v>
      </c>
      <c r="G58">
        <v>50</v>
      </c>
      <c r="H58">
        <v>114</v>
      </c>
      <c r="I58">
        <v>93</v>
      </c>
      <c r="J58">
        <v>12</v>
      </c>
      <c r="K58">
        <v>76</v>
      </c>
      <c r="L58">
        <v>101</v>
      </c>
      <c r="M58">
        <v>69</v>
      </c>
      <c r="N58">
        <v>97</v>
      </c>
      <c r="O58">
        <v>38</v>
      </c>
      <c r="P58">
        <v>44</v>
      </c>
      <c r="T58" t="str">
        <f>IF(ISERROR(MATCH('Analysis backend'!$M$1,E58:N58,0)),"",'Analysis backend'!$L$1)</f>
        <v/>
      </c>
      <c r="U58" t="str">
        <f>IF(T58='Analysis backend'!$L$1,IF(ISERROR(MATCH('Analysis backend'!$M$1,E58:I58,0)),"Dire","Radiant"),"")</f>
        <v/>
      </c>
    </row>
    <row r="59" spans="1:21" x14ac:dyDescent="0.3">
      <c r="A59">
        <v>4256085272</v>
      </c>
      <c r="B59">
        <v>1544025472</v>
      </c>
      <c r="C59">
        <v>6850</v>
      </c>
      <c r="D59" t="b">
        <v>1</v>
      </c>
      <c r="E59">
        <v>44</v>
      </c>
      <c r="F59">
        <v>112</v>
      </c>
      <c r="G59">
        <v>100</v>
      </c>
      <c r="H59">
        <v>74</v>
      </c>
      <c r="I59">
        <v>45</v>
      </c>
      <c r="J59">
        <v>10</v>
      </c>
      <c r="K59">
        <v>2</v>
      </c>
      <c r="L59">
        <v>7</v>
      </c>
      <c r="M59">
        <v>31</v>
      </c>
      <c r="N59">
        <v>25</v>
      </c>
      <c r="O59">
        <v>93</v>
      </c>
      <c r="P59">
        <v>97</v>
      </c>
      <c r="T59" t="str">
        <f>IF(ISERROR(MATCH('Analysis backend'!$M$1,E59:N59,0)),"",'Analysis backend'!$L$1)</f>
        <v>Phantom Assassin</v>
      </c>
      <c r="U59" t="str">
        <f>IF(T59='Analysis backend'!$L$1,IF(ISERROR(MATCH('Analysis backend'!$M$1,E59:I59,0)),"Dire","Radiant"),"")</f>
        <v>Radiant</v>
      </c>
    </row>
    <row r="60" spans="1:21" x14ac:dyDescent="0.3">
      <c r="A60">
        <v>4256126489</v>
      </c>
      <c r="B60">
        <v>1544027136</v>
      </c>
      <c r="C60">
        <v>7106</v>
      </c>
      <c r="D60" t="b">
        <v>1</v>
      </c>
      <c r="E60">
        <v>44</v>
      </c>
      <c r="F60">
        <v>45</v>
      </c>
      <c r="G60">
        <v>90</v>
      </c>
      <c r="H60">
        <v>97</v>
      </c>
      <c r="I60">
        <v>100</v>
      </c>
      <c r="J60">
        <v>86</v>
      </c>
      <c r="K60">
        <v>25</v>
      </c>
      <c r="L60">
        <v>31</v>
      </c>
      <c r="M60">
        <v>93</v>
      </c>
      <c r="N60">
        <v>50</v>
      </c>
      <c r="O60">
        <v>72</v>
      </c>
      <c r="T60" t="str">
        <f>IF(ISERROR(MATCH('Analysis backend'!$M$1,E60:N60,0)),"",'Analysis backend'!$L$1)</f>
        <v>Phantom Assassin</v>
      </c>
      <c r="U60" t="str">
        <f>IF(T60='Analysis backend'!$L$1,IF(ISERROR(MATCH('Analysis backend'!$M$1,E60:I60,0)),"Dire","Radiant"),"")</f>
        <v>Radiant</v>
      </c>
    </row>
    <row r="61" spans="1:21" x14ac:dyDescent="0.3">
      <c r="A61">
        <v>4256120479</v>
      </c>
      <c r="B61">
        <v>1544026880</v>
      </c>
      <c r="C61">
        <v>7053</v>
      </c>
      <c r="D61" t="b">
        <v>1</v>
      </c>
      <c r="E61">
        <v>51</v>
      </c>
      <c r="F61">
        <v>17</v>
      </c>
      <c r="G61">
        <v>111</v>
      </c>
      <c r="H61">
        <v>97</v>
      </c>
      <c r="I61">
        <v>1</v>
      </c>
      <c r="J61">
        <v>98</v>
      </c>
      <c r="K61">
        <v>101</v>
      </c>
      <c r="L61">
        <v>31</v>
      </c>
      <c r="M61">
        <v>114</v>
      </c>
      <c r="N61">
        <v>109</v>
      </c>
      <c r="O61">
        <v>46</v>
      </c>
      <c r="P61">
        <v>44</v>
      </c>
      <c r="Q61">
        <v>2</v>
      </c>
      <c r="T61" t="str">
        <f>IF(ISERROR(MATCH('Analysis backend'!$M$1,E61:N61,0)),"",'Analysis backend'!$L$1)</f>
        <v/>
      </c>
      <c r="U61" t="str">
        <f>IF(T61='Analysis backend'!$L$1,IF(ISERROR(MATCH('Analysis backend'!$M$1,E61:I61,0)),"Dire","Radiant"),"")</f>
        <v/>
      </c>
    </row>
    <row r="62" spans="1:21" x14ac:dyDescent="0.3">
      <c r="A62">
        <v>4256129635</v>
      </c>
      <c r="B62">
        <v>1544027264</v>
      </c>
      <c r="C62">
        <v>6986</v>
      </c>
      <c r="D62" t="b">
        <v>0</v>
      </c>
      <c r="E62">
        <v>105</v>
      </c>
      <c r="F62">
        <v>97</v>
      </c>
      <c r="G62">
        <v>44</v>
      </c>
      <c r="H62">
        <v>114</v>
      </c>
      <c r="I62">
        <v>87</v>
      </c>
      <c r="J62">
        <v>4</v>
      </c>
      <c r="K62">
        <v>38</v>
      </c>
      <c r="L62">
        <v>100</v>
      </c>
      <c r="M62">
        <v>34</v>
      </c>
      <c r="N62">
        <v>50</v>
      </c>
      <c r="O62">
        <v>16</v>
      </c>
      <c r="P62">
        <v>12</v>
      </c>
      <c r="T62" t="str">
        <f>IF(ISERROR(MATCH('Analysis backend'!$M$1,E62:N62,0)),"",'Analysis backend'!$L$1)</f>
        <v>Phantom Assassin</v>
      </c>
      <c r="U62" t="str">
        <f>IF(T62='Analysis backend'!$L$1,IF(ISERROR(MATCH('Analysis backend'!$M$1,E62:I62,0)),"Dire","Radiant"),"")</f>
        <v>Radiant</v>
      </c>
    </row>
    <row r="63" spans="1:21" x14ac:dyDescent="0.3">
      <c r="A63">
        <v>4256123750</v>
      </c>
      <c r="B63">
        <v>1544027136</v>
      </c>
      <c r="C63">
        <v>6925</v>
      </c>
      <c r="D63" t="b">
        <v>0</v>
      </c>
      <c r="E63">
        <v>21</v>
      </c>
      <c r="F63">
        <v>27</v>
      </c>
      <c r="G63">
        <v>77</v>
      </c>
      <c r="H63">
        <v>101</v>
      </c>
      <c r="I63">
        <v>25</v>
      </c>
      <c r="J63">
        <v>97</v>
      </c>
      <c r="K63">
        <v>29</v>
      </c>
      <c r="L63">
        <v>31</v>
      </c>
      <c r="M63">
        <v>44</v>
      </c>
      <c r="N63">
        <v>26</v>
      </c>
      <c r="O63">
        <v>83</v>
      </c>
      <c r="P63">
        <v>8</v>
      </c>
      <c r="Q63">
        <v>89</v>
      </c>
      <c r="R63">
        <v>41</v>
      </c>
      <c r="T63" t="str">
        <f>IF(ISERROR(MATCH('Analysis backend'!$M$1,E63:N63,0)),"",'Analysis backend'!$L$1)</f>
        <v>Phantom Assassin</v>
      </c>
      <c r="U63" t="str">
        <f>IF(T63='Analysis backend'!$L$1,IF(ISERROR(MATCH('Analysis backend'!$M$1,E63:I63,0)),"Dire","Radiant"),"")</f>
        <v>Dire</v>
      </c>
    </row>
    <row r="64" spans="1:21" x14ac:dyDescent="0.3">
      <c r="A64">
        <v>4256137769</v>
      </c>
      <c r="B64">
        <v>1544027648</v>
      </c>
      <c r="C64">
        <v>7567</v>
      </c>
      <c r="D64" t="b">
        <v>1</v>
      </c>
      <c r="E64">
        <v>114</v>
      </c>
      <c r="F64">
        <v>85</v>
      </c>
      <c r="G64">
        <v>50</v>
      </c>
      <c r="H64">
        <v>10</v>
      </c>
      <c r="I64">
        <v>86</v>
      </c>
      <c r="J64">
        <v>38</v>
      </c>
      <c r="K64">
        <v>97</v>
      </c>
      <c r="L64">
        <v>100</v>
      </c>
      <c r="M64">
        <v>44</v>
      </c>
      <c r="N64">
        <v>23</v>
      </c>
      <c r="O64">
        <v>76</v>
      </c>
      <c r="T64" t="str">
        <f>IF(ISERROR(MATCH('Analysis backend'!$M$1,E64:N64,0)),"",'Analysis backend'!$L$1)</f>
        <v>Phantom Assassin</v>
      </c>
      <c r="U64" t="str">
        <f>IF(T64='Analysis backend'!$L$1,IF(ISERROR(MATCH('Analysis backend'!$M$1,E64:I64,0)),"Dire","Radiant"),"")</f>
        <v>Dire</v>
      </c>
    </row>
    <row r="65" spans="1:21" x14ac:dyDescent="0.3">
      <c r="A65">
        <v>4256131519</v>
      </c>
      <c r="B65">
        <v>1544027392</v>
      </c>
      <c r="C65">
        <v>6994</v>
      </c>
      <c r="D65" t="b">
        <v>0</v>
      </c>
      <c r="E65">
        <v>110</v>
      </c>
      <c r="F65">
        <v>12</v>
      </c>
      <c r="G65">
        <v>44</v>
      </c>
      <c r="H65">
        <v>111</v>
      </c>
      <c r="I65">
        <v>76</v>
      </c>
      <c r="J65">
        <v>34</v>
      </c>
      <c r="K65">
        <v>107</v>
      </c>
      <c r="L65">
        <v>31</v>
      </c>
      <c r="M65">
        <v>93</v>
      </c>
      <c r="N65">
        <v>19</v>
      </c>
      <c r="O65">
        <v>41</v>
      </c>
      <c r="P65">
        <v>2</v>
      </c>
      <c r="Q65">
        <v>97</v>
      </c>
      <c r="R65">
        <v>16</v>
      </c>
      <c r="T65" t="str">
        <f>IF(ISERROR(MATCH('Analysis backend'!$M$1,E65:N65,0)),"",'Analysis backend'!$L$1)</f>
        <v>Phantom Assassin</v>
      </c>
      <c r="U65" t="str">
        <f>IF(T65='Analysis backend'!$L$1,IF(ISERROR(MATCH('Analysis backend'!$M$1,E65:I65,0)),"Dire","Radiant"),"")</f>
        <v>Radiant</v>
      </c>
    </row>
    <row r="66" spans="1:21" x14ac:dyDescent="0.3">
      <c r="A66">
        <v>4256129758</v>
      </c>
      <c r="B66">
        <v>1544027392</v>
      </c>
      <c r="C66">
        <v>6918</v>
      </c>
      <c r="D66" t="b">
        <v>0</v>
      </c>
      <c r="E66">
        <v>107</v>
      </c>
      <c r="F66">
        <v>121</v>
      </c>
      <c r="G66">
        <v>44</v>
      </c>
      <c r="H66">
        <v>92</v>
      </c>
      <c r="I66">
        <v>38</v>
      </c>
      <c r="J66">
        <v>86</v>
      </c>
      <c r="K66">
        <v>97</v>
      </c>
      <c r="L66">
        <v>3</v>
      </c>
      <c r="M66">
        <v>8</v>
      </c>
      <c r="N66">
        <v>114</v>
      </c>
      <c r="T66" t="str">
        <f>IF(ISERROR(MATCH('Analysis backend'!$M$1,E66:N66,0)),"",'Analysis backend'!$L$1)</f>
        <v>Phantom Assassin</v>
      </c>
      <c r="U66" t="str">
        <f>IF(T66='Analysis backend'!$L$1,IF(ISERROR(MATCH('Analysis backend'!$M$1,E66:I66,0)),"Dire","Radiant"),"")</f>
        <v>Radiant</v>
      </c>
    </row>
    <row r="67" spans="1:21" x14ac:dyDescent="0.3">
      <c r="A67">
        <v>4256133260</v>
      </c>
      <c r="B67">
        <v>1544027520</v>
      </c>
      <c r="C67">
        <v>6876</v>
      </c>
      <c r="D67" t="b">
        <v>0</v>
      </c>
      <c r="E67">
        <v>45</v>
      </c>
      <c r="F67">
        <v>89</v>
      </c>
      <c r="G67">
        <v>31</v>
      </c>
      <c r="H67">
        <v>96</v>
      </c>
      <c r="I67">
        <v>121</v>
      </c>
      <c r="J67">
        <v>78</v>
      </c>
      <c r="K67">
        <v>76</v>
      </c>
      <c r="L67">
        <v>27</v>
      </c>
      <c r="M67">
        <v>109</v>
      </c>
      <c r="N67">
        <v>90</v>
      </c>
      <c r="O67">
        <v>44</v>
      </c>
      <c r="P67">
        <v>114</v>
      </c>
      <c r="Q67">
        <v>85</v>
      </c>
      <c r="T67" t="str">
        <f>IF(ISERROR(MATCH('Analysis backend'!$M$1,E67:N67,0)),"",'Analysis backend'!$L$1)</f>
        <v/>
      </c>
      <c r="U67" t="str">
        <f>IF(T67='Analysis backend'!$L$1,IF(ISERROR(MATCH('Analysis backend'!$M$1,E67:I67,0)),"Dire","Radiant"),"")</f>
        <v/>
      </c>
    </row>
    <row r="68" spans="1:21" x14ac:dyDescent="0.3">
      <c r="A68">
        <v>4256155952</v>
      </c>
      <c r="B68">
        <v>1544028416</v>
      </c>
      <c r="C68">
        <v>7150</v>
      </c>
      <c r="D68" t="b">
        <v>0</v>
      </c>
      <c r="E68">
        <v>65</v>
      </c>
      <c r="F68">
        <v>2</v>
      </c>
      <c r="G68">
        <v>26</v>
      </c>
      <c r="H68">
        <v>86</v>
      </c>
      <c r="I68">
        <v>44</v>
      </c>
      <c r="J68">
        <v>49</v>
      </c>
      <c r="K68">
        <v>16</v>
      </c>
      <c r="L68">
        <v>121</v>
      </c>
      <c r="M68">
        <v>97</v>
      </c>
      <c r="N68">
        <v>67</v>
      </c>
      <c r="O68">
        <v>46</v>
      </c>
      <c r="P68">
        <v>120</v>
      </c>
      <c r="T68" t="str">
        <f>IF(ISERROR(MATCH('Analysis backend'!$M$1,E68:N68,0)),"",'Analysis backend'!$L$1)</f>
        <v>Phantom Assassin</v>
      </c>
      <c r="U68" t="str">
        <f>IF(T68='Analysis backend'!$L$1,IF(ISERROR(MATCH('Analysis backend'!$M$1,E68:I68,0)),"Dire","Radiant"),"")</f>
        <v>Radiant</v>
      </c>
    </row>
    <row r="69" spans="1:21" x14ac:dyDescent="0.3">
      <c r="A69">
        <v>4256144419</v>
      </c>
      <c r="B69">
        <v>1544027904</v>
      </c>
      <c r="C69">
        <v>6998</v>
      </c>
      <c r="D69" t="b">
        <v>1</v>
      </c>
      <c r="E69">
        <v>1</v>
      </c>
      <c r="F69">
        <v>22</v>
      </c>
      <c r="G69">
        <v>86</v>
      </c>
      <c r="H69">
        <v>2</v>
      </c>
      <c r="I69">
        <v>121</v>
      </c>
      <c r="J69">
        <v>41</v>
      </c>
      <c r="K69">
        <v>97</v>
      </c>
      <c r="L69">
        <v>76</v>
      </c>
      <c r="M69">
        <v>26</v>
      </c>
      <c r="N69">
        <v>33</v>
      </c>
      <c r="O69">
        <v>44</v>
      </c>
      <c r="P69">
        <v>75</v>
      </c>
      <c r="T69" t="str">
        <f>IF(ISERROR(MATCH('Analysis backend'!$M$1,E69:N69,0)),"",'Analysis backend'!$L$1)</f>
        <v/>
      </c>
      <c r="U69" t="str">
        <f>IF(T69='Analysis backend'!$L$1,IF(ISERROR(MATCH('Analysis backend'!$M$1,E69:I69,0)),"Dire","Radiant"),"")</f>
        <v/>
      </c>
    </row>
    <row r="70" spans="1:21" x14ac:dyDescent="0.3">
      <c r="A70">
        <v>4256158179</v>
      </c>
      <c r="B70">
        <v>1544028544</v>
      </c>
      <c r="C70">
        <v>7069</v>
      </c>
      <c r="D70" t="b">
        <v>1</v>
      </c>
      <c r="E70">
        <v>78</v>
      </c>
      <c r="F70">
        <v>8</v>
      </c>
      <c r="G70">
        <v>86</v>
      </c>
      <c r="H70">
        <v>79</v>
      </c>
      <c r="I70">
        <v>100</v>
      </c>
      <c r="J70">
        <v>48</v>
      </c>
      <c r="K70">
        <v>29</v>
      </c>
      <c r="L70">
        <v>103</v>
      </c>
      <c r="M70">
        <v>59</v>
      </c>
      <c r="N70">
        <v>90</v>
      </c>
      <c r="O70">
        <v>93</v>
      </c>
      <c r="P70">
        <v>44</v>
      </c>
      <c r="Q70">
        <v>91</v>
      </c>
      <c r="T70" t="str">
        <f>IF(ISERROR(MATCH('Analysis backend'!$M$1,E70:N70,0)),"",'Analysis backend'!$L$1)</f>
        <v/>
      </c>
      <c r="U70" t="str">
        <f>IF(T70='Analysis backend'!$L$1,IF(ISERROR(MATCH('Analysis backend'!$M$1,E70:I70,0)),"Dire","Radiant"),"")</f>
        <v/>
      </c>
    </row>
    <row r="71" spans="1:21" x14ac:dyDescent="0.3">
      <c r="A71">
        <v>4256169737</v>
      </c>
      <c r="B71">
        <v>1544029056</v>
      </c>
      <c r="C71">
        <v>7013</v>
      </c>
      <c r="D71" t="b">
        <v>1</v>
      </c>
      <c r="E71">
        <v>35</v>
      </c>
      <c r="F71">
        <v>38</v>
      </c>
      <c r="G71">
        <v>85</v>
      </c>
      <c r="H71">
        <v>44</v>
      </c>
      <c r="I71">
        <v>86</v>
      </c>
      <c r="J71">
        <v>100</v>
      </c>
      <c r="K71">
        <v>11</v>
      </c>
      <c r="L71">
        <v>121</v>
      </c>
      <c r="M71">
        <v>16</v>
      </c>
      <c r="N71">
        <v>93</v>
      </c>
      <c r="O71">
        <v>97</v>
      </c>
      <c r="P71">
        <v>2</v>
      </c>
      <c r="T71" t="str">
        <f>IF(ISERROR(MATCH('Analysis backend'!$M$1,E71:N71,0)),"",'Analysis backend'!$L$1)</f>
        <v>Phantom Assassin</v>
      </c>
      <c r="U71" t="str">
        <f>IF(T71='Analysis backend'!$L$1,IF(ISERROR(MATCH('Analysis backend'!$M$1,E71:I71,0)),"Dire","Radiant"),"")</f>
        <v>Radiant</v>
      </c>
    </row>
    <row r="72" spans="1:21" x14ac:dyDescent="0.3">
      <c r="A72">
        <v>4256180977</v>
      </c>
      <c r="B72">
        <v>1544029568</v>
      </c>
      <c r="C72">
        <v>6994</v>
      </c>
      <c r="D72" t="b">
        <v>0</v>
      </c>
      <c r="E72">
        <v>3</v>
      </c>
      <c r="F72">
        <v>8</v>
      </c>
      <c r="G72">
        <v>33</v>
      </c>
      <c r="H72">
        <v>111</v>
      </c>
      <c r="I72">
        <v>45</v>
      </c>
      <c r="J72">
        <v>2</v>
      </c>
      <c r="K72">
        <v>101</v>
      </c>
      <c r="L72">
        <v>121</v>
      </c>
      <c r="M72">
        <v>44</v>
      </c>
      <c r="N72">
        <v>50</v>
      </c>
      <c r="O72">
        <v>114</v>
      </c>
      <c r="P72">
        <v>16</v>
      </c>
      <c r="Q72">
        <v>97</v>
      </c>
      <c r="T72" t="str">
        <f>IF(ISERROR(MATCH('Analysis backend'!$M$1,E72:N72,0)),"",'Analysis backend'!$L$1)</f>
        <v>Phantom Assassin</v>
      </c>
      <c r="U72" t="str">
        <f>IF(T72='Analysis backend'!$L$1,IF(ISERROR(MATCH('Analysis backend'!$M$1,E72:I72,0)),"Dire","Radiant"),"")</f>
        <v>Dire</v>
      </c>
    </row>
    <row r="73" spans="1:21" x14ac:dyDescent="0.3">
      <c r="A73">
        <v>4256166064</v>
      </c>
      <c r="B73">
        <v>1544028928</v>
      </c>
      <c r="C73">
        <v>6967</v>
      </c>
      <c r="D73" t="b">
        <v>1</v>
      </c>
      <c r="E73">
        <v>111</v>
      </c>
      <c r="F73">
        <v>44</v>
      </c>
      <c r="G73">
        <v>9</v>
      </c>
      <c r="H73">
        <v>86</v>
      </c>
      <c r="I73">
        <v>2</v>
      </c>
      <c r="J73">
        <v>97</v>
      </c>
      <c r="K73">
        <v>8</v>
      </c>
      <c r="L73">
        <v>78</v>
      </c>
      <c r="M73">
        <v>31</v>
      </c>
      <c r="N73">
        <v>89</v>
      </c>
      <c r="O73">
        <v>87</v>
      </c>
      <c r="P73">
        <v>59</v>
      </c>
      <c r="T73" t="str">
        <f>IF(ISERROR(MATCH('Analysis backend'!$M$1,E73:N73,0)),"",'Analysis backend'!$L$1)</f>
        <v>Phantom Assassin</v>
      </c>
      <c r="U73" t="str">
        <f>IF(T73='Analysis backend'!$L$1,IF(ISERROR(MATCH('Analysis backend'!$M$1,E73:I73,0)),"Dire","Radiant"),"")</f>
        <v>Radiant</v>
      </c>
    </row>
    <row r="74" spans="1:21" x14ac:dyDescent="0.3">
      <c r="A74">
        <v>4256171595</v>
      </c>
      <c r="B74">
        <v>1544029184</v>
      </c>
      <c r="C74">
        <v>6918</v>
      </c>
      <c r="D74" t="b">
        <v>1</v>
      </c>
      <c r="E74">
        <v>114</v>
      </c>
      <c r="F74">
        <v>53</v>
      </c>
      <c r="G74">
        <v>106</v>
      </c>
      <c r="H74">
        <v>101</v>
      </c>
      <c r="I74">
        <v>111</v>
      </c>
      <c r="J74">
        <v>41</v>
      </c>
      <c r="K74">
        <v>98</v>
      </c>
      <c r="L74">
        <v>94</v>
      </c>
      <c r="M74">
        <v>107</v>
      </c>
      <c r="N74">
        <v>50</v>
      </c>
      <c r="O74">
        <v>97</v>
      </c>
      <c r="P74">
        <v>16</v>
      </c>
      <c r="T74" t="str">
        <f>IF(ISERROR(MATCH('Analysis backend'!$M$1,E74:N74,0)),"",'Analysis backend'!$L$1)</f>
        <v/>
      </c>
      <c r="U74" t="str">
        <f>IF(T74='Analysis backend'!$L$1,IF(ISERROR(MATCH('Analysis backend'!$M$1,E74:I74,0)),"Dire","Radiant"),"")</f>
        <v/>
      </c>
    </row>
    <row r="75" spans="1:21" x14ac:dyDescent="0.3">
      <c r="A75">
        <v>4256170265</v>
      </c>
      <c r="B75">
        <v>1544029056</v>
      </c>
      <c r="C75">
        <v>6869</v>
      </c>
      <c r="D75" t="b">
        <v>0</v>
      </c>
      <c r="E75">
        <v>38</v>
      </c>
      <c r="F75">
        <v>86</v>
      </c>
      <c r="G75">
        <v>6</v>
      </c>
      <c r="H75">
        <v>50</v>
      </c>
      <c r="I75">
        <v>8</v>
      </c>
      <c r="J75">
        <v>78</v>
      </c>
      <c r="K75">
        <v>44</v>
      </c>
      <c r="L75">
        <v>97</v>
      </c>
      <c r="M75">
        <v>3</v>
      </c>
      <c r="N75">
        <v>114</v>
      </c>
      <c r="O75">
        <v>80</v>
      </c>
      <c r="P75">
        <v>121</v>
      </c>
      <c r="Q75">
        <v>103</v>
      </c>
      <c r="T75" t="str">
        <f>IF(ISERROR(MATCH('Analysis backend'!$M$1,E75:N75,0)),"",'Analysis backend'!$L$1)</f>
        <v>Phantom Assassin</v>
      </c>
      <c r="U75" t="str">
        <f>IF(T75='Analysis backend'!$L$1,IF(ISERROR(MATCH('Analysis backend'!$M$1,E75:I75,0)),"Dire","Radiant"),"")</f>
        <v>Dire</v>
      </c>
    </row>
    <row r="76" spans="1:21" x14ac:dyDescent="0.3">
      <c r="A76">
        <v>4256192855</v>
      </c>
      <c r="B76">
        <v>1544030080</v>
      </c>
      <c r="C76">
        <v>7180</v>
      </c>
      <c r="D76" t="b">
        <v>1</v>
      </c>
      <c r="E76">
        <v>89</v>
      </c>
      <c r="F76">
        <v>27</v>
      </c>
      <c r="G76">
        <v>92</v>
      </c>
      <c r="H76">
        <v>33</v>
      </c>
      <c r="I76">
        <v>97</v>
      </c>
      <c r="J76">
        <v>121</v>
      </c>
      <c r="K76">
        <v>48</v>
      </c>
      <c r="L76">
        <v>86</v>
      </c>
      <c r="M76">
        <v>19</v>
      </c>
      <c r="N76">
        <v>34</v>
      </c>
      <c r="O76">
        <v>50</v>
      </c>
      <c r="P76">
        <v>78</v>
      </c>
      <c r="T76" t="str">
        <f>IF(ISERROR(MATCH('Analysis backend'!$M$1,E76:N76,0)),"",'Analysis backend'!$L$1)</f>
        <v/>
      </c>
      <c r="U76" t="str">
        <f>IF(T76='Analysis backend'!$L$1,IF(ISERROR(MATCH('Analysis backend'!$M$1,E76:I76,0)),"Dire","Radiant"),"")</f>
        <v/>
      </c>
    </row>
    <row r="77" spans="1:21" x14ac:dyDescent="0.3">
      <c r="A77">
        <v>4256183570</v>
      </c>
      <c r="B77">
        <v>1544029568</v>
      </c>
      <c r="C77">
        <v>6846</v>
      </c>
      <c r="D77" t="b">
        <v>1</v>
      </c>
      <c r="E77">
        <v>7</v>
      </c>
      <c r="F77">
        <v>76</v>
      </c>
      <c r="G77">
        <v>41</v>
      </c>
      <c r="H77">
        <v>120</v>
      </c>
      <c r="I77">
        <v>50</v>
      </c>
      <c r="J77">
        <v>111</v>
      </c>
      <c r="K77">
        <v>100</v>
      </c>
      <c r="L77">
        <v>80</v>
      </c>
      <c r="M77">
        <v>6</v>
      </c>
      <c r="N77">
        <v>21</v>
      </c>
      <c r="O77">
        <v>44</v>
      </c>
      <c r="P77">
        <v>93</v>
      </c>
      <c r="T77" t="str">
        <f>IF(ISERROR(MATCH('Analysis backend'!$M$1,E77:N77,0)),"",'Analysis backend'!$L$1)</f>
        <v/>
      </c>
      <c r="U77" t="str">
        <f>IF(T77='Analysis backend'!$L$1,IF(ISERROR(MATCH('Analysis backend'!$M$1,E77:I77,0)),"Dire","Radiant"),"")</f>
        <v/>
      </c>
    </row>
    <row r="78" spans="1:21" x14ac:dyDescent="0.3">
      <c r="A78">
        <v>4256211718</v>
      </c>
      <c r="B78">
        <v>1544030848</v>
      </c>
      <c r="C78">
        <v>7201</v>
      </c>
      <c r="D78" t="b">
        <v>1</v>
      </c>
      <c r="E78">
        <v>96</v>
      </c>
      <c r="F78">
        <v>8</v>
      </c>
      <c r="G78">
        <v>71</v>
      </c>
      <c r="H78">
        <v>101</v>
      </c>
      <c r="I78">
        <v>9</v>
      </c>
      <c r="J78">
        <v>84</v>
      </c>
      <c r="K78">
        <v>90</v>
      </c>
      <c r="L78">
        <v>23</v>
      </c>
      <c r="M78">
        <v>93</v>
      </c>
      <c r="N78">
        <v>78</v>
      </c>
      <c r="O78">
        <v>44</v>
      </c>
      <c r="P78">
        <v>3</v>
      </c>
      <c r="T78" t="str">
        <f>IF(ISERROR(MATCH('Analysis backend'!$M$1,E78:N78,0)),"",'Analysis backend'!$L$1)</f>
        <v/>
      </c>
      <c r="U78" t="str">
        <f>IF(T78='Analysis backend'!$L$1,IF(ISERROR(MATCH('Analysis backend'!$M$1,E78:I78,0)),"Dire","Radiant"),"")</f>
        <v/>
      </c>
    </row>
    <row r="79" spans="1:21" x14ac:dyDescent="0.3">
      <c r="A79">
        <v>4256207222</v>
      </c>
      <c r="B79">
        <v>1544030720</v>
      </c>
      <c r="C79">
        <v>6882</v>
      </c>
      <c r="D79" t="b">
        <v>0</v>
      </c>
      <c r="E79">
        <v>86</v>
      </c>
      <c r="F79">
        <v>6</v>
      </c>
      <c r="G79">
        <v>28</v>
      </c>
      <c r="H79">
        <v>1</v>
      </c>
      <c r="I79">
        <v>31</v>
      </c>
      <c r="J79">
        <v>121</v>
      </c>
      <c r="K79">
        <v>97</v>
      </c>
      <c r="L79">
        <v>91</v>
      </c>
      <c r="M79">
        <v>8</v>
      </c>
      <c r="N79">
        <v>94</v>
      </c>
      <c r="O79">
        <v>44</v>
      </c>
      <c r="P79">
        <v>59</v>
      </c>
      <c r="Q79">
        <v>38</v>
      </c>
      <c r="T79" t="str">
        <f>IF(ISERROR(MATCH('Analysis backend'!$M$1,E79:N79,0)),"",'Analysis backend'!$L$1)</f>
        <v/>
      </c>
      <c r="U79" t="str">
        <f>IF(T79='Analysis backend'!$L$1,IF(ISERROR(MATCH('Analysis backend'!$M$1,E79:I79,0)),"Dire","Radiant"),"")</f>
        <v/>
      </c>
    </row>
    <row r="80" spans="1:21" x14ac:dyDescent="0.3">
      <c r="A80">
        <v>4256175022</v>
      </c>
      <c r="B80">
        <v>1544029312</v>
      </c>
      <c r="C80">
        <v>6811</v>
      </c>
      <c r="D80" t="b">
        <v>0</v>
      </c>
      <c r="E80">
        <v>6</v>
      </c>
      <c r="F80">
        <v>2</v>
      </c>
      <c r="G80">
        <v>109</v>
      </c>
      <c r="H80">
        <v>110</v>
      </c>
      <c r="I80">
        <v>85</v>
      </c>
      <c r="J80">
        <v>9</v>
      </c>
      <c r="K80">
        <v>97</v>
      </c>
      <c r="L80">
        <v>1</v>
      </c>
      <c r="M80">
        <v>13</v>
      </c>
      <c r="N80">
        <v>50</v>
      </c>
      <c r="O80">
        <v>80</v>
      </c>
      <c r="P80">
        <v>44</v>
      </c>
      <c r="Q80">
        <v>62</v>
      </c>
      <c r="T80" t="str">
        <f>IF(ISERROR(MATCH('Analysis backend'!$M$1,E80:N80,0)),"",'Analysis backend'!$L$1)</f>
        <v/>
      </c>
      <c r="U80" t="str">
        <f>IF(T80='Analysis backend'!$L$1,IF(ISERROR(MATCH('Analysis backend'!$M$1,E80:I80,0)),"Dire","Radiant"),"")</f>
        <v/>
      </c>
    </row>
    <row r="81" spans="1:21" x14ac:dyDescent="0.3">
      <c r="A81">
        <v>4256221056</v>
      </c>
      <c r="B81">
        <v>1544031360</v>
      </c>
      <c r="C81">
        <v>7206</v>
      </c>
      <c r="D81" t="b">
        <v>1</v>
      </c>
      <c r="E81">
        <v>100</v>
      </c>
      <c r="F81">
        <v>120</v>
      </c>
      <c r="G81">
        <v>44</v>
      </c>
      <c r="H81">
        <v>78</v>
      </c>
      <c r="I81">
        <v>10</v>
      </c>
      <c r="J81">
        <v>86</v>
      </c>
      <c r="K81">
        <v>109</v>
      </c>
      <c r="L81">
        <v>16</v>
      </c>
      <c r="M81">
        <v>6</v>
      </c>
      <c r="N81">
        <v>85</v>
      </c>
      <c r="O81">
        <v>3</v>
      </c>
      <c r="P81">
        <v>82</v>
      </c>
      <c r="T81" t="str">
        <f>IF(ISERROR(MATCH('Analysis backend'!$M$1,E81:N81,0)),"",'Analysis backend'!$L$1)</f>
        <v>Phantom Assassin</v>
      </c>
      <c r="U81" t="str">
        <f>IF(T81='Analysis backend'!$L$1,IF(ISERROR(MATCH('Analysis backend'!$M$1,E81:I81,0)),"Dire","Radiant"),"")</f>
        <v>Radiant</v>
      </c>
    </row>
    <row r="82" spans="1:21" x14ac:dyDescent="0.3">
      <c r="A82">
        <v>4256224234</v>
      </c>
      <c r="B82">
        <v>1544031488</v>
      </c>
      <c r="C82">
        <v>7014</v>
      </c>
      <c r="D82" t="b">
        <v>0</v>
      </c>
      <c r="E82">
        <v>86</v>
      </c>
      <c r="F82">
        <v>114</v>
      </c>
      <c r="G82">
        <v>101</v>
      </c>
      <c r="H82">
        <v>76</v>
      </c>
      <c r="I82">
        <v>120</v>
      </c>
      <c r="J82">
        <v>97</v>
      </c>
      <c r="K82">
        <v>72</v>
      </c>
      <c r="L82">
        <v>91</v>
      </c>
      <c r="M82">
        <v>83</v>
      </c>
      <c r="N82">
        <v>56</v>
      </c>
      <c r="O82">
        <v>44</v>
      </c>
      <c r="P82">
        <v>62</v>
      </c>
      <c r="T82" t="str">
        <f>IF(ISERROR(MATCH('Analysis backend'!$M$1,E82:N82,0)),"",'Analysis backend'!$L$1)</f>
        <v/>
      </c>
      <c r="U82" t="str">
        <f>IF(T82='Analysis backend'!$L$1,IF(ISERROR(MATCH('Analysis backend'!$M$1,E82:I82,0)),"Dire","Radiant"),"")</f>
        <v/>
      </c>
    </row>
    <row r="83" spans="1:21" x14ac:dyDescent="0.3">
      <c r="A83">
        <v>4256211982</v>
      </c>
      <c r="B83">
        <v>1544030976</v>
      </c>
      <c r="C83">
        <v>6896</v>
      </c>
      <c r="D83" t="b">
        <v>0</v>
      </c>
      <c r="E83">
        <v>63</v>
      </c>
      <c r="F83">
        <v>80</v>
      </c>
      <c r="G83">
        <v>2</v>
      </c>
      <c r="H83">
        <v>85</v>
      </c>
      <c r="I83">
        <v>86</v>
      </c>
      <c r="J83">
        <v>76</v>
      </c>
      <c r="K83">
        <v>44</v>
      </c>
      <c r="L83">
        <v>78</v>
      </c>
      <c r="M83">
        <v>31</v>
      </c>
      <c r="N83">
        <v>26</v>
      </c>
      <c r="O83">
        <v>121</v>
      </c>
      <c r="P83">
        <v>97</v>
      </c>
      <c r="T83" t="str">
        <f>IF(ISERROR(MATCH('Analysis backend'!$M$1,E83:N83,0)),"",'Analysis backend'!$L$1)</f>
        <v>Phantom Assassin</v>
      </c>
      <c r="U83" t="str">
        <f>IF(T83='Analysis backend'!$L$1,IF(ISERROR(MATCH('Analysis backend'!$M$1,E83:I83,0)),"Dire","Radiant"),"")</f>
        <v>Dire</v>
      </c>
    </row>
    <row r="84" spans="1:21" x14ac:dyDescent="0.3">
      <c r="A84">
        <v>4256204231</v>
      </c>
      <c r="B84">
        <v>1544030592</v>
      </c>
      <c r="C84">
        <v>6840</v>
      </c>
      <c r="D84" t="b">
        <v>0</v>
      </c>
      <c r="E84">
        <v>23</v>
      </c>
      <c r="F84">
        <v>2</v>
      </c>
      <c r="G84">
        <v>97</v>
      </c>
      <c r="H84">
        <v>121</v>
      </c>
      <c r="I84">
        <v>95</v>
      </c>
      <c r="J84">
        <v>111</v>
      </c>
      <c r="K84">
        <v>110</v>
      </c>
      <c r="L84">
        <v>93</v>
      </c>
      <c r="M84">
        <v>86</v>
      </c>
      <c r="N84">
        <v>22</v>
      </c>
      <c r="O84">
        <v>78</v>
      </c>
      <c r="P84">
        <v>42</v>
      </c>
      <c r="Q84">
        <v>44</v>
      </c>
      <c r="R84">
        <v>6</v>
      </c>
      <c r="T84" t="str">
        <f>IF(ISERROR(MATCH('Analysis backend'!$M$1,E84:N84,0)),"",'Analysis backend'!$L$1)</f>
        <v/>
      </c>
      <c r="U84" t="str">
        <f>IF(T84='Analysis backend'!$L$1,IF(ISERROR(MATCH('Analysis backend'!$M$1,E84:I84,0)),"Dire","Radiant"),"")</f>
        <v/>
      </c>
    </row>
    <row r="85" spans="1:21" x14ac:dyDescent="0.3">
      <c r="A85">
        <v>4256210808</v>
      </c>
      <c r="B85">
        <v>1544030848</v>
      </c>
      <c r="C85">
        <v>6853</v>
      </c>
      <c r="D85" t="b">
        <v>1</v>
      </c>
      <c r="E85">
        <v>23</v>
      </c>
      <c r="F85">
        <v>97</v>
      </c>
      <c r="G85">
        <v>1</v>
      </c>
      <c r="H85">
        <v>114</v>
      </c>
      <c r="I85">
        <v>31</v>
      </c>
      <c r="J85">
        <v>120</v>
      </c>
      <c r="K85">
        <v>86</v>
      </c>
      <c r="L85">
        <v>75</v>
      </c>
      <c r="M85">
        <v>34</v>
      </c>
      <c r="N85">
        <v>44</v>
      </c>
      <c r="O85">
        <v>41</v>
      </c>
      <c r="P85">
        <v>82</v>
      </c>
      <c r="Q85">
        <v>45</v>
      </c>
      <c r="T85" t="str">
        <f>IF(ISERROR(MATCH('Analysis backend'!$M$1,E85:N85,0)),"",'Analysis backend'!$L$1)</f>
        <v>Phantom Assassin</v>
      </c>
      <c r="U85" t="str">
        <f>IF(T85='Analysis backend'!$L$1,IF(ISERROR(MATCH('Analysis backend'!$M$1,E85:I85,0)),"Dire","Radiant"),"")</f>
        <v>Dire</v>
      </c>
    </row>
    <row r="86" spans="1:21" x14ac:dyDescent="0.3">
      <c r="A86">
        <v>4256199452</v>
      </c>
      <c r="B86">
        <v>1544030336</v>
      </c>
      <c r="C86">
        <v>6795</v>
      </c>
      <c r="D86" t="b">
        <v>0</v>
      </c>
      <c r="E86">
        <v>86</v>
      </c>
      <c r="F86">
        <v>100</v>
      </c>
      <c r="G86">
        <v>1</v>
      </c>
      <c r="H86">
        <v>40</v>
      </c>
      <c r="I86">
        <v>45</v>
      </c>
      <c r="J86">
        <v>44</v>
      </c>
      <c r="K86">
        <v>50</v>
      </c>
      <c r="L86">
        <v>74</v>
      </c>
      <c r="M86">
        <v>16</v>
      </c>
      <c r="N86">
        <v>121</v>
      </c>
      <c r="O86">
        <v>77</v>
      </c>
      <c r="P86">
        <v>97</v>
      </c>
      <c r="T86" t="str">
        <f>IF(ISERROR(MATCH('Analysis backend'!$M$1,E86:N86,0)),"",'Analysis backend'!$L$1)</f>
        <v>Phantom Assassin</v>
      </c>
      <c r="U86" t="str">
        <f>IF(T86='Analysis backend'!$L$1,IF(ISERROR(MATCH('Analysis backend'!$M$1,E86:I86,0)),"Dire","Radiant"),"")</f>
        <v>Dire</v>
      </c>
    </row>
    <row r="87" spans="1:21" x14ac:dyDescent="0.3">
      <c r="A87">
        <v>4256229212</v>
      </c>
      <c r="B87">
        <v>1544031744</v>
      </c>
      <c r="C87">
        <v>7132</v>
      </c>
      <c r="D87" t="b">
        <v>0</v>
      </c>
      <c r="E87">
        <v>100</v>
      </c>
      <c r="F87">
        <v>93</v>
      </c>
      <c r="G87">
        <v>76</v>
      </c>
      <c r="H87">
        <v>31</v>
      </c>
      <c r="I87">
        <v>19</v>
      </c>
      <c r="J87">
        <v>109</v>
      </c>
      <c r="K87">
        <v>9</v>
      </c>
      <c r="L87">
        <v>110</v>
      </c>
      <c r="M87">
        <v>97</v>
      </c>
      <c r="N87">
        <v>86</v>
      </c>
      <c r="O87">
        <v>113</v>
      </c>
      <c r="P87">
        <v>50</v>
      </c>
      <c r="Q87">
        <v>44</v>
      </c>
      <c r="T87" t="str">
        <f>IF(ISERROR(MATCH('Analysis backend'!$M$1,E87:N87,0)),"",'Analysis backend'!$L$1)</f>
        <v/>
      </c>
      <c r="U87" t="str">
        <f>IF(T87='Analysis backend'!$L$1,IF(ISERROR(MATCH('Analysis backend'!$M$1,E87:I87,0)),"Dire","Radiant"),"")</f>
        <v/>
      </c>
    </row>
    <row r="88" spans="1:21" x14ac:dyDescent="0.3">
      <c r="A88">
        <v>4256228375</v>
      </c>
      <c r="B88">
        <v>1544031616</v>
      </c>
      <c r="C88">
        <v>6973</v>
      </c>
      <c r="D88" t="b">
        <v>0</v>
      </c>
      <c r="E88">
        <v>86</v>
      </c>
      <c r="F88">
        <v>49</v>
      </c>
      <c r="G88">
        <v>107</v>
      </c>
      <c r="H88">
        <v>31</v>
      </c>
      <c r="I88">
        <v>93</v>
      </c>
      <c r="J88">
        <v>50</v>
      </c>
      <c r="K88">
        <v>45</v>
      </c>
      <c r="L88">
        <v>97</v>
      </c>
      <c r="M88">
        <v>16</v>
      </c>
      <c r="N88">
        <v>1</v>
      </c>
      <c r="O88">
        <v>44</v>
      </c>
      <c r="P88">
        <v>67</v>
      </c>
      <c r="Q88">
        <v>59</v>
      </c>
      <c r="T88" t="str">
        <f>IF(ISERROR(MATCH('Analysis backend'!$M$1,E88:N88,0)),"",'Analysis backend'!$L$1)</f>
        <v/>
      </c>
      <c r="U88" t="str">
        <f>IF(T88='Analysis backend'!$L$1,IF(ISERROR(MATCH('Analysis backend'!$M$1,E88:I88,0)),"Dire","Radiant"),"")</f>
        <v/>
      </c>
    </row>
    <row r="89" spans="1:21" x14ac:dyDescent="0.3">
      <c r="A89">
        <v>4256238641</v>
      </c>
      <c r="B89">
        <v>1544032128</v>
      </c>
      <c r="C89">
        <v>6956</v>
      </c>
      <c r="D89" t="b">
        <v>0</v>
      </c>
      <c r="E89">
        <v>90</v>
      </c>
      <c r="F89">
        <v>97</v>
      </c>
      <c r="G89">
        <v>121</v>
      </c>
      <c r="H89">
        <v>1</v>
      </c>
      <c r="I89">
        <v>10</v>
      </c>
      <c r="J89">
        <v>27</v>
      </c>
      <c r="K89">
        <v>93</v>
      </c>
      <c r="L89">
        <v>78</v>
      </c>
      <c r="M89">
        <v>19</v>
      </c>
      <c r="N89">
        <v>50</v>
      </c>
      <c r="O89">
        <v>120</v>
      </c>
      <c r="P89">
        <v>44</v>
      </c>
      <c r="T89" t="str">
        <f>IF(ISERROR(MATCH('Analysis backend'!$M$1,E89:N89,0)),"",'Analysis backend'!$L$1)</f>
        <v/>
      </c>
      <c r="U89" t="str">
        <f>IF(T89='Analysis backend'!$L$1,IF(ISERROR(MATCH('Analysis backend'!$M$1,E89:I89,0)),"Dire","Radiant"),"")</f>
        <v/>
      </c>
    </row>
    <row r="90" spans="1:21" x14ac:dyDescent="0.3">
      <c r="A90">
        <v>4256250828</v>
      </c>
      <c r="B90">
        <v>1544032768</v>
      </c>
      <c r="C90">
        <v>7016</v>
      </c>
      <c r="D90" t="b">
        <v>0</v>
      </c>
      <c r="E90">
        <v>114</v>
      </c>
      <c r="F90">
        <v>26</v>
      </c>
      <c r="G90">
        <v>97</v>
      </c>
      <c r="H90">
        <v>87</v>
      </c>
      <c r="I90">
        <v>80</v>
      </c>
      <c r="J90">
        <v>44</v>
      </c>
      <c r="K90">
        <v>31</v>
      </c>
      <c r="L90">
        <v>21</v>
      </c>
      <c r="M90">
        <v>103</v>
      </c>
      <c r="N90">
        <v>38</v>
      </c>
      <c r="O90">
        <v>121</v>
      </c>
      <c r="P90">
        <v>95</v>
      </c>
      <c r="Q90">
        <v>93</v>
      </c>
      <c r="R90">
        <v>53</v>
      </c>
      <c r="T90" t="str">
        <f>IF(ISERROR(MATCH('Analysis backend'!$M$1,E90:N90,0)),"",'Analysis backend'!$L$1)</f>
        <v>Phantom Assassin</v>
      </c>
      <c r="U90" t="str">
        <f>IF(T90='Analysis backend'!$L$1,IF(ISERROR(MATCH('Analysis backend'!$M$1,E90:I90,0)),"Dire","Radiant"),"")</f>
        <v>Dire</v>
      </c>
    </row>
    <row r="91" spans="1:21" x14ac:dyDescent="0.3">
      <c r="A91">
        <v>4256246691</v>
      </c>
      <c r="B91">
        <v>1544032512</v>
      </c>
      <c r="C91">
        <v>6813</v>
      </c>
      <c r="D91" t="b">
        <v>1</v>
      </c>
      <c r="E91">
        <v>121</v>
      </c>
      <c r="F91">
        <v>27</v>
      </c>
      <c r="G91">
        <v>34</v>
      </c>
      <c r="H91">
        <v>97</v>
      </c>
      <c r="I91">
        <v>93</v>
      </c>
      <c r="J91">
        <v>101</v>
      </c>
      <c r="K91">
        <v>98</v>
      </c>
      <c r="L91">
        <v>119</v>
      </c>
      <c r="M91">
        <v>9</v>
      </c>
      <c r="N91">
        <v>15</v>
      </c>
      <c r="O91">
        <v>82</v>
      </c>
      <c r="P91">
        <v>44</v>
      </c>
      <c r="T91" t="str">
        <f>IF(ISERROR(MATCH('Analysis backend'!$M$1,E91:N91,0)),"",'Analysis backend'!$L$1)</f>
        <v/>
      </c>
      <c r="U91" t="str">
        <f>IF(T91='Analysis backend'!$L$1,IF(ISERROR(MATCH('Analysis backend'!$M$1,E91:I91,0)),"Dire","Radiant"),"")</f>
        <v/>
      </c>
    </row>
    <row r="92" spans="1:21" x14ac:dyDescent="0.3">
      <c r="A92">
        <v>4256271144</v>
      </c>
      <c r="B92">
        <v>1544033792</v>
      </c>
      <c r="C92">
        <v>7217</v>
      </c>
      <c r="D92" t="b">
        <v>1</v>
      </c>
      <c r="E92">
        <v>96</v>
      </c>
      <c r="F92">
        <v>6</v>
      </c>
      <c r="G92">
        <v>86</v>
      </c>
      <c r="H92">
        <v>121</v>
      </c>
      <c r="I92">
        <v>94</v>
      </c>
      <c r="J92">
        <v>48</v>
      </c>
      <c r="K92">
        <v>44</v>
      </c>
      <c r="L92">
        <v>111</v>
      </c>
      <c r="M92">
        <v>55</v>
      </c>
      <c r="N92">
        <v>97</v>
      </c>
      <c r="O92">
        <v>93</v>
      </c>
      <c r="P92">
        <v>38</v>
      </c>
      <c r="Q92">
        <v>23</v>
      </c>
      <c r="T92" t="str">
        <f>IF(ISERROR(MATCH('Analysis backend'!$M$1,E92:N92,0)),"",'Analysis backend'!$L$1)</f>
        <v>Phantom Assassin</v>
      </c>
      <c r="U92" t="str">
        <f>IF(T92='Analysis backend'!$L$1,IF(ISERROR(MATCH('Analysis backend'!$M$1,E92:I92,0)),"Dire","Radiant"),"")</f>
        <v>Dire</v>
      </c>
    </row>
    <row r="93" spans="1:21" x14ac:dyDescent="0.3">
      <c r="A93">
        <v>4256265153</v>
      </c>
      <c r="B93">
        <v>1544033408</v>
      </c>
      <c r="C93">
        <v>7014</v>
      </c>
      <c r="D93" t="b">
        <v>1</v>
      </c>
      <c r="E93">
        <v>86</v>
      </c>
      <c r="F93">
        <v>87</v>
      </c>
      <c r="G93">
        <v>44</v>
      </c>
      <c r="H93">
        <v>59</v>
      </c>
      <c r="I93">
        <v>114</v>
      </c>
      <c r="J93">
        <v>7</v>
      </c>
      <c r="K93">
        <v>10</v>
      </c>
      <c r="L93">
        <v>31</v>
      </c>
      <c r="M93">
        <v>80</v>
      </c>
      <c r="N93">
        <v>121</v>
      </c>
      <c r="O93">
        <v>82</v>
      </c>
      <c r="P93">
        <v>101</v>
      </c>
      <c r="Q93">
        <v>93</v>
      </c>
      <c r="R93">
        <v>97</v>
      </c>
      <c r="T93" t="str">
        <f>IF(ISERROR(MATCH('Analysis backend'!$M$1,E93:N93,0)),"",'Analysis backend'!$L$1)</f>
        <v>Phantom Assassin</v>
      </c>
      <c r="U93" t="str">
        <f>IF(T93='Analysis backend'!$L$1,IF(ISERROR(MATCH('Analysis backend'!$M$1,E93:I93,0)),"Dire","Radiant"),"")</f>
        <v>Radiant</v>
      </c>
    </row>
    <row r="94" spans="1:21" x14ac:dyDescent="0.3">
      <c r="A94">
        <v>4256268617</v>
      </c>
      <c r="B94">
        <v>1544033664</v>
      </c>
      <c r="C94">
        <v>6848</v>
      </c>
      <c r="D94" t="b">
        <v>1</v>
      </c>
      <c r="E94">
        <v>97</v>
      </c>
      <c r="F94">
        <v>44</v>
      </c>
      <c r="G94">
        <v>76</v>
      </c>
      <c r="H94">
        <v>111</v>
      </c>
      <c r="I94">
        <v>86</v>
      </c>
      <c r="J94">
        <v>74</v>
      </c>
      <c r="K94">
        <v>101</v>
      </c>
      <c r="L94">
        <v>29</v>
      </c>
      <c r="M94">
        <v>106</v>
      </c>
      <c r="N94">
        <v>85</v>
      </c>
      <c r="O94">
        <v>2</v>
      </c>
      <c r="P94">
        <v>61</v>
      </c>
      <c r="Q94">
        <v>8</v>
      </c>
      <c r="T94" t="str">
        <f>IF(ISERROR(MATCH('Analysis backend'!$M$1,E94:N94,0)),"",'Analysis backend'!$L$1)</f>
        <v>Phantom Assassin</v>
      </c>
      <c r="U94" t="str">
        <f>IF(T94='Analysis backend'!$L$1,IF(ISERROR(MATCH('Analysis backend'!$M$1,E94:I94,0)),"Dire","Radiant"),"")</f>
        <v>Radiant</v>
      </c>
    </row>
    <row r="95" spans="1:21" x14ac:dyDescent="0.3">
      <c r="A95">
        <v>4256248932</v>
      </c>
      <c r="B95">
        <v>1544032640</v>
      </c>
      <c r="C95">
        <v>6800</v>
      </c>
      <c r="D95" t="b">
        <v>1</v>
      </c>
      <c r="E95">
        <v>35</v>
      </c>
      <c r="F95">
        <v>33</v>
      </c>
      <c r="G95">
        <v>29</v>
      </c>
      <c r="H95">
        <v>7</v>
      </c>
      <c r="I95">
        <v>3</v>
      </c>
      <c r="J95">
        <v>69</v>
      </c>
      <c r="K95">
        <v>19</v>
      </c>
      <c r="L95">
        <v>44</v>
      </c>
      <c r="M95">
        <v>101</v>
      </c>
      <c r="N95">
        <v>50</v>
      </c>
      <c r="O95">
        <v>61</v>
      </c>
      <c r="P95">
        <v>97</v>
      </c>
      <c r="Q95">
        <v>59</v>
      </c>
      <c r="T95" t="str">
        <f>IF(ISERROR(MATCH('Analysis backend'!$M$1,E95:N95,0)),"",'Analysis backend'!$L$1)</f>
        <v>Phantom Assassin</v>
      </c>
      <c r="U95" t="str">
        <f>IF(T95='Analysis backend'!$L$1,IF(ISERROR(MATCH('Analysis backend'!$M$1,E95:I95,0)),"Dire","Radiant"),"")</f>
        <v>Dire</v>
      </c>
    </row>
    <row r="96" spans="1:21" x14ac:dyDescent="0.3">
      <c r="A96">
        <v>4256280431</v>
      </c>
      <c r="B96">
        <v>1544034176</v>
      </c>
      <c r="C96">
        <v>7244</v>
      </c>
      <c r="D96" t="b">
        <v>1</v>
      </c>
      <c r="E96">
        <v>107</v>
      </c>
      <c r="F96">
        <v>55</v>
      </c>
      <c r="G96">
        <v>44</v>
      </c>
      <c r="H96">
        <v>93</v>
      </c>
      <c r="I96">
        <v>75</v>
      </c>
      <c r="J96">
        <v>86</v>
      </c>
      <c r="K96">
        <v>111</v>
      </c>
      <c r="L96">
        <v>82</v>
      </c>
      <c r="M96">
        <v>6</v>
      </c>
      <c r="N96">
        <v>97</v>
      </c>
      <c r="O96">
        <v>31</v>
      </c>
      <c r="T96" t="str">
        <f>IF(ISERROR(MATCH('Analysis backend'!$M$1,E96:N96,0)),"",'Analysis backend'!$L$1)</f>
        <v>Phantom Assassin</v>
      </c>
      <c r="U96" t="str">
        <f>IF(T96='Analysis backend'!$L$1,IF(ISERROR(MATCH('Analysis backend'!$M$1,E96:I96,0)),"Dire","Radiant"),"")</f>
        <v>Radiant</v>
      </c>
    </row>
    <row r="97" spans="1:21" x14ac:dyDescent="0.3">
      <c r="A97">
        <v>4256284324</v>
      </c>
      <c r="B97">
        <v>1544034432</v>
      </c>
      <c r="C97">
        <v>6863</v>
      </c>
      <c r="D97" t="b">
        <v>0</v>
      </c>
      <c r="E97">
        <v>9</v>
      </c>
      <c r="F97">
        <v>27</v>
      </c>
      <c r="G97">
        <v>44</v>
      </c>
      <c r="H97">
        <v>69</v>
      </c>
      <c r="I97">
        <v>100</v>
      </c>
      <c r="J97">
        <v>76</v>
      </c>
      <c r="K97">
        <v>86</v>
      </c>
      <c r="L97">
        <v>93</v>
      </c>
      <c r="M97">
        <v>107</v>
      </c>
      <c r="N97">
        <v>85</v>
      </c>
      <c r="O97">
        <v>2</v>
      </c>
      <c r="P97">
        <v>97</v>
      </c>
      <c r="T97" t="str">
        <f>IF(ISERROR(MATCH('Analysis backend'!$M$1,E97:N97,0)),"",'Analysis backend'!$L$1)</f>
        <v>Phantom Assassin</v>
      </c>
      <c r="U97" t="str">
        <f>IF(T97='Analysis backend'!$L$1,IF(ISERROR(MATCH('Analysis backend'!$M$1,E97:I97,0)),"Dire","Radiant"),"")</f>
        <v>Radiant</v>
      </c>
    </row>
    <row r="98" spans="1:21" x14ac:dyDescent="0.3">
      <c r="A98">
        <v>4256293423</v>
      </c>
      <c r="B98">
        <v>1544034816</v>
      </c>
      <c r="C98">
        <v>7153</v>
      </c>
      <c r="D98" t="b">
        <v>1</v>
      </c>
      <c r="E98">
        <v>50</v>
      </c>
      <c r="F98">
        <v>114</v>
      </c>
      <c r="G98">
        <v>103</v>
      </c>
      <c r="H98">
        <v>80</v>
      </c>
      <c r="I98">
        <v>16</v>
      </c>
      <c r="J98">
        <v>8</v>
      </c>
      <c r="K98">
        <v>83</v>
      </c>
      <c r="L98">
        <v>30</v>
      </c>
      <c r="M98">
        <v>97</v>
      </c>
      <c r="N98">
        <v>107</v>
      </c>
      <c r="O98">
        <v>41</v>
      </c>
      <c r="P98">
        <v>31</v>
      </c>
      <c r="Q98">
        <v>110</v>
      </c>
      <c r="T98" t="str">
        <f>IF(ISERROR(MATCH('Analysis backend'!$M$1,E98:N98,0)),"",'Analysis backend'!$L$1)</f>
        <v/>
      </c>
      <c r="U98" t="str">
        <f>IF(T98='Analysis backend'!$L$1,IF(ISERROR(MATCH('Analysis backend'!$M$1,E98:I98,0)),"Dire","Radiant"),"")</f>
        <v/>
      </c>
    </row>
    <row r="99" spans="1:21" x14ac:dyDescent="0.3">
      <c r="A99">
        <v>4256293846</v>
      </c>
      <c r="B99">
        <v>1544034816</v>
      </c>
      <c r="C99">
        <v>6850</v>
      </c>
      <c r="D99" t="b">
        <v>1</v>
      </c>
      <c r="E99">
        <v>76</v>
      </c>
      <c r="F99">
        <v>27</v>
      </c>
      <c r="G99">
        <v>97</v>
      </c>
      <c r="H99">
        <v>45</v>
      </c>
      <c r="I99">
        <v>44</v>
      </c>
      <c r="J99">
        <v>51</v>
      </c>
      <c r="K99">
        <v>25</v>
      </c>
      <c r="L99">
        <v>86</v>
      </c>
      <c r="M99">
        <v>98</v>
      </c>
      <c r="N99">
        <v>19</v>
      </c>
      <c r="O99">
        <v>13</v>
      </c>
      <c r="P99">
        <v>62</v>
      </c>
      <c r="Q99">
        <v>114</v>
      </c>
      <c r="T99" t="str">
        <f>IF(ISERROR(MATCH('Analysis backend'!$M$1,E99:N99,0)),"",'Analysis backend'!$L$1)</f>
        <v>Phantom Assassin</v>
      </c>
      <c r="U99" t="str">
        <f>IF(T99='Analysis backend'!$L$1,IF(ISERROR(MATCH('Analysis backend'!$M$1,E99:I99,0)),"Dire","Radiant"),"")</f>
        <v>Radiant</v>
      </c>
    </row>
    <row r="100" spans="1:21" x14ac:dyDescent="0.3">
      <c r="A100">
        <v>4256296487</v>
      </c>
      <c r="B100">
        <v>1544035072</v>
      </c>
      <c r="C100">
        <v>6832</v>
      </c>
      <c r="D100" t="b">
        <v>1</v>
      </c>
      <c r="E100">
        <v>41</v>
      </c>
      <c r="F100">
        <v>31</v>
      </c>
      <c r="G100">
        <v>107</v>
      </c>
      <c r="H100">
        <v>114</v>
      </c>
      <c r="I100">
        <v>78</v>
      </c>
      <c r="J100">
        <v>29</v>
      </c>
      <c r="K100">
        <v>50</v>
      </c>
      <c r="L100">
        <v>66</v>
      </c>
      <c r="M100">
        <v>34</v>
      </c>
      <c r="N100">
        <v>93</v>
      </c>
      <c r="O100">
        <v>82</v>
      </c>
      <c r="P100">
        <v>10</v>
      </c>
      <c r="Q100">
        <v>97</v>
      </c>
      <c r="T100" t="str">
        <f>IF(ISERROR(MATCH('Analysis backend'!$M$1,E100:N100,0)),"",'Analysis backend'!$L$1)</f>
        <v/>
      </c>
      <c r="U100" t="str">
        <f>IF(T100='Analysis backend'!$L$1,IF(ISERROR(MATCH('Analysis backend'!$M$1,E100:I100,0)),"Dire","Radiant"),"")</f>
        <v/>
      </c>
    </row>
    <row r="101" spans="1:21" x14ac:dyDescent="0.3">
      <c r="A101">
        <v>4256277011</v>
      </c>
      <c r="B101">
        <v>1544034048</v>
      </c>
      <c r="C101">
        <v>6810</v>
      </c>
      <c r="D101" t="b">
        <v>0</v>
      </c>
      <c r="E101">
        <v>42</v>
      </c>
      <c r="F101">
        <v>38</v>
      </c>
      <c r="G101">
        <v>11</v>
      </c>
      <c r="H101">
        <v>100</v>
      </c>
      <c r="I101">
        <v>26</v>
      </c>
      <c r="J101">
        <v>1</v>
      </c>
      <c r="K101">
        <v>114</v>
      </c>
      <c r="L101">
        <v>5</v>
      </c>
      <c r="M101">
        <v>86</v>
      </c>
      <c r="N101">
        <v>16</v>
      </c>
      <c r="O101">
        <v>44</v>
      </c>
      <c r="P101">
        <v>97</v>
      </c>
      <c r="Q101">
        <v>72</v>
      </c>
      <c r="T101" t="str">
        <f>IF(ISERROR(MATCH('Analysis backend'!$M$1,E101:N101,0)),"",'Analysis backend'!$L$1)</f>
        <v/>
      </c>
      <c r="U101" t="str">
        <f>IF(T101='Analysis backend'!$L$1,IF(ISERROR(MATCH('Analysis backend'!$M$1,E101:I101,0)),"Dire","Radiant"),"")</f>
        <v/>
      </c>
    </row>
    <row r="102" spans="1:21" x14ac:dyDescent="0.3">
      <c r="A102">
        <v>4256305117</v>
      </c>
      <c r="B102">
        <v>1544035456</v>
      </c>
      <c r="C102">
        <v>7216</v>
      </c>
      <c r="D102" t="b">
        <v>0</v>
      </c>
      <c r="E102">
        <v>27</v>
      </c>
      <c r="F102">
        <v>6</v>
      </c>
      <c r="G102">
        <v>31</v>
      </c>
      <c r="H102">
        <v>39</v>
      </c>
      <c r="I102">
        <v>72</v>
      </c>
      <c r="J102">
        <v>10</v>
      </c>
      <c r="K102">
        <v>97</v>
      </c>
      <c r="L102">
        <v>12</v>
      </c>
      <c r="M102">
        <v>112</v>
      </c>
      <c r="N102">
        <v>114</v>
      </c>
      <c r="O102">
        <v>78</v>
      </c>
      <c r="P102">
        <v>44</v>
      </c>
      <c r="Q102">
        <v>50</v>
      </c>
      <c r="T102" t="str">
        <f>IF(ISERROR(MATCH('Analysis backend'!$M$1,E102:N102,0)),"",'Analysis backend'!$L$1)</f>
        <v/>
      </c>
      <c r="U102" t="str">
        <f>IF(T102='Analysis backend'!$L$1,IF(ISERROR(MATCH('Analysis backend'!$M$1,E102:I102,0)),"Dire","Radiant"),"")</f>
        <v/>
      </c>
    </row>
    <row r="103" spans="1:21" x14ac:dyDescent="0.3">
      <c r="A103">
        <v>4256303685</v>
      </c>
      <c r="B103">
        <v>1544035328</v>
      </c>
      <c r="C103">
        <v>7155</v>
      </c>
      <c r="D103" t="b">
        <v>0</v>
      </c>
      <c r="E103">
        <v>101</v>
      </c>
      <c r="F103">
        <v>16</v>
      </c>
      <c r="G103">
        <v>50</v>
      </c>
      <c r="H103">
        <v>76</v>
      </c>
      <c r="I103">
        <v>44</v>
      </c>
      <c r="J103">
        <v>21</v>
      </c>
      <c r="K103">
        <v>10</v>
      </c>
      <c r="L103">
        <v>35</v>
      </c>
      <c r="M103">
        <v>97</v>
      </c>
      <c r="N103">
        <v>84</v>
      </c>
      <c r="O103">
        <v>47</v>
      </c>
      <c r="P103">
        <v>120</v>
      </c>
      <c r="Q103">
        <v>2</v>
      </c>
      <c r="T103" t="str">
        <f>IF(ISERROR(MATCH('Analysis backend'!$M$1,E103:N103,0)),"",'Analysis backend'!$L$1)</f>
        <v>Phantom Assassin</v>
      </c>
      <c r="U103" t="str">
        <f>IF(T103='Analysis backend'!$L$1,IF(ISERROR(MATCH('Analysis backend'!$M$1,E103:I103,0)),"Dire","Radiant"),"")</f>
        <v>Radiant</v>
      </c>
    </row>
    <row r="104" spans="1:21" x14ac:dyDescent="0.3">
      <c r="A104">
        <v>4256306039</v>
      </c>
      <c r="B104">
        <v>1544035456</v>
      </c>
      <c r="C104">
        <v>7074</v>
      </c>
      <c r="D104" t="b">
        <v>1</v>
      </c>
      <c r="E104">
        <v>88</v>
      </c>
      <c r="F104">
        <v>50</v>
      </c>
      <c r="G104">
        <v>44</v>
      </c>
      <c r="H104">
        <v>100</v>
      </c>
      <c r="I104">
        <v>16</v>
      </c>
      <c r="J104">
        <v>78</v>
      </c>
      <c r="K104">
        <v>41</v>
      </c>
      <c r="L104">
        <v>110</v>
      </c>
      <c r="M104">
        <v>76</v>
      </c>
      <c r="N104">
        <v>121</v>
      </c>
      <c r="O104">
        <v>93</v>
      </c>
      <c r="P104">
        <v>61</v>
      </c>
      <c r="Q104">
        <v>97</v>
      </c>
      <c r="T104" t="str">
        <f>IF(ISERROR(MATCH('Analysis backend'!$M$1,E104:N104,0)),"",'Analysis backend'!$L$1)</f>
        <v>Phantom Assassin</v>
      </c>
      <c r="U104" t="str">
        <f>IF(T104='Analysis backend'!$L$1,IF(ISERROR(MATCH('Analysis backend'!$M$1,E104:I104,0)),"Dire","Radiant"),"")</f>
        <v>Radiant</v>
      </c>
    </row>
    <row r="105" spans="1:21" x14ac:dyDescent="0.3">
      <c r="A105">
        <v>4256310052</v>
      </c>
      <c r="B105">
        <v>1544035712</v>
      </c>
      <c r="C105">
        <v>7040</v>
      </c>
      <c r="D105" t="b">
        <v>0</v>
      </c>
      <c r="E105">
        <v>101</v>
      </c>
      <c r="F105">
        <v>55</v>
      </c>
      <c r="G105">
        <v>2</v>
      </c>
      <c r="H105">
        <v>1</v>
      </c>
      <c r="I105">
        <v>44</v>
      </c>
      <c r="J105">
        <v>49</v>
      </c>
      <c r="K105">
        <v>16</v>
      </c>
      <c r="L105">
        <v>114</v>
      </c>
      <c r="M105">
        <v>121</v>
      </c>
      <c r="N105">
        <v>111</v>
      </c>
      <c r="O105">
        <v>62</v>
      </c>
      <c r="P105">
        <v>82</v>
      </c>
      <c r="Q105">
        <v>97</v>
      </c>
      <c r="T105" t="str">
        <f>IF(ISERROR(MATCH('Analysis backend'!$M$1,E105:N105,0)),"",'Analysis backend'!$L$1)</f>
        <v>Phantom Assassin</v>
      </c>
      <c r="U105" t="str">
        <f>IF(T105='Analysis backend'!$L$1,IF(ISERROR(MATCH('Analysis backend'!$M$1,E105:I105,0)),"Dire","Radiant"),"")</f>
        <v>Radiant</v>
      </c>
    </row>
    <row r="106" spans="1:21" x14ac:dyDescent="0.3">
      <c r="A106">
        <v>4256318236</v>
      </c>
      <c r="B106">
        <v>1544036352</v>
      </c>
      <c r="C106">
        <v>7192</v>
      </c>
      <c r="D106" t="b">
        <v>0</v>
      </c>
      <c r="E106">
        <v>93</v>
      </c>
      <c r="F106">
        <v>7</v>
      </c>
      <c r="G106">
        <v>91</v>
      </c>
      <c r="H106">
        <v>103</v>
      </c>
      <c r="I106">
        <v>101</v>
      </c>
      <c r="J106">
        <v>106</v>
      </c>
      <c r="K106">
        <v>121</v>
      </c>
      <c r="L106">
        <v>69</v>
      </c>
      <c r="M106">
        <v>66</v>
      </c>
      <c r="N106">
        <v>44</v>
      </c>
      <c r="O106">
        <v>6</v>
      </c>
      <c r="P106">
        <v>31</v>
      </c>
      <c r="T106" t="str">
        <f>IF(ISERROR(MATCH('Analysis backend'!$M$1,E106:N106,0)),"",'Analysis backend'!$L$1)</f>
        <v>Phantom Assassin</v>
      </c>
      <c r="U106" t="str">
        <f>IF(T106='Analysis backend'!$L$1,IF(ISERROR(MATCH('Analysis backend'!$M$1,E106:I106,0)),"Dire","Radiant"),"")</f>
        <v>Dire</v>
      </c>
    </row>
    <row r="107" spans="1:21" x14ac:dyDescent="0.3">
      <c r="A107">
        <v>4256314122</v>
      </c>
      <c r="B107">
        <v>1544036352</v>
      </c>
      <c r="C107">
        <v>6982</v>
      </c>
      <c r="D107" t="b">
        <v>0</v>
      </c>
      <c r="E107">
        <v>50</v>
      </c>
      <c r="F107">
        <v>44</v>
      </c>
      <c r="G107">
        <v>38</v>
      </c>
      <c r="H107">
        <v>6</v>
      </c>
      <c r="I107">
        <v>90</v>
      </c>
      <c r="J107">
        <v>85</v>
      </c>
      <c r="K107">
        <v>93</v>
      </c>
      <c r="L107">
        <v>97</v>
      </c>
      <c r="M107">
        <v>101</v>
      </c>
      <c r="N107">
        <v>114</v>
      </c>
      <c r="O107">
        <v>82</v>
      </c>
      <c r="P107">
        <v>41</v>
      </c>
      <c r="Q107">
        <v>34</v>
      </c>
      <c r="T107" t="str">
        <f>IF(ISERROR(MATCH('Analysis backend'!$M$1,E107:N107,0)),"",'Analysis backend'!$L$1)</f>
        <v>Phantom Assassin</v>
      </c>
      <c r="U107" t="str">
        <f>IF(T107='Analysis backend'!$L$1,IF(ISERROR(MATCH('Analysis backend'!$M$1,E107:I107,0)),"Dire","Radiant"),"")</f>
        <v>Radiant</v>
      </c>
    </row>
    <row r="108" spans="1:21" x14ac:dyDescent="0.3">
      <c r="A108">
        <v>4256331889</v>
      </c>
      <c r="B108">
        <v>1544036864</v>
      </c>
      <c r="C108">
        <v>7365</v>
      </c>
      <c r="D108" t="b">
        <v>0</v>
      </c>
      <c r="E108">
        <v>50</v>
      </c>
      <c r="F108">
        <v>107</v>
      </c>
      <c r="G108">
        <v>101</v>
      </c>
      <c r="H108">
        <v>110</v>
      </c>
      <c r="I108">
        <v>63</v>
      </c>
      <c r="J108">
        <v>76</v>
      </c>
      <c r="K108">
        <v>111</v>
      </c>
      <c r="L108">
        <v>21</v>
      </c>
      <c r="M108">
        <v>93</v>
      </c>
      <c r="N108">
        <v>100</v>
      </c>
      <c r="O108">
        <v>44</v>
      </c>
      <c r="T108" t="str">
        <f>IF(ISERROR(MATCH('Analysis backend'!$M$1,E108:N108,0)),"",'Analysis backend'!$L$1)</f>
        <v/>
      </c>
      <c r="U108" t="str">
        <f>IF(T108='Analysis backend'!$L$1,IF(ISERROR(MATCH('Analysis backend'!$M$1,E108:I108,0)),"Dire","Radiant"),"")</f>
        <v/>
      </c>
    </row>
    <row r="109" spans="1:21" x14ac:dyDescent="0.3">
      <c r="A109">
        <v>4256292755</v>
      </c>
      <c r="B109">
        <v>1544036352</v>
      </c>
      <c r="C109">
        <v>6814</v>
      </c>
      <c r="D109" t="b">
        <v>0</v>
      </c>
      <c r="E109">
        <v>27</v>
      </c>
      <c r="F109">
        <v>108</v>
      </c>
      <c r="G109">
        <v>76</v>
      </c>
      <c r="H109">
        <v>8</v>
      </c>
      <c r="I109">
        <v>7</v>
      </c>
      <c r="J109">
        <v>44</v>
      </c>
      <c r="K109">
        <v>22</v>
      </c>
      <c r="L109">
        <v>45</v>
      </c>
      <c r="M109">
        <v>50</v>
      </c>
      <c r="N109">
        <v>2</v>
      </c>
      <c r="O109">
        <v>97</v>
      </c>
      <c r="P109">
        <v>1</v>
      </c>
      <c r="T109" t="str">
        <f>IF(ISERROR(MATCH('Analysis backend'!$M$1,E109:N109,0)),"",'Analysis backend'!$L$1)</f>
        <v>Phantom Assassin</v>
      </c>
      <c r="U109" t="str">
        <f>IF(T109='Analysis backend'!$L$1,IF(ISERROR(MATCH('Analysis backend'!$M$1,E109:I109,0)),"Dire","Radiant"),"")</f>
        <v>Dire</v>
      </c>
    </row>
    <row r="110" spans="1:21" x14ac:dyDescent="0.3">
      <c r="A110">
        <v>4256341672</v>
      </c>
      <c r="B110">
        <v>1544037376</v>
      </c>
      <c r="C110">
        <v>7044</v>
      </c>
      <c r="D110" t="b">
        <v>1</v>
      </c>
      <c r="E110">
        <v>31</v>
      </c>
      <c r="F110">
        <v>1</v>
      </c>
      <c r="G110">
        <v>97</v>
      </c>
      <c r="H110">
        <v>85</v>
      </c>
      <c r="I110">
        <v>26</v>
      </c>
      <c r="J110">
        <v>41</v>
      </c>
      <c r="K110">
        <v>29</v>
      </c>
      <c r="L110">
        <v>50</v>
      </c>
      <c r="M110">
        <v>76</v>
      </c>
      <c r="N110">
        <v>9</v>
      </c>
      <c r="O110">
        <v>93</v>
      </c>
      <c r="P110">
        <v>44</v>
      </c>
      <c r="T110" t="str">
        <f>IF(ISERROR(MATCH('Analysis backend'!$M$1,E110:N110,0)),"",'Analysis backend'!$L$1)</f>
        <v/>
      </c>
      <c r="U110" t="str">
        <f>IF(T110='Analysis backend'!$L$1,IF(ISERROR(MATCH('Analysis backend'!$M$1,E110:I110,0)),"Dire","Radiant"),"")</f>
        <v/>
      </c>
    </row>
    <row r="111" spans="1:21" x14ac:dyDescent="0.3">
      <c r="A111">
        <v>4256342238</v>
      </c>
      <c r="B111">
        <v>1544037376</v>
      </c>
      <c r="C111">
        <v>7008</v>
      </c>
      <c r="D111" t="b">
        <v>1</v>
      </c>
      <c r="E111">
        <v>86</v>
      </c>
      <c r="F111">
        <v>8</v>
      </c>
      <c r="G111">
        <v>75</v>
      </c>
      <c r="H111">
        <v>97</v>
      </c>
      <c r="I111">
        <v>25</v>
      </c>
      <c r="J111">
        <v>110</v>
      </c>
      <c r="K111">
        <v>55</v>
      </c>
      <c r="L111">
        <v>1</v>
      </c>
      <c r="M111">
        <v>14</v>
      </c>
      <c r="N111">
        <v>45</v>
      </c>
      <c r="O111">
        <v>44</v>
      </c>
      <c r="P111">
        <v>59</v>
      </c>
      <c r="T111" t="str">
        <f>IF(ISERROR(MATCH('Analysis backend'!$M$1,E111:N111,0)),"",'Analysis backend'!$L$1)</f>
        <v/>
      </c>
      <c r="U111" t="str">
        <f>IF(T111='Analysis backend'!$L$1,IF(ISERROR(MATCH('Analysis backend'!$M$1,E111:I111,0)),"Dire","Radiant"),"")</f>
        <v/>
      </c>
    </row>
    <row r="112" spans="1:21" x14ac:dyDescent="0.3">
      <c r="A112">
        <v>4256337556</v>
      </c>
      <c r="B112">
        <v>1544037120</v>
      </c>
      <c r="C112">
        <v>6967</v>
      </c>
      <c r="D112" t="b">
        <v>0</v>
      </c>
      <c r="E112">
        <v>86</v>
      </c>
      <c r="F112">
        <v>44</v>
      </c>
      <c r="G112">
        <v>50</v>
      </c>
      <c r="H112">
        <v>38</v>
      </c>
      <c r="I112">
        <v>75</v>
      </c>
      <c r="J112">
        <v>114</v>
      </c>
      <c r="K112">
        <v>101</v>
      </c>
      <c r="L112">
        <v>97</v>
      </c>
      <c r="M112">
        <v>95</v>
      </c>
      <c r="N112">
        <v>111</v>
      </c>
      <c r="O112">
        <v>93</v>
      </c>
      <c r="P112">
        <v>76</v>
      </c>
      <c r="Q112">
        <v>1</v>
      </c>
      <c r="T112" t="str">
        <f>IF(ISERROR(MATCH('Analysis backend'!$M$1,E112:N112,0)),"",'Analysis backend'!$L$1)</f>
        <v>Phantom Assassin</v>
      </c>
      <c r="U112" t="str">
        <f>IF(T112='Analysis backend'!$L$1,IF(ISERROR(MATCH('Analysis backend'!$M$1,E112:I112,0)),"Dire","Radiant"),"")</f>
        <v>Radiant</v>
      </c>
    </row>
    <row r="113" spans="1:21" x14ac:dyDescent="0.3">
      <c r="A113">
        <v>4256341812</v>
      </c>
      <c r="B113">
        <v>1544037376</v>
      </c>
      <c r="C113">
        <v>6925</v>
      </c>
      <c r="D113" t="b">
        <v>1</v>
      </c>
      <c r="E113">
        <v>109</v>
      </c>
      <c r="F113">
        <v>49</v>
      </c>
      <c r="G113">
        <v>101</v>
      </c>
      <c r="H113">
        <v>45</v>
      </c>
      <c r="I113">
        <v>97</v>
      </c>
      <c r="J113">
        <v>121</v>
      </c>
      <c r="K113">
        <v>86</v>
      </c>
      <c r="L113">
        <v>8</v>
      </c>
      <c r="M113">
        <v>106</v>
      </c>
      <c r="N113">
        <v>2</v>
      </c>
      <c r="T113" t="str">
        <f>IF(ISERROR(MATCH('Analysis backend'!$M$1,E113:N113,0)),"",'Analysis backend'!$L$1)</f>
        <v/>
      </c>
      <c r="U113" t="str">
        <f>IF(T113='Analysis backend'!$L$1,IF(ISERROR(MATCH('Analysis backend'!$M$1,E113:I113,0)),"Dire","Radiant"),"")</f>
        <v/>
      </c>
    </row>
    <row r="114" spans="1:21" x14ac:dyDescent="0.3">
      <c r="A114">
        <v>4256355066</v>
      </c>
      <c r="B114">
        <v>1544038016</v>
      </c>
      <c r="C114">
        <v>7027</v>
      </c>
      <c r="D114" t="b">
        <v>0</v>
      </c>
      <c r="E114">
        <v>86</v>
      </c>
      <c r="F114">
        <v>74</v>
      </c>
      <c r="G114">
        <v>100</v>
      </c>
      <c r="H114">
        <v>28</v>
      </c>
      <c r="I114">
        <v>93</v>
      </c>
      <c r="J114">
        <v>64</v>
      </c>
      <c r="K114">
        <v>16</v>
      </c>
      <c r="L114">
        <v>41</v>
      </c>
      <c r="M114">
        <v>62</v>
      </c>
      <c r="N114">
        <v>61</v>
      </c>
      <c r="O114">
        <v>17</v>
      </c>
      <c r="P114">
        <v>44</v>
      </c>
      <c r="Q114">
        <v>97</v>
      </c>
      <c r="T114" t="str">
        <f>IF(ISERROR(MATCH('Analysis backend'!$M$1,E114:N114,0)),"",'Analysis backend'!$L$1)</f>
        <v/>
      </c>
      <c r="U114" t="str">
        <f>IF(T114='Analysis backend'!$L$1,IF(ISERROR(MATCH('Analysis backend'!$M$1,E114:I114,0)),"Dire","Radiant"),"")</f>
        <v/>
      </c>
    </row>
    <row r="115" spans="1:21" x14ac:dyDescent="0.3">
      <c r="A115">
        <v>4256350044</v>
      </c>
      <c r="B115">
        <v>1544037760</v>
      </c>
      <c r="C115">
        <v>6995</v>
      </c>
      <c r="D115" t="b">
        <v>0</v>
      </c>
      <c r="E115">
        <v>1</v>
      </c>
      <c r="F115">
        <v>78</v>
      </c>
      <c r="G115">
        <v>46</v>
      </c>
      <c r="H115">
        <v>121</v>
      </c>
      <c r="I115">
        <v>31</v>
      </c>
      <c r="J115">
        <v>16</v>
      </c>
      <c r="K115">
        <v>45</v>
      </c>
      <c r="L115">
        <v>109</v>
      </c>
      <c r="M115">
        <v>25</v>
      </c>
      <c r="N115">
        <v>85</v>
      </c>
      <c r="O115">
        <v>44</v>
      </c>
      <c r="P115">
        <v>82</v>
      </c>
      <c r="Q115">
        <v>50</v>
      </c>
      <c r="T115" t="str">
        <f>IF(ISERROR(MATCH('Analysis backend'!$M$1,E115:N115,0)),"",'Analysis backend'!$L$1)</f>
        <v/>
      </c>
      <c r="U115" t="str">
        <f>IF(T115='Analysis backend'!$L$1,IF(ISERROR(MATCH('Analysis backend'!$M$1,E115:I115,0)),"Dire","Radiant"),"")</f>
        <v/>
      </c>
    </row>
    <row r="116" spans="1:21" x14ac:dyDescent="0.3">
      <c r="A116">
        <v>4256348641</v>
      </c>
      <c r="B116">
        <v>1544037632</v>
      </c>
      <c r="C116">
        <v>6989</v>
      </c>
      <c r="D116" t="b">
        <v>0</v>
      </c>
      <c r="E116">
        <v>80</v>
      </c>
      <c r="F116">
        <v>6</v>
      </c>
      <c r="G116">
        <v>88</v>
      </c>
      <c r="H116">
        <v>33</v>
      </c>
      <c r="I116">
        <v>68</v>
      </c>
      <c r="J116">
        <v>94</v>
      </c>
      <c r="K116">
        <v>91</v>
      </c>
      <c r="L116">
        <v>38</v>
      </c>
      <c r="M116">
        <v>111</v>
      </c>
      <c r="N116">
        <v>40</v>
      </c>
      <c r="O116">
        <v>34</v>
      </c>
      <c r="P116">
        <v>44</v>
      </c>
      <c r="T116" t="str">
        <f>IF(ISERROR(MATCH('Analysis backend'!$M$1,E116:N116,0)),"",'Analysis backend'!$L$1)</f>
        <v/>
      </c>
      <c r="U116" t="str">
        <f>IF(T116='Analysis backend'!$L$1,IF(ISERROR(MATCH('Analysis backend'!$M$1,E116:I116,0)),"Dire","Radiant"),"")</f>
        <v/>
      </c>
    </row>
    <row r="117" spans="1:21" x14ac:dyDescent="0.3">
      <c r="A117">
        <v>4256345237</v>
      </c>
      <c r="B117">
        <v>1544037504</v>
      </c>
      <c r="C117">
        <v>6906</v>
      </c>
      <c r="D117" t="b">
        <v>1</v>
      </c>
      <c r="E117">
        <v>76</v>
      </c>
      <c r="F117">
        <v>44</v>
      </c>
      <c r="G117">
        <v>31</v>
      </c>
      <c r="H117">
        <v>97</v>
      </c>
      <c r="I117">
        <v>50</v>
      </c>
      <c r="J117">
        <v>6</v>
      </c>
      <c r="K117">
        <v>2</v>
      </c>
      <c r="L117">
        <v>86</v>
      </c>
      <c r="M117">
        <v>91</v>
      </c>
      <c r="N117">
        <v>72</v>
      </c>
      <c r="O117">
        <v>64</v>
      </c>
      <c r="P117">
        <v>55</v>
      </c>
      <c r="Q117">
        <v>114</v>
      </c>
      <c r="T117" t="str">
        <f>IF(ISERROR(MATCH('Analysis backend'!$M$1,E117:N117,0)),"",'Analysis backend'!$L$1)</f>
        <v>Phantom Assassin</v>
      </c>
      <c r="U117" t="str">
        <f>IF(T117='Analysis backend'!$L$1,IF(ISERROR(MATCH('Analysis backend'!$M$1,E117:I117,0)),"Dire","Radiant"),"")</f>
        <v>Radiant</v>
      </c>
    </row>
    <row r="118" spans="1:21" x14ac:dyDescent="0.3">
      <c r="A118">
        <v>4256351781</v>
      </c>
      <c r="B118">
        <v>1544037888</v>
      </c>
      <c r="C118">
        <v>6873</v>
      </c>
      <c r="D118" t="b">
        <v>0</v>
      </c>
      <c r="E118">
        <v>2</v>
      </c>
      <c r="F118">
        <v>100</v>
      </c>
      <c r="G118">
        <v>34</v>
      </c>
      <c r="H118">
        <v>75</v>
      </c>
      <c r="I118">
        <v>4</v>
      </c>
      <c r="J118">
        <v>55</v>
      </c>
      <c r="K118">
        <v>14</v>
      </c>
      <c r="L118">
        <v>71</v>
      </c>
      <c r="M118">
        <v>59</v>
      </c>
      <c r="N118">
        <v>8</v>
      </c>
      <c r="O118">
        <v>97</v>
      </c>
      <c r="P118">
        <v>76</v>
      </c>
      <c r="Q118">
        <v>44</v>
      </c>
      <c r="T118" t="str">
        <f>IF(ISERROR(MATCH('Analysis backend'!$M$1,E118:N118,0)),"",'Analysis backend'!$L$1)</f>
        <v/>
      </c>
      <c r="U118" t="str">
        <f>IF(T118='Analysis backend'!$L$1,IF(ISERROR(MATCH('Analysis backend'!$M$1,E118:I118,0)),"Dire","Radiant"),"")</f>
        <v/>
      </c>
    </row>
    <row r="119" spans="1:21" x14ac:dyDescent="0.3">
      <c r="A119">
        <v>4256376053</v>
      </c>
      <c r="B119">
        <v>1544039168</v>
      </c>
      <c r="C119">
        <v>7560</v>
      </c>
      <c r="D119" t="b">
        <v>0</v>
      </c>
      <c r="E119">
        <v>3</v>
      </c>
      <c r="F119">
        <v>16</v>
      </c>
      <c r="G119">
        <v>93</v>
      </c>
      <c r="H119">
        <v>91</v>
      </c>
      <c r="I119">
        <v>80</v>
      </c>
      <c r="J119">
        <v>9</v>
      </c>
      <c r="K119">
        <v>13</v>
      </c>
      <c r="L119">
        <v>100</v>
      </c>
      <c r="M119">
        <v>50</v>
      </c>
      <c r="N119">
        <v>44</v>
      </c>
      <c r="O119">
        <v>97</v>
      </c>
      <c r="P119">
        <v>76</v>
      </c>
      <c r="T119" t="str">
        <f>IF(ISERROR(MATCH('Analysis backend'!$M$1,E119:N119,0)),"",'Analysis backend'!$L$1)</f>
        <v>Phantom Assassin</v>
      </c>
      <c r="U119" t="str">
        <f>IF(T119='Analysis backend'!$L$1,IF(ISERROR(MATCH('Analysis backend'!$M$1,E119:I119,0)),"Dire","Radiant"),"")</f>
        <v>Dire</v>
      </c>
    </row>
    <row r="120" spans="1:21" x14ac:dyDescent="0.3">
      <c r="A120">
        <v>4256368275</v>
      </c>
      <c r="B120">
        <v>1544038784</v>
      </c>
      <c r="C120">
        <v>6982</v>
      </c>
      <c r="D120" t="b">
        <v>0</v>
      </c>
      <c r="E120">
        <v>86</v>
      </c>
      <c r="F120">
        <v>2</v>
      </c>
      <c r="G120">
        <v>9</v>
      </c>
      <c r="H120">
        <v>76</v>
      </c>
      <c r="I120">
        <v>79</v>
      </c>
      <c r="J120">
        <v>110</v>
      </c>
      <c r="K120">
        <v>1</v>
      </c>
      <c r="L120">
        <v>3</v>
      </c>
      <c r="M120">
        <v>46</v>
      </c>
      <c r="N120">
        <v>97</v>
      </c>
      <c r="O120">
        <v>38</v>
      </c>
      <c r="P120">
        <v>44</v>
      </c>
      <c r="Q120">
        <v>114</v>
      </c>
      <c r="T120" t="str">
        <f>IF(ISERROR(MATCH('Analysis backend'!$M$1,E120:N120,0)),"",'Analysis backend'!$L$1)</f>
        <v/>
      </c>
      <c r="U120" t="str">
        <f>IF(T120='Analysis backend'!$L$1,IF(ISERROR(MATCH('Analysis backend'!$M$1,E120:I120,0)),"Dire","Radiant"),"")</f>
        <v/>
      </c>
    </row>
    <row r="121" spans="1:21" x14ac:dyDescent="0.3">
      <c r="A121">
        <v>4256376345</v>
      </c>
      <c r="B121">
        <v>1544039296</v>
      </c>
      <c r="C121">
        <v>7006</v>
      </c>
      <c r="D121" t="b">
        <v>1</v>
      </c>
      <c r="E121">
        <v>76</v>
      </c>
      <c r="F121">
        <v>41</v>
      </c>
      <c r="G121">
        <v>16</v>
      </c>
      <c r="H121">
        <v>31</v>
      </c>
      <c r="I121">
        <v>101</v>
      </c>
      <c r="J121">
        <v>86</v>
      </c>
      <c r="K121">
        <v>78</v>
      </c>
      <c r="L121">
        <v>109</v>
      </c>
      <c r="M121">
        <v>19</v>
      </c>
      <c r="N121">
        <v>121</v>
      </c>
      <c r="O121">
        <v>44</v>
      </c>
      <c r="P121">
        <v>97</v>
      </c>
      <c r="Q121">
        <v>61</v>
      </c>
      <c r="T121" t="str">
        <f>IF(ISERROR(MATCH('Analysis backend'!$M$1,E121:N121,0)),"",'Analysis backend'!$L$1)</f>
        <v/>
      </c>
      <c r="U121" t="str">
        <f>IF(T121='Analysis backend'!$L$1,IF(ISERROR(MATCH('Analysis backend'!$M$1,E121:I121,0)),"Dire","Radiant"),"")</f>
        <v/>
      </c>
    </row>
    <row r="122" spans="1:21" x14ac:dyDescent="0.3">
      <c r="A122">
        <v>4256369205</v>
      </c>
      <c r="B122">
        <v>1544038784</v>
      </c>
      <c r="C122">
        <v>6844</v>
      </c>
      <c r="D122" t="b">
        <v>1</v>
      </c>
      <c r="E122">
        <v>8</v>
      </c>
      <c r="F122">
        <v>62</v>
      </c>
      <c r="G122">
        <v>75</v>
      </c>
      <c r="H122">
        <v>111</v>
      </c>
      <c r="I122">
        <v>120</v>
      </c>
      <c r="J122">
        <v>97</v>
      </c>
      <c r="K122">
        <v>44</v>
      </c>
      <c r="L122">
        <v>19</v>
      </c>
      <c r="M122">
        <v>32</v>
      </c>
      <c r="N122">
        <v>49</v>
      </c>
      <c r="O122">
        <v>83</v>
      </c>
      <c r="P122">
        <v>2</v>
      </c>
      <c r="Q122">
        <v>109</v>
      </c>
      <c r="T122" t="str">
        <f>IF(ISERROR(MATCH('Analysis backend'!$M$1,E122:N122,0)),"",'Analysis backend'!$L$1)</f>
        <v>Phantom Assassin</v>
      </c>
      <c r="U122" t="str">
        <f>IF(T122='Analysis backend'!$L$1,IF(ISERROR(MATCH('Analysis backend'!$M$1,E122:I122,0)),"Dire","Radiant"),"")</f>
        <v>Dire</v>
      </c>
    </row>
    <row r="123" spans="1:21" x14ac:dyDescent="0.3">
      <c r="A123">
        <v>4256368619</v>
      </c>
      <c r="B123">
        <v>1544038784</v>
      </c>
      <c r="C123">
        <v>6829</v>
      </c>
      <c r="D123" t="b">
        <v>0</v>
      </c>
      <c r="E123">
        <v>38</v>
      </c>
      <c r="F123">
        <v>94</v>
      </c>
      <c r="G123">
        <v>90</v>
      </c>
      <c r="H123">
        <v>114</v>
      </c>
      <c r="I123">
        <v>97</v>
      </c>
      <c r="J123">
        <v>44</v>
      </c>
      <c r="K123">
        <v>19</v>
      </c>
      <c r="L123">
        <v>86</v>
      </c>
      <c r="M123">
        <v>25</v>
      </c>
      <c r="N123">
        <v>75</v>
      </c>
      <c r="O123">
        <v>41</v>
      </c>
      <c r="P123">
        <v>50</v>
      </c>
      <c r="T123" t="str">
        <f>IF(ISERROR(MATCH('Analysis backend'!$M$1,E123:N123,0)),"",'Analysis backend'!$L$1)</f>
        <v>Phantom Assassin</v>
      </c>
      <c r="U123" t="str">
        <f>IF(T123='Analysis backend'!$L$1,IF(ISERROR(MATCH('Analysis backend'!$M$1,E123:I123,0)),"Dire","Radiant"),"")</f>
        <v>Dire</v>
      </c>
    </row>
    <row r="124" spans="1:21" x14ac:dyDescent="0.3">
      <c r="A124">
        <v>4256378681</v>
      </c>
      <c r="B124">
        <v>1544039424</v>
      </c>
      <c r="C124">
        <v>7009</v>
      </c>
      <c r="D124" t="b">
        <v>1</v>
      </c>
      <c r="E124">
        <v>61</v>
      </c>
      <c r="F124">
        <v>41</v>
      </c>
      <c r="G124">
        <v>50</v>
      </c>
      <c r="H124">
        <v>14</v>
      </c>
      <c r="I124">
        <v>16</v>
      </c>
      <c r="J124">
        <v>66</v>
      </c>
      <c r="K124">
        <v>28</v>
      </c>
      <c r="L124">
        <v>44</v>
      </c>
      <c r="M124">
        <v>107</v>
      </c>
      <c r="N124">
        <v>76</v>
      </c>
      <c r="O124">
        <v>119</v>
      </c>
      <c r="P124">
        <v>97</v>
      </c>
      <c r="Q124">
        <v>82</v>
      </c>
      <c r="T124" t="str">
        <f>IF(ISERROR(MATCH('Analysis backend'!$M$1,E124:N124,0)),"",'Analysis backend'!$L$1)</f>
        <v>Phantom Assassin</v>
      </c>
      <c r="U124" t="str">
        <f>IF(T124='Analysis backend'!$L$1,IF(ISERROR(MATCH('Analysis backend'!$M$1,E124:I124,0)),"Dire","Radiant"),"")</f>
        <v>Dire</v>
      </c>
    </row>
    <row r="125" spans="1:21" x14ac:dyDescent="0.3">
      <c r="A125">
        <v>4256386131</v>
      </c>
      <c r="B125">
        <v>1544039808</v>
      </c>
      <c r="C125">
        <v>6999</v>
      </c>
      <c r="D125" t="b">
        <v>0</v>
      </c>
      <c r="E125">
        <v>50</v>
      </c>
      <c r="F125">
        <v>121</v>
      </c>
      <c r="G125">
        <v>93</v>
      </c>
      <c r="H125">
        <v>78</v>
      </c>
      <c r="I125">
        <v>76</v>
      </c>
      <c r="J125">
        <v>101</v>
      </c>
      <c r="K125">
        <v>25</v>
      </c>
      <c r="L125">
        <v>8</v>
      </c>
      <c r="M125">
        <v>97</v>
      </c>
      <c r="N125">
        <v>75</v>
      </c>
      <c r="O125">
        <v>91</v>
      </c>
      <c r="T125" t="str">
        <f>IF(ISERROR(MATCH('Analysis backend'!$M$1,E125:N125,0)),"",'Analysis backend'!$L$1)</f>
        <v/>
      </c>
      <c r="U125" t="str">
        <f>IF(T125='Analysis backend'!$L$1,IF(ISERROR(MATCH('Analysis backend'!$M$1,E125:I125,0)),"Dire","Radiant"),"")</f>
        <v/>
      </c>
    </row>
    <row r="126" spans="1:21" x14ac:dyDescent="0.3">
      <c r="A126">
        <v>4256386224</v>
      </c>
      <c r="B126">
        <v>1544039808</v>
      </c>
      <c r="C126">
        <v>6844</v>
      </c>
      <c r="D126" t="b">
        <v>1</v>
      </c>
      <c r="E126">
        <v>12</v>
      </c>
      <c r="F126">
        <v>7</v>
      </c>
      <c r="G126">
        <v>2</v>
      </c>
      <c r="H126">
        <v>112</v>
      </c>
      <c r="I126">
        <v>45</v>
      </c>
      <c r="J126">
        <v>93</v>
      </c>
      <c r="K126">
        <v>3</v>
      </c>
      <c r="L126">
        <v>50</v>
      </c>
      <c r="M126">
        <v>86</v>
      </c>
      <c r="N126">
        <v>34</v>
      </c>
      <c r="O126">
        <v>44</v>
      </c>
      <c r="P126">
        <v>59</v>
      </c>
      <c r="Q126">
        <v>97</v>
      </c>
      <c r="T126" t="str">
        <f>IF(ISERROR(MATCH('Analysis backend'!$M$1,E126:N126,0)),"",'Analysis backend'!$L$1)</f>
        <v/>
      </c>
      <c r="U126" t="str">
        <f>IF(T126='Analysis backend'!$L$1,IF(ISERROR(MATCH('Analysis backend'!$M$1,E126:I126,0)),"Dire","Radiant"),"")</f>
        <v/>
      </c>
    </row>
    <row r="127" spans="1:21" x14ac:dyDescent="0.3">
      <c r="A127">
        <v>4256406852</v>
      </c>
      <c r="B127">
        <v>1544041088</v>
      </c>
      <c r="C127">
        <v>6863</v>
      </c>
      <c r="D127" t="b">
        <v>1</v>
      </c>
      <c r="E127">
        <v>44</v>
      </c>
      <c r="F127">
        <v>86</v>
      </c>
      <c r="G127">
        <v>85</v>
      </c>
      <c r="H127">
        <v>76</v>
      </c>
      <c r="I127">
        <v>28</v>
      </c>
      <c r="J127">
        <v>121</v>
      </c>
      <c r="K127">
        <v>19</v>
      </c>
      <c r="L127">
        <v>50</v>
      </c>
      <c r="M127">
        <v>8</v>
      </c>
      <c r="N127">
        <v>97</v>
      </c>
      <c r="O127">
        <v>82</v>
      </c>
      <c r="P127">
        <v>78</v>
      </c>
      <c r="T127" t="str">
        <f>IF(ISERROR(MATCH('Analysis backend'!$M$1,E127:N127,0)),"",'Analysis backend'!$L$1)</f>
        <v>Phantom Assassin</v>
      </c>
      <c r="U127" t="str">
        <f>IF(T127='Analysis backend'!$L$1,IF(ISERROR(MATCH('Analysis backend'!$M$1,E127:I127,0)),"Dire","Radiant"),"")</f>
        <v>Radiant</v>
      </c>
    </row>
    <row r="128" spans="1:21" x14ac:dyDescent="0.3">
      <c r="A128">
        <v>4256370017</v>
      </c>
      <c r="B128">
        <v>1544038912</v>
      </c>
      <c r="C128">
        <v>6804</v>
      </c>
      <c r="D128" t="b">
        <v>1</v>
      </c>
      <c r="E128">
        <v>101</v>
      </c>
      <c r="F128">
        <v>50</v>
      </c>
      <c r="G128">
        <v>44</v>
      </c>
      <c r="H128">
        <v>119</v>
      </c>
      <c r="I128">
        <v>7</v>
      </c>
      <c r="J128">
        <v>1</v>
      </c>
      <c r="K128">
        <v>74</v>
      </c>
      <c r="L128">
        <v>90</v>
      </c>
      <c r="M128">
        <v>107</v>
      </c>
      <c r="N128">
        <v>45</v>
      </c>
      <c r="O128">
        <v>2</v>
      </c>
      <c r="P128">
        <v>97</v>
      </c>
      <c r="Q128">
        <v>91</v>
      </c>
      <c r="T128" t="str">
        <f>IF(ISERROR(MATCH('Analysis backend'!$M$1,E128:N128,0)),"",'Analysis backend'!$L$1)</f>
        <v>Phantom Assassin</v>
      </c>
      <c r="U128" t="str">
        <f>IF(T128='Analysis backend'!$L$1,IF(ISERROR(MATCH('Analysis backend'!$M$1,E128:I128,0)),"Dire","Radiant"),"")</f>
        <v>Radiant</v>
      </c>
    </row>
    <row r="129" spans="1:21" x14ac:dyDescent="0.3">
      <c r="A129">
        <v>4256388231</v>
      </c>
      <c r="B129">
        <v>1544039936</v>
      </c>
      <c r="C129">
        <v>6734</v>
      </c>
      <c r="D129" t="b">
        <v>0</v>
      </c>
      <c r="E129">
        <v>110</v>
      </c>
      <c r="F129">
        <v>121</v>
      </c>
      <c r="G129">
        <v>76</v>
      </c>
      <c r="H129">
        <v>95</v>
      </c>
      <c r="I129">
        <v>28</v>
      </c>
      <c r="J129">
        <v>16</v>
      </c>
      <c r="K129">
        <v>70</v>
      </c>
      <c r="L129">
        <v>69</v>
      </c>
      <c r="M129">
        <v>44</v>
      </c>
      <c r="N129">
        <v>40</v>
      </c>
      <c r="O129">
        <v>109</v>
      </c>
      <c r="P129">
        <v>97</v>
      </c>
      <c r="T129" t="str">
        <f>IF(ISERROR(MATCH('Analysis backend'!$M$1,E129:N129,0)),"",'Analysis backend'!$L$1)</f>
        <v>Phantom Assassin</v>
      </c>
      <c r="U129" t="str">
        <f>IF(T129='Analysis backend'!$L$1,IF(ISERROR(MATCH('Analysis backend'!$M$1,E129:I129,0)),"Dire","Radiant"),"")</f>
        <v>Dire</v>
      </c>
    </row>
    <row r="130" spans="1:21" x14ac:dyDescent="0.3">
      <c r="A130">
        <v>4256394043</v>
      </c>
      <c r="B130">
        <v>1544040320</v>
      </c>
      <c r="C130">
        <v>6691</v>
      </c>
      <c r="D130" t="b">
        <v>0</v>
      </c>
      <c r="E130">
        <v>100</v>
      </c>
      <c r="F130">
        <v>34</v>
      </c>
      <c r="G130">
        <v>101</v>
      </c>
      <c r="H130">
        <v>114</v>
      </c>
      <c r="I130">
        <v>9</v>
      </c>
      <c r="J130">
        <v>44</v>
      </c>
      <c r="K130">
        <v>71</v>
      </c>
      <c r="L130">
        <v>2</v>
      </c>
      <c r="M130">
        <v>66</v>
      </c>
      <c r="N130">
        <v>86</v>
      </c>
      <c r="O130">
        <v>93</v>
      </c>
      <c r="P130">
        <v>97</v>
      </c>
      <c r="Q130">
        <v>82</v>
      </c>
      <c r="T130" t="str">
        <f>IF(ISERROR(MATCH('Analysis backend'!$M$1,E130:N130,0)),"",'Analysis backend'!$L$1)</f>
        <v>Phantom Assassin</v>
      </c>
      <c r="U130" t="str">
        <f>IF(T130='Analysis backend'!$L$1,IF(ISERROR(MATCH('Analysis backend'!$M$1,E130:I130,0)),"Dire","Radiant"),"")</f>
        <v>Dire</v>
      </c>
    </row>
    <row r="131" spans="1:21" x14ac:dyDescent="0.3">
      <c r="A131">
        <v>4256414000</v>
      </c>
      <c r="B131">
        <v>1544041472</v>
      </c>
      <c r="C131">
        <v>7424</v>
      </c>
      <c r="D131" t="b">
        <v>0</v>
      </c>
      <c r="E131">
        <v>109</v>
      </c>
      <c r="F131">
        <v>101</v>
      </c>
      <c r="G131">
        <v>64</v>
      </c>
      <c r="H131">
        <v>76</v>
      </c>
      <c r="I131">
        <v>16</v>
      </c>
      <c r="J131">
        <v>88</v>
      </c>
      <c r="K131">
        <v>1</v>
      </c>
      <c r="L131">
        <v>86</v>
      </c>
      <c r="M131">
        <v>50</v>
      </c>
      <c r="N131">
        <v>9</v>
      </c>
      <c r="O131">
        <v>44</v>
      </c>
      <c r="P131">
        <v>97</v>
      </c>
      <c r="T131" t="str">
        <f>IF(ISERROR(MATCH('Analysis backend'!$M$1,E131:N131,0)),"",'Analysis backend'!$L$1)</f>
        <v/>
      </c>
      <c r="U131" t="str">
        <f>IF(T131='Analysis backend'!$L$1,IF(ISERROR(MATCH('Analysis backend'!$M$1,E131:I131,0)),"Dire","Radiant"),"")</f>
        <v/>
      </c>
    </row>
    <row r="132" spans="1:21" x14ac:dyDescent="0.3">
      <c r="A132">
        <v>4256416204</v>
      </c>
      <c r="B132">
        <v>1544041600</v>
      </c>
      <c r="C132">
        <v>7176</v>
      </c>
      <c r="D132" t="b">
        <v>1</v>
      </c>
      <c r="E132">
        <v>97</v>
      </c>
      <c r="F132">
        <v>19</v>
      </c>
      <c r="G132">
        <v>111</v>
      </c>
      <c r="H132">
        <v>100</v>
      </c>
      <c r="I132">
        <v>44</v>
      </c>
      <c r="J132">
        <v>101</v>
      </c>
      <c r="K132">
        <v>114</v>
      </c>
      <c r="L132">
        <v>78</v>
      </c>
      <c r="M132">
        <v>86</v>
      </c>
      <c r="N132">
        <v>59</v>
      </c>
      <c r="O132">
        <v>80</v>
      </c>
      <c r="P132">
        <v>93</v>
      </c>
      <c r="Q132">
        <v>82</v>
      </c>
      <c r="T132" t="str">
        <f>IF(ISERROR(MATCH('Analysis backend'!$M$1,E132:N132,0)),"",'Analysis backend'!$L$1)</f>
        <v>Phantom Assassin</v>
      </c>
      <c r="U132" t="str">
        <f>IF(T132='Analysis backend'!$L$1,IF(ISERROR(MATCH('Analysis backend'!$M$1,E132:I132,0)),"Dire","Radiant"),"")</f>
        <v>Radiant</v>
      </c>
    </row>
    <row r="133" spans="1:21" x14ac:dyDescent="0.3">
      <c r="A133">
        <v>4256416062</v>
      </c>
      <c r="B133">
        <v>1544041600</v>
      </c>
      <c r="C133">
        <v>7085</v>
      </c>
      <c r="D133" t="b">
        <v>0</v>
      </c>
      <c r="E133">
        <v>45</v>
      </c>
      <c r="F133">
        <v>111</v>
      </c>
      <c r="G133">
        <v>97</v>
      </c>
      <c r="H133">
        <v>29</v>
      </c>
      <c r="I133">
        <v>1</v>
      </c>
      <c r="J133">
        <v>55</v>
      </c>
      <c r="K133">
        <v>110</v>
      </c>
      <c r="L133">
        <v>76</v>
      </c>
      <c r="M133">
        <v>71</v>
      </c>
      <c r="N133">
        <v>44</v>
      </c>
      <c r="O133">
        <v>34</v>
      </c>
      <c r="T133" t="str">
        <f>IF(ISERROR(MATCH('Analysis backend'!$M$1,E133:N133,0)),"",'Analysis backend'!$L$1)</f>
        <v>Phantom Assassin</v>
      </c>
      <c r="U133" t="str">
        <f>IF(T133='Analysis backend'!$L$1,IF(ISERROR(MATCH('Analysis backend'!$M$1,E133:I133,0)),"Dire","Radiant"),"")</f>
        <v>Dire</v>
      </c>
    </row>
    <row r="134" spans="1:21" x14ac:dyDescent="0.3">
      <c r="A134">
        <v>4256408466</v>
      </c>
      <c r="B134">
        <v>1544041216</v>
      </c>
      <c r="C134">
        <v>6867</v>
      </c>
      <c r="D134" t="b">
        <v>1</v>
      </c>
      <c r="E134">
        <v>69</v>
      </c>
      <c r="F134">
        <v>59</v>
      </c>
      <c r="G134">
        <v>114</v>
      </c>
      <c r="H134">
        <v>87</v>
      </c>
      <c r="I134">
        <v>21</v>
      </c>
      <c r="J134">
        <v>40</v>
      </c>
      <c r="K134">
        <v>22</v>
      </c>
      <c r="L134">
        <v>48</v>
      </c>
      <c r="M134">
        <v>50</v>
      </c>
      <c r="N134">
        <v>86</v>
      </c>
      <c r="O134">
        <v>85</v>
      </c>
      <c r="P134">
        <v>1</v>
      </c>
      <c r="Q134">
        <v>44</v>
      </c>
      <c r="T134" t="str">
        <f>IF(ISERROR(MATCH('Analysis backend'!$M$1,E134:N134,0)),"",'Analysis backend'!$L$1)</f>
        <v/>
      </c>
      <c r="U134" t="str">
        <f>IF(T134='Analysis backend'!$L$1,IF(ISERROR(MATCH('Analysis backend'!$M$1,E134:I134,0)),"Dire","Radiant"),"")</f>
        <v/>
      </c>
    </row>
    <row r="135" spans="1:21" x14ac:dyDescent="0.3">
      <c r="A135">
        <v>4256424538</v>
      </c>
      <c r="B135">
        <v>1544042112</v>
      </c>
      <c r="C135">
        <v>6916</v>
      </c>
      <c r="D135" t="b">
        <v>1</v>
      </c>
      <c r="E135">
        <v>109</v>
      </c>
      <c r="F135">
        <v>79</v>
      </c>
      <c r="G135">
        <v>2</v>
      </c>
      <c r="H135">
        <v>45</v>
      </c>
      <c r="I135">
        <v>86</v>
      </c>
      <c r="J135">
        <v>76</v>
      </c>
      <c r="K135">
        <v>85</v>
      </c>
      <c r="L135">
        <v>93</v>
      </c>
      <c r="M135">
        <v>101</v>
      </c>
      <c r="N135">
        <v>98</v>
      </c>
      <c r="O135">
        <v>97</v>
      </c>
      <c r="P135">
        <v>44</v>
      </c>
      <c r="T135" t="str">
        <f>IF(ISERROR(MATCH('Analysis backend'!$M$1,E135:N135,0)),"",'Analysis backend'!$L$1)</f>
        <v/>
      </c>
      <c r="U135" t="str">
        <f>IF(T135='Analysis backend'!$L$1,IF(ISERROR(MATCH('Analysis backend'!$M$1,E135:I135,0)),"Dire","Radiant"),"")</f>
        <v/>
      </c>
    </row>
    <row r="136" spans="1:21" x14ac:dyDescent="0.3">
      <c r="A136">
        <v>4256413611</v>
      </c>
      <c r="B136">
        <v>1544041472</v>
      </c>
      <c r="C136">
        <v>6807</v>
      </c>
      <c r="D136" t="b">
        <v>1</v>
      </c>
      <c r="E136">
        <v>48</v>
      </c>
      <c r="F136">
        <v>97</v>
      </c>
      <c r="G136">
        <v>68</v>
      </c>
      <c r="H136">
        <v>6</v>
      </c>
      <c r="I136">
        <v>38</v>
      </c>
      <c r="J136">
        <v>19</v>
      </c>
      <c r="K136">
        <v>59</v>
      </c>
      <c r="L136">
        <v>109</v>
      </c>
      <c r="M136">
        <v>66</v>
      </c>
      <c r="N136">
        <v>50</v>
      </c>
      <c r="O136">
        <v>44</v>
      </c>
      <c r="P136">
        <v>47</v>
      </c>
      <c r="T136" t="str">
        <f>IF(ISERROR(MATCH('Analysis backend'!$M$1,E136:N136,0)),"",'Analysis backend'!$L$1)</f>
        <v/>
      </c>
      <c r="U136" t="str">
        <f>IF(T136='Analysis backend'!$L$1,IF(ISERROR(MATCH('Analysis backend'!$M$1,E136:I136,0)),"Dire","Radiant"),"")</f>
        <v/>
      </c>
    </row>
    <row r="137" spans="1:21" x14ac:dyDescent="0.3">
      <c r="A137">
        <v>4256420728</v>
      </c>
      <c r="B137">
        <v>1544041984</v>
      </c>
      <c r="C137">
        <v>6806</v>
      </c>
      <c r="D137" t="b">
        <v>0</v>
      </c>
      <c r="E137">
        <v>8</v>
      </c>
      <c r="F137">
        <v>5</v>
      </c>
      <c r="G137">
        <v>80</v>
      </c>
      <c r="H137">
        <v>16</v>
      </c>
      <c r="I137">
        <v>91</v>
      </c>
      <c r="J137">
        <v>50</v>
      </c>
      <c r="K137">
        <v>55</v>
      </c>
      <c r="L137">
        <v>74</v>
      </c>
      <c r="M137">
        <v>71</v>
      </c>
      <c r="N137">
        <v>114</v>
      </c>
      <c r="O137">
        <v>97</v>
      </c>
      <c r="P137">
        <v>44</v>
      </c>
      <c r="Q137">
        <v>10</v>
      </c>
      <c r="T137" t="str">
        <f>IF(ISERROR(MATCH('Analysis backend'!$M$1,E137:N137,0)),"",'Analysis backend'!$L$1)</f>
        <v/>
      </c>
      <c r="U137" t="str">
        <f>IF(T137='Analysis backend'!$L$1,IF(ISERROR(MATCH('Analysis backend'!$M$1,E137:I137,0)),"Dire","Radiant"),"")</f>
        <v/>
      </c>
    </row>
    <row r="138" spans="1:21" x14ac:dyDescent="0.3">
      <c r="A138">
        <v>4256426131</v>
      </c>
      <c r="B138">
        <v>1544042240</v>
      </c>
      <c r="C138">
        <v>6746</v>
      </c>
      <c r="D138" t="b">
        <v>1</v>
      </c>
      <c r="E138">
        <v>111</v>
      </c>
      <c r="F138">
        <v>44</v>
      </c>
      <c r="G138">
        <v>7</v>
      </c>
      <c r="H138">
        <v>19</v>
      </c>
      <c r="I138">
        <v>22</v>
      </c>
      <c r="J138">
        <v>8</v>
      </c>
      <c r="K138">
        <v>50</v>
      </c>
      <c r="L138">
        <v>75</v>
      </c>
      <c r="M138">
        <v>29</v>
      </c>
      <c r="N138">
        <v>87</v>
      </c>
      <c r="O138">
        <v>2</v>
      </c>
      <c r="P138">
        <v>97</v>
      </c>
      <c r="Q138">
        <v>34</v>
      </c>
      <c r="T138" t="str">
        <f>IF(ISERROR(MATCH('Analysis backend'!$M$1,E138:N138,0)),"",'Analysis backend'!$L$1)</f>
        <v>Phantom Assassin</v>
      </c>
      <c r="U138" t="str">
        <f>IF(T138='Analysis backend'!$L$1,IF(ISERROR(MATCH('Analysis backend'!$M$1,E138:I138,0)),"Dire","Radiant"),"")</f>
        <v>Radiant</v>
      </c>
    </row>
    <row r="139" spans="1:21" x14ac:dyDescent="0.3">
      <c r="A139">
        <v>4256420303</v>
      </c>
      <c r="B139">
        <v>1544041856</v>
      </c>
      <c r="C139">
        <v>6725</v>
      </c>
      <c r="D139" t="b">
        <v>0</v>
      </c>
      <c r="E139">
        <v>86</v>
      </c>
      <c r="F139">
        <v>93</v>
      </c>
      <c r="G139">
        <v>11</v>
      </c>
      <c r="H139">
        <v>96</v>
      </c>
      <c r="I139">
        <v>97</v>
      </c>
      <c r="J139">
        <v>100</v>
      </c>
      <c r="K139">
        <v>111</v>
      </c>
      <c r="L139">
        <v>95</v>
      </c>
      <c r="M139">
        <v>2</v>
      </c>
      <c r="N139">
        <v>68</v>
      </c>
      <c r="O139">
        <v>120</v>
      </c>
      <c r="P139">
        <v>114</v>
      </c>
      <c r="Q139">
        <v>1</v>
      </c>
      <c r="R139">
        <v>41</v>
      </c>
      <c r="T139" t="str">
        <f>IF(ISERROR(MATCH('Analysis backend'!$M$1,E139:N139,0)),"",'Analysis backend'!$L$1)</f>
        <v/>
      </c>
      <c r="U139" t="str">
        <f>IF(T139='Analysis backend'!$L$1,IF(ISERROR(MATCH('Analysis backend'!$M$1,E139:I139,0)),"Dire","Radiant"),"")</f>
        <v/>
      </c>
    </row>
    <row r="140" spans="1:21" x14ac:dyDescent="0.3">
      <c r="A140">
        <v>4256427106</v>
      </c>
      <c r="B140">
        <v>1544042368</v>
      </c>
      <c r="C140">
        <v>7043</v>
      </c>
      <c r="D140" t="b">
        <v>1</v>
      </c>
      <c r="E140">
        <v>45</v>
      </c>
      <c r="F140">
        <v>107</v>
      </c>
      <c r="G140">
        <v>44</v>
      </c>
      <c r="H140">
        <v>66</v>
      </c>
      <c r="I140">
        <v>110</v>
      </c>
      <c r="J140">
        <v>112</v>
      </c>
      <c r="K140">
        <v>16</v>
      </c>
      <c r="L140">
        <v>6</v>
      </c>
      <c r="M140">
        <v>50</v>
      </c>
      <c r="N140">
        <v>10</v>
      </c>
      <c r="O140">
        <v>97</v>
      </c>
      <c r="T140" t="str">
        <f>IF(ISERROR(MATCH('Analysis backend'!$M$1,E140:N140,0)),"",'Analysis backend'!$L$1)</f>
        <v>Phantom Assassin</v>
      </c>
      <c r="U140" t="str">
        <f>IF(T140='Analysis backend'!$L$1,IF(ISERROR(MATCH('Analysis backend'!$M$1,E140:I140,0)),"Dire","Radiant"),"")</f>
        <v>Radiant</v>
      </c>
    </row>
    <row r="141" spans="1:21" x14ac:dyDescent="0.3">
      <c r="A141">
        <v>4256431517</v>
      </c>
      <c r="B141">
        <v>1544042624</v>
      </c>
      <c r="C141">
        <v>7012</v>
      </c>
      <c r="D141" t="b">
        <v>1</v>
      </c>
      <c r="E141">
        <v>107</v>
      </c>
      <c r="F141">
        <v>50</v>
      </c>
      <c r="G141">
        <v>31</v>
      </c>
      <c r="H141">
        <v>93</v>
      </c>
      <c r="I141">
        <v>35</v>
      </c>
      <c r="J141">
        <v>121</v>
      </c>
      <c r="K141">
        <v>76</v>
      </c>
      <c r="L141">
        <v>6</v>
      </c>
      <c r="M141">
        <v>2</v>
      </c>
      <c r="N141">
        <v>86</v>
      </c>
      <c r="O141">
        <v>16</v>
      </c>
      <c r="P141">
        <v>61</v>
      </c>
      <c r="Q141">
        <v>44</v>
      </c>
      <c r="R141">
        <v>97</v>
      </c>
      <c r="T141" t="str">
        <f>IF(ISERROR(MATCH('Analysis backend'!$M$1,E141:N141,0)),"",'Analysis backend'!$L$1)</f>
        <v/>
      </c>
      <c r="U141" t="str">
        <f>IF(T141='Analysis backend'!$L$1,IF(ISERROR(MATCH('Analysis backend'!$M$1,E141:I141,0)),"Dire","Radiant"),"")</f>
        <v/>
      </c>
    </row>
    <row r="142" spans="1:21" x14ac:dyDescent="0.3">
      <c r="A142">
        <v>4256442387</v>
      </c>
      <c r="B142">
        <v>1544043392</v>
      </c>
      <c r="C142">
        <v>7138</v>
      </c>
      <c r="D142" t="b">
        <v>0</v>
      </c>
      <c r="E142">
        <v>44</v>
      </c>
      <c r="F142">
        <v>101</v>
      </c>
      <c r="G142">
        <v>74</v>
      </c>
      <c r="H142">
        <v>21</v>
      </c>
      <c r="I142">
        <v>111</v>
      </c>
      <c r="J142">
        <v>114</v>
      </c>
      <c r="K142">
        <v>97</v>
      </c>
      <c r="L142">
        <v>3</v>
      </c>
      <c r="M142">
        <v>78</v>
      </c>
      <c r="N142">
        <v>121</v>
      </c>
      <c r="O142">
        <v>40</v>
      </c>
      <c r="P142">
        <v>82</v>
      </c>
      <c r="T142" t="str">
        <f>IF(ISERROR(MATCH('Analysis backend'!$M$1,E142:N142,0)),"",'Analysis backend'!$L$1)</f>
        <v>Phantom Assassin</v>
      </c>
      <c r="U142" t="str">
        <f>IF(T142='Analysis backend'!$L$1,IF(ISERROR(MATCH('Analysis backend'!$M$1,E142:I142,0)),"Dire","Radiant"),"")</f>
        <v>Radiant</v>
      </c>
    </row>
    <row r="143" spans="1:21" x14ac:dyDescent="0.3">
      <c r="A143">
        <v>4256438934</v>
      </c>
      <c r="B143">
        <v>1544043136</v>
      </c>
      <c r="C143">
        <v>6981</v>
      </c>
      <c r="D143" t="b">
        <v>1</v>
      </c>
      <c r="E143">
        <v>36</v>
      </c>
      <c r="F143">
        <v>121</v>
      </c>
      <c r="G143">
        <v>97</v>
      </c>
      <c r="H143">
        <v>93</v>
      </c>
      <c r="I143">
        <v>87</v>
      </c>
      <c r="J143">
        <v>50</v>
      </c>
      <c r="K143">
        <v>75</v>
      </c>
      <c r="L143">
        <v>101</v>
      </c>
      <c r="M143">
        <v>109</v>
      </c>
      <c r="N143">
        <v>80</v>
      </c>
      <c r="O143">
        <v>41</v>
      </c>
      <c r="P143">
        <v>1</v>
      </c>
      <c r="Q143">
        <v>44</v>
      </c>
      <c r="T143" t="str">
        <f>IF(ISERROR(MATCH('Analysis backend'!$M$1,E143:N143,0)),"",'Analysis backend'!$L$1)</f>
        <v/>
      </c>
      <c r="U143" t="str">
        <f>IF(T143='Analysis backend'!$L$1,IF(ISERROR(MATCH('Analysis backend'!$M$1,E143:I143,0)),"Dire","Radiant"),"")</f>
        <v/>
      </c>
    </row>
    <row r="144" spans="1:21" x14ac:dyDescent="0.3">
      <c r="A144">
        <v>4256444021</v>
      </c>
      <c r="B144">
        <v>1544043520</v>
      </c>
      <c r="C144">
        <v>7017</v>
      </c>
      <c r="D144" t="b">
        <v>1</v>
      </c>
      <c r="E144">
        <v>16</v>
      </c>
      <c r="F144">
        <v>71</v>
      </c>
      <c r="G144">
        <v>3</v>
      </c>
      <c r="H144">
        <v>23</v>
      </c>
      <c r="I144">
        <v>44</v>
      </c>
      <c r="J144">
        <v>86</v>
      </c>
      <c r="K144">
        <v>110</v>
      </c>
      <c r="L144">
        <v>26</v>
      </c>
      <c r="M144">
        <v>38</v>
      </c>
      <c r="N144">
        <v>48</v>
      </c>
      <c r="O144">
        <v>91</v>
      </c>
      <c r="P144">
        <v>97</v>
      </c>
      <c r="T144" t="str">
        <f>IF(ISERROR(MATCH('Analysis backend'!$M$1,E144:N144,0)),"",'Analysis backend'!$L$1)</f>
        <v>Phantom Assassin</v>
      </c>
      <c r="U144" t="str">
        <f>IF(T144='Analysis backend'!$L$1,IF(ISERROR(MATCH('Analysis backend'!$M$1,E144:I144,0)),"Dire","Radiant"),"")</f>
        <v>Radiant</v>
      </c>
    </row>
    <row r="145" spans="1:21" x14ac:dyDescent="0.3">
      <c r="A145">
        <v>4256437158</v>
      </c>
      <c r="B145">
        <v>1544043008</v>
      </c>
      <c r="C145">
        <v>6903</v>
      </c>
      <c r="D145" t="b">
        <v>0</v>
      </c>
      <c r="E145">
        <v>35</v>
      </c>
      <c r="F145">
        <v>19</v>
      </c>
      <c r="G145">
        <v>85</v>
      </c>
      <c r="H145">
        <v>97</v>
      </c>
      <c r="I145">
        <v>10</v>
      </c>
      <c r="J145">
        <v>76</v>
      </c>
      <c r="K145">
        <v>57</v>
      </c>
      <c r="L145">
        <v>105</v>
      </c>
      <c r="M145">
        <v>27</v>
      </c>
      <c r="N145">
        <v>41</v>
      </c>
      <c r="O145">
        <v>44</v>
      </c>
      <c r="P145">
        <v>50</v>
      </c>
      <c r="Q145">
        <v>61</v>
      </c>
      <c r="T145" t="str">
        <f>IF(ISERROR(MATCH('Analysis backend'!$M$1,E145:N145,0)),"",'Analysis backend'!$L$1)</f>
        <v/>
      </c>
      <c r="U145" t="str">
        <f>IF(T145='Analysis backend'!$L$1,IF(ISERROR(MATCH('Analysis backend'!$M$1,E145:I145,0)),"Dire","Radiant"),"")</f>
        <v/>
      </c>
    </row>
    <row r="146" spans="1:21" x14ac:dyDescent="0.3">
      <c r="A146">
        <v>4256452679</v>
      </c>
      <c r="B146">
        <v>1544044032</v>
      </c>
      <c r="C146">
        <v>7294</v>
      </c>
      <c r="D146" t="b">
        <v>1</v>
      </c>
      <c r="E146">
        <v>44</v>
      </c>
      <c r="F146">
        <v>112</v>
      </c>
      <c r="G146">
        <v>76</v>
      </c>
      <c r="H146">
        <v>100</v>
      </c>
      <c r="I146">
        <v>50</v>
      </c>
      <c r="J146">
        <v>91</v>
      </c>
      <c r="K146">
        <v>72</v>
      </c>
      <c r="L146">
        <v>36</v>
      </c>
      <c r="M146">
        <v>10</v>
      </c>
      <c r="N146">
        <v>31</v>
      </c>
      <c r="O146">
        <v>121</v>
      </c>
      <c r="P146">
        <v>110</v>
      </c>
      <c r="Q146">
        <v>97</v>
      </c>
      <c r="T146" t="str">
        <f>IF(ISERROR(MATCH('Analysis backend'!$M$1,E146:N146,0)),"",'Analysis backend'!$L$1)</f>
        <v>Phantom Assassin</v>
      </c>
      <c r="U146" t="str">
        <f>IF(T146='Analysis backend'!$L$1,IF(ISERROR(MATCH('Analysis backend'!$M$1,E146:I146,0)),"Dire","Radiant"),"")</f>
        <v>Radiant</v>
      </c>
    </row>
    <row r="147" spans="1:21" x14ac:dyDescent="0.3">
      <c r="A147">
        <v>4256452885</v>
      </c>
      <c r="B147">
        <v>1544044032</v>
      </c>
      <c r="C147">
        <v>6879</v>
      </c>
      <c r="D147" t="b">
        <v>0</v>
      </c>
      <c r="E147">
        <v>121</v>
      </c>
      <c r="F147">
        <v>59</v>
      </c>
      <c r="G147">
        <v>114</v>
      </c>
      <c r="H147">
        <v>8</v>
      </c>
      <c r="I147">
        <v>19</v>
      </c>
      <c r="J147">
        <v>26</v>
      </c>
      <c r="K147">
        <v>51</v>
      </c>
      <c r="L147">
        <v>86</v>
      </c>
      <c r="M147">
        <v>70</v>
      </c>
      <c r="N147">
        <v>80</v>
      </c>
      <c r="O147">
        <v>44</v>
      </c>
      <c r="P147">
        <v>97</v>
      </c>
      <c r="T147" t="str">
        <f>IF(ISERROR(MATCH('Analysis backend'!$M$1,E147:N147,0)),"",'Analysis backend'!$L$1)</f>
        <v/>
      </c>
      <c r="U147" t="str">
        <f>IF(T147='Analysis backend'!$L$1,IF(ISERROR(MATCH('Analysis backend'!$M$1,E147:I147,0)),"Dire","Radiant"),"")</f>
        <v/>
      </c>
    </row>
    <row r="148" spans="1:21" x14ac:dyDescent="0.3">
      <c r="A148">
        <v>4256461335</v>
      </c>
      <c r="B148">
        <v>1544044672</v>
      </c>
      <c r="C148">
        <v>6936</v>
      </c>
      <c r="T148" t="str">
        <f>IF(ISERROR(MATCH('Analysis backend'!$M$1,E148:N148,0)),"",'Analysis backend'!$L$1)</f>
        <v/>
      </c>
      <c r="U148" t="str">
        <f>IF(T148='Analysis backend'!$L$1,IF(ISERROR(MATCH('Analysis backend'!$M$1,E148:I148,0)),"Dire","Radiant"),"")</f>
        <v/>
      </c>
    </row>
    <row r="149" spans="1:21" x14ac:dyDescent="0.3">
      <c r="A149">
        <v>4256454639</v>
      </c>
      <c r="B149">
        <v>1544044160</v>
      </c>
      <c r="C149">
        <v>6810</v>
      </c>
      <c r="D149" t="b">
        <v>1</v>
      </c>
      <c r="E149">
        <v>96</v>
      </c>
      <c r="F149">
        <v>13</v>
      </c>
      <c r="G149">
        <v>1</v>
      </c>
      <c r="H149">
        <v>64</v>
      </c>
      <c r="I149">
        <v>97</v>
      </c>
      <c r="J149">
        <v>31</v>
      </c>
      <c r="K149">
        <v>44</v>
      </c>
      <c r="L149">
        <v>104</v>
      </c>
      <c r="M149">
        <v>14</v>
      </c>
      <c r="N149">
        <v>100</v>
      </c>
      <c r="O149">
        <v>59</v>
      </c>
      <c r="T149" t="str">
        <f>IF(ISERROR(MATCH('Analysis backend'!$M$1,E149:N149,0)),"",'Analysis backend'!$L$1)</f>
        <v>Phantom Assassin</v>
      </c>
      <c r="U149" t="str">
        <f>IF(T149='Analysis backend'!$L$1,IF(ISERROR(MATCH('Analysis backend'!$M$1,E149:I149,0)),"Dire","Radiant"),"")</f>
        <v>Dire</v>
      </c>
    </row>
    <row r="150" spans="1:21" x14ac:dyDescent="0.3">
      <c r="A150">
        <v>4256430401</v>
      </c>
      <c r="B150">
        <v>1544042496</v>
      </c>
      <c r="C150">
        <v>6783</v>
      </c>
      <c r="D150" t="b">
        <v>0</v>
      </c>
      <c r="E150">
        <v>90</v>
      </c>
      <c r="F150">
        <v>6</v>
      </c>
      <c r="G150">
        <v>41</v>
      </c>
      <c r="H150">
        <v>78</v>
      </c>
      <c r="I150">
        <v>50</v>
      </c>
      <c r="J150">
        <v>114</v>
      </c>
      <c r="K150">
        <v>21</v>
      </c>
      <c r="L150">
        <v>44</v>
      </c>
      <c r="M150">
        <v>14</v>
      </c>
      <c r="N150">
        <v>9</v>
      </c>
      <c r="O150">
        <v>121</v>
      </c>
      <c r="P150">
        <v>93</v>
      </c>
      <c r="Q150">
        <v>94</v>
      </c>
      <c r="T150" t="str">
        <f>IF(ISERROR(MATCH('Analysis backend'!$M$1,E150:N150,0)),"",'Analysis backend'!$L$1)</f>
        <v>Phantom Assassin</v>
      </c>
      <c r="U150" t="str">
        <f>IF(T150='Analysis backend'!$L$1,IF(ISERROR(MATCH('Analysis backend'!$M$1,E150:I150,0)),"Dire","Radiant"),"")</f>
        <v>Dire</v>
      </c>
    </row>
    <row r="151" spans="1:21" x14ac:dyDescent="0.3">
      <c r="A151">
        <v>4256470676</v>
      </c>
      <c r="B151">
        <v>1544045312</v>
      </c>
      <c r="C151">
        <v>7125</v>
      </c>
      <c r="D151" t="b">
        <v>1</v>
      </c>
      <c r="E151">
        <v>7</v>
      </c>
      <c r="F151">
        <v>76</v>
      </c>
      <c r="G151">
        <v>38</v>
      </c>
      <c r="H151">
        <v>111</v>
      </c>
      <c r="I151">
        <v>86</v>
      </c>
      <c r="J151">
        <v>19</v>
      </c>
      <c r="K151">
        <v>68</v>
      </c>
      <c r="L151">
        <v>49</v>
      </c>
      <c r="M151">
        <v>44</v>
      </c>
      <c r="N151">
        <v>71</v>
      </c>
      <c r="O151">
        <v>121</v>
      </c>
      <c r="P151">
        <v>82</v>
      </c>
      <c r="Q151">
        <v>66</v>
      </c>
      <c r="T151" t="str">
        <f>IF(ISERROR(MATCH('Analysis backend'!$M$1,E151:N151,0)),"",'Analysis backend'!$L$1)</f>
        <v>Phantom Assassin</v>
      </c>
      <c r="U151" t="str">
        <f>IF(T151='Analysis backend'!$L$1,IF(ISERROR(MATCH('Analysis backend'!$M$1,E151:I151,0)),"Dire","Radiant"),"")</f>
        <v>Dire</v>
      </c>
    </row>
    <row r="152" spans="1:21" x14ac:dyDescent="0.3">
      <c r="A152">
        <v>4256462443</v>
      </c>
      <c r="B152">
        <v>1544044800</v>
      </c>
      <c r="C152">
        <v>6896</v>
      </c>
      <c r="D152" t="b">
        <v>0</v>
      </c>
      <c r="E152">
        <v>86</v>
      </c>
      <c r="F152">
        <v>84</v>
      </c>
      <c r="G152">
        <v>74</v>
      </c>
      <c r="H152">
        <v>8</v>
      </c>
      <c r="I152">
        <v>29</v>
      </c>
      <c r="J152">
        <v>35</v>
      </c>
      <c r="K152">
        <v>71</v>
      </c>
      <c r="L152">
        <v>26</v>
      </c>
      <c r="M152">
        <v>31</v>
      </c>
      <c r="N152">
        <v>44</v>
      </c>
      <c r="O152">
        <v>82</v>
      </c>
      <c r="P152">
        <v>97</v>
      </c>
      <c r="Q152">
        <v>50</v>
      </c>
      <c r="T152" t="str">
        <f>IF(ISERROR(MATCH('Analysis backend'!$M$1,E152:N152,0)),"",'Analysis backend'!$L$1)</f>
        <v>Phantom Assassin</v>
      </c>
      <c r="U152" t="str">
        <f>IF(T152='Analysis backend'!$L$1,IF(ISERROR(MATCH('Analysis backend'!$M$1,E152:I152,0)),"Dire","Radiant"),"")</f>
        <v>Dire</v>
      </c>
    </row>
    <row r="153" spans="1:21" x14ac:dyDescent="0.3">
      <c r="A153">
        <v>4256467267</v>
      </c>
      <c r="B153">
        <v>1544045056</v>
      </c>
      <c r="C153">
        <v>6805</v>
      </c>
      <c r="D153" t="b">
        <v>0</v>
      </c>
      <c r="E153">
        <v>114</v>
      </c>
      <c r="F153">
        <v>15</v>
      </c>
      <c r="G153">
        <v>44</v>
      </c>
      <c r="H153">
        <v>86</v>
      </c>
      <c r="I153">
        <v>96</v>
      </c>
      <c r="J153">
        <v>97</v>
      </c>
      <c r="K153">
        <v>62</v>
      </c>
      <c r="L153">
        <v>8</v>
      </c>
      <c r="M153">
        <v>59</v>
      </c>
      <c r="N153">
        <v>121</v>
      </c>
      <c r="O153">
        <v>41</v>
      </c>
      <c r="P153">
        <v>93</v>
      </c>
      <c r="T153" t="str">
        <f>IF(ISERROR(MATCH('Analysis backend'!$M$1,E153:N153,0)),"",'Analysis backend'!$L$1)</f>
        <v>Phantom Assassin</v>
      </c>
      <c r="U153" t="str">
        <f>IF(T153='Analysis backend'!$L$1,IF(ISERROR(MATCH('Analysis backend'!$M$1,E153:I153,0)),"Dire","Radiant"),"")</f>
        <v>Radiant</v>
      </c>
    </row>
    <row r="154" spans="1:21" x14ac:dyDescent="0.3">
      <c r="A154">
        <v>4256463852</v>
      </c>
      <c r="B154">
        <v>1544044928</v>
      </c>
      <c r="C154">
        <v>6794</v>
      </c>
      <c r="D154" t="b">
        <v>1</v>
      </c>
      <c r="E154">
        <v>121</v>
      </c>
      <c r="F154">
        <v>44</v>
      </c>
      <c r="G154">
        <v>39</v>
      </c>
      <c r="H154">
        <v>96</v>
      </c>
      <c r="I154">
        <v>87</v>
      </c>
      <c r="J154">
        <v>54</v>
      </c>
      <c r="K154">
        <v>23</v>
      </c>
      <c r="L154">
        <v>100</v>
      </c>
      <c r="M154">
        <v>91</v>
      </c>
      <c r="N154">
        <v>50</v>
      </c>
      <c r="O154">
        <v>97</v>
      </c>
      <c r="P154">
        <v>86</v>
      </c>
      <c r="T154" t="str">
        <f>IF(ISERROR(MATCH('Analysis backend'!$M$1,E154:N154,0)),"",'Analysis backend'!$L$1)</f>
        <v>Phantom Assassin</v>
      </c>
      <c r="U154" t="str">
        <f>IF(T154='Analysis backend'!$L$1,IF(ISERROR(MATCH('Analysis backend'!$M$1,E154:I154,0)),"Dire","Radiant"),"")</f>
        <v>Radiant</v>
      </c>
    </row>
    <row r="155" spans="1:21" x14ac:dyDescent="0.3">
      <c r="A155">
        <v>4256472357</v>
      </c>
      <c r="B155">
        <v>1544045440</v>
      </c>
      <c r="C155">
        <v>7202</v>
      </c>
      <c r="D155" t="b">
        <v>0</v>
      </c>
      <c r="E155">
        <v>8</v>
      </c>
      <c r="F155">
        <v>27</v>
      </c>
      <c r="G155">
        <v>28</v>
      </c>
      <c r="H155">
        <v>7</v>
      </c>
      <c r="I155">
        <v>76</v>
      </c>
      <c r="J155">
        <v>100</v>
      </c>
      <c r="K155">
        <v>49</v>
      </c>
      <c r="L155">
        <v>91</v>
      </c>
      <c r="M155">
        <v>72</v>
      </c>
      <c r="N155">
        <v>9</v>
      </c>
      <c r="O155">
        <v>97</v>
      </c>
      <c r="T155" t="str">
        <f>IF(ISERROR(MATCH('Analysis backend'!$M$1,E155:N155,0)),"",'Analysis backend'!$L$1)</f>
        <v/>
      </c>
      <c r="U155" t="str">
        <f>IF(T155='Analysis backend'!$L$1,IF(ISERROR(MATCH('Analysis backend'!$M$1,E155:I155,0)),"Dire","Radiant"),"")</f>
        <v/>
      </c>
    </row>
    <row r="156" spans="1:21" x14ac:dyDescent="0.3">
      <c r="A156">
        <v>4256474144</v>
      </c>
      <c r="B156">
        <v>1544045696</v>
      </c>
      <c r="C156">
        <v>7029</v>
      </c>
      <c r="D156" t="b">
        <v>1</v>
      </c>
      <c r="E156">
        <v>1</v>
      </c>
      <c r="F156">
        <v>31</v>
      </c>
      <c r="G156">
        <v>86</v>
      </c>
      <c r="H156">
        <v>107</v>
      </c>
      <c r="I156">
        <v>97</v>
      </c>
      <c r="J156">
        <v>27</v>
      </c>
      <c r="K156">
        <v>79</v>
      </c>
      <c r="L156">
        <v>102</v>
      </c>
      <c r="M156">
        <v>110</v>
      </c>
      <c r="N156">
        <v>10</v>
      </c>
      <c r="O156">
        <v>82</v>
      </c>
      <c r="P156">
        <v>44</v>
      </c>
      <c r="T156" t="str">
        <f>IF(ISERROR(MATCH('Analysis backend'!$M$1,E156:N156,0)),"",'Analysis backend'!$L$1)</f>
        <v/>
      </c>
      <c r="U156" t="str">
        <f>IF(T156='Analysis backend'!$L$1,IF(ISERROR(MATCH('Analysis backend'!$M$1,E156:I156,0)),"Dire","Radiant"),"")</f>
        <v/>
      </c>
    </row>
    <row r="157" spans="1:21" x14ac:dyDescent="0.3">
      <c r="A157">
        <v>4256477978</v>
      </c>
      <c r="B157">
        <v>1544045952</v>
      </c>
      <c r="C157">
        <v>6902</v>
      </c>
      <c r="D157" t="b">
        <v>1</v>
      </c>
      <c r="E157">
        <v>48</v>
      </c>
      <c r="F157">
        <v>97</v>
      </c>
      <c r="G157">
        <v>60</v>
      </c>
      <c r="H157">
        <v>84</v>
      </c>
      <c r="I157">
        <v>26</v>
      </c>
      <c r="J157">
        <v>16</v>
      </c>
      <c r="K157">
        <v>3</v>
      </c>
      <c r="L157">
        <v>86</v>
      </c>
      <c r="M157">
        <v>90</v>
      </c>
      <c r="N157">
        <v>44</v>
      </c>
      <c r="O157">
        <v>82</v>
      </c>
      <c r="P157">
        <v>114</v>
      </c>
      <c r="T157" t="str">
        <f>IF(ISERROR(MATCH('Analysis backend'!$M$1,E157:N157,0)),"",'Analysis backend'!$L$1)</f>
        <v>Phantom Assassin</v>
      </c>
      <c r="U157" t="str">
        <f>IF(T157='Analysis backend'!$L$1,IF(ISERROR(MATCH('Analysis backend'!$M$1,E157:I157,0)),"Dire","Radiant"),"")</f>
        <v>Dire</v>
      </c>
    </row>
    <row r="158" spans="1:21" x14ac:dyDescent="0.3">
      <c r="A158">
        <v>4256484286</v>
      </c>
      <c r="B158">
        <v>1544046464</v>
      </c>
      <c r="C158">
        <v>7323</v>
      </c>
      <c r="D158" t="b">
        <v>1</v>
      </c>
      <c r="E158">
        <v>45</v>
      </c>
      <c r="F158">
        <v>31</v>
      </c>
      <c r="G158">
        <v>68</v>
      </c>
      <c r="H158">
        <v>1</v>
      </c>
      <c r="I158">
        <v>76</v>
      </c>
      <c r="J158">
        <v>6</v>
      </c>
      <c r="K158">
        <v>10</v>
      </c>
      <c r="L158">
        <v>90</v>
      </c>
      <c r="M158">
        <v>23</v>
      </c>
      <c r="N158">
        <v>50</v>
      </c>
      <c r="O158">
        <v>41</v>
      </c>
      <c r="T158" t="str">
        <f>IF(ISERROR(MATCH('Analysis backend'!$M$1,E158:N158,0)),"",'Analysis backend'!$L$1)</f>
        <v/>
      </c>
      <c r="U158" t="str">
        <f>IF(T158='Analysis backend'!$L$1,IF(ISERROR(MATCH('Analysis backend'!$M$1,E158:I158,0)),"Dire","Radiant"),"")</f>
        <v/>
      </c>
    </row>
    <row r="159" spans="1:21" x14ac:dyDescent="0.3">
      <c r="A159">
        <v>4256481575</v>
      </c>
      <c r="B159">
        <v>1544046208</v>
      </c>
      <c r="C159">
        <v>6975</v>
      </c>
      <c r="D159" t="b">
        <v>1</v>
      </c>
      <c r="E159">
        <v>121</v>
      </c>
      <c r="F159">
        <v>76</v>
      </c>
      <c r="G159">
        <v>1</v>
      </c>
      <c r="H159">
        <v>90</v>
      </c>
      <c r="I159">
        <v>72</v>
      </c>
      <c r="J159">
        <v>99</v>
      </c>
      <c r="K159">
        <v>45</v>
      </c>
      <c r="L159">
        <v>91</v>
      </c>
      <c r="M159">
        <v>103</v>
      </c>
      <c r="N159">
        <v>41</v>
      </c>
      <c r="O159">
        <v>44</v>
      </c>
      <c r="P159">
        <v>10</v>
      </c>
      <c r="T159" t="str">
        <f>IF(ISERROR(MATCH('Analysis backend'!$M$1,E159:N159,0)),"",'Analysis backend'!$L$1)</f>
        <v/>
      </c>
      <c r="U159" t="str">
        <f>IF(T159='Analysis backend'!$L$1,IF(ISERROR(MATCH('Analysis backend'!$M$1,E159:I159,0)),"Dire","Radiant"),"")</f>
        <v/>
      </c>
    </row>
    <row r="160" spans="1:21" x14ac:dyDescent="0.3">
      <c r="A160">
        <v>4256488162</v>
      </c>
      <c r="B160">
        <v>1544046720</v>
      </c>
      <c r="C160">
        <v>7102</v>
      </c>
      <c r="D160" t="b">
        <v>1</v>
      </c>
      <c r="E160">
        <v>101</v>
      </c>
      <c r="F160">
        <v>27</v>
      </c>
      <c r="G160">
        <v>86</v>
      </c>
      <c r="H160">
        <v>12</v>
      </c>
      <c r="I160">
        <v>38</v>
      </c>
      <c r="J160">
        <v>45</v>
      </c>
      <c r="K160">
        <v>85</v>
      </c>
      <c r="L160">
        <v>103</v>
      </c>
      <c r="M160">
        <v>109</v>
      </c>
      <c r="N160">
        <v>82</v>
      </c>
      <c r="O160">
        <v>91</v>
      </c>
      <c r="P160">
        <v>97</v>
      </c>
      <c r="Q160">
        <v>44</v>
      </c>
      <c r="T160" t="str">
        <f>IF(ISERROR(MATCH('Analysis backend'!$M$1,E160:N160,0)),"",'Analysis backend'!$L$1)</f>
        <v/>
      </c>
      <c r="U160" t="str">
        <f>IF(T160='Analysis backend'!$L$1,IF(ISERROR(MATCH('Analysis backend'!$M$1,E160:I160,0)),"Dire","Radiant"),"")</f>
        <v/>
      </c>
    </row>
    <row r="161" spans="1:21" x14ac:dyDescent="0.3">
      <c r="A161">
        <v>4256492324</v>
      </c>
      <c r="B161">
        <v>1544047104</v>
      </c>
      <c r="C161">
        <v>6986</v>
      </c>
      <c r="D161" t="b">
        <v>0</v>
      </c>
      <c r="E161">
        <v>1</v>
      </c>
      <c r="F161">
        <v>44</v>
      </c>
      <c r="G161">
        <v>97</v>
      </c>
      <c r="H161">
        <v>29</v>
      </c>
      <c r="I161">
        <v>111</v>
      </c>
      <c r="J161">
        <v>19</v>
      </c>
      <c r="K161">
        <v>4</v>
      </c>
      <c r="L161">
        <v>40</v>
      </c>
      <c r="M161">
        <v>121</v>
      </c>
      <c r="N161">
        <v>85</v>
      </c>
      <c r="O161">
        <v>77</v>
      </c>
      <c r="P161">
        <v>82</v>
      </c>
      <c r="T161" t="str">
        <f>IF(ISERROR(MATCH('Analysis backend'!$M$1,E161:N161,0)),"",'Analysis backend'!$L$1)</f>
        <v>Phantom Assassin</v>
      </c>
      <c r="U161" t="str">
        <f>IF(T161='Analysis backend'!$L$1,IF(ISERROR(MATCH('Analysis backend'!$M$1,E161:I161,0)),"Dire","Radiant"),"")</f>
        <v>Radiant</v>
      </c>
    </row>
    <row r="162" spans="1:21" x14ac:dyDescent="0.3">
      <c r="A162">
        <v>4256487466</v>
      </c>
      <c r="B162">
        <v>1544046720</v>
      </c>
      <c r="C162">
        <v>6837</v>
      </c>
      <c r="D162" t="b">
        <v>0</v>
      </c>
      <c r="E162">
        <v>2</v>
      </c>
      <c r="F162">
        <v>106</v>
      </c>
      <c r="G162">
        <v>48</v>
      </c>
      <c r="H162">
        <v>110</v>
      </c>
      <c r="I162">
        <v>86</v>
      </c>
      <c r="J162">
        <v>1</v>
      </c>
      <c r="K162">
        <v>50</v>
      </c>
      <c r="L162">
        <v>97</v>
      </c>
      <c r="M162">
        <v>62</v>
      </c>
      <c r="N162">
        <v>11</v>
      </c>
      <c r="O162">
        <v>61</v>
      </c>
      <c r="P162">
        <v>114</v>
      </c>
      <c r="Q162">
        <v>44</v>
      </c>
      <c r="T162" t="str">
        <f>IF(ISERROR(MATCH('Analysis backend'!$M$1,E162:N162,0)),"",'Analysis backend'!$L$1)</f>
        <v/>
      </c>
      <c r="U162" t="str">
        <f>IF(T162='Analysis backend'!$L$1,IF(ISERROR(MATCH('Analysis backend'!$M$1,E162:I162,0)),"Dire","Radiant"),"")</f>
        <v/>
      </c>
    </row>
    <row r="163" spans="1:21" x14ac:dyDescent="0.3">
      <c r="A163">
        <v>4256494517</v>
      </c>
      <c r="B163">
        <v>1544047232</v>
      </c>
      <c r="C163">
        <v>6903</v>
      </c>
      <c r="D163" t="b">
        <v>1</v>
      </c>
      <c r="E163">
        <v>28</v>
      </c>
      <c r="F163">
        <v>93</v>
      </c>
      <c r="G163">
        <v>50</v>
      </c>
      <c r="H163">
        <v>121</v>
      </c>
      <c r="I163">
        <v>107</v>
      </c>
      <c r="J163">
        <v>2</v>
      </c>
      <c r="K163">
        <v>109</v>
      </c>
      <c r="L163">
        <v>75</v>
      </c>
      <c r="M163">
        <v>6</v>
      </c>
      <c r="N163">
        <v>31</v>
      </c>
      <c r="O163">
        <v>44</v>
      </c>
      <c r="T163" t="str">
        <f>IF(ISERROR(MATCH('Analysis backend'!$M$1,E163:N163,0)),"",'Analysis backend'!$L$1)</f>
        <v/>
      </c>
      <c r="U163" t="str">
        <f>IF(T163='Analysis backend'!$L$1,IF(ISERROR(MATCH('Analysis backend'!$M$1,E163:I163,0)),"Dire","Radiant"),"")</f>
        <v/>
      </c>
    </row>
    <row r="164" spans="1:21" x14ac:dyDescent="0.3">
      <c r="A164">
        <v>4256499840</v>
      </c>
      <c r="B164">
        <v>1544047744</v>
      </c>
      <c r="C164">
        <v>6750</v>
      </c>
      <c r="D164" t="b">
        <v>0</v>
      </c>
      <c r="E164">
        <v>86</v>
      </c>
      <c r="F164">
        <v>38</v>
      </c>
      <c r="G164">
        <v>121</v>
      </c>
      <c r="H164">
        <v>1</v>
      </c>
      <c r="I164">
        <v>22</v>
      </c>
      <c r="J164">
        <v>97</v>
      </c>
      <c r="K164">
        <v>59</v>
      </c>
      <c r="L164">
        <v>87</v>
      </c>
      <c r="M164">
        <v>41</v>
      </c>
      <c r="N164">
        <v>50</v>
      </c>
      <c r="O164">
        <v>44</v>
      </c>
      <c r="P164">
        <v>61</v>
      </c>
      <c r="Q164">
        <v>96</v>
      </c>
      <c r="T164" t="str">
        <f>IF(ISERROR(MATCH('Analysis backend'!$M$1,E164:N164,0)),"",'Analysis backend'!$L$1)</f>
        <v/>
      </c>
      <c r="U164" t="str">
        <f>IF(T164='Analysis backend'!$L$1,IF(ISERROR(MATCH('Analysis backend'!$M$1,E164:I164,0)),"Dire","Radiant"),"")</f>
        <v/>
      </c>
    </row>
    <row r="165" spans="1:21" x14ac:dyDescent="0.3">
      <c r="A165">
        <v>4256501940</v>
      </c>
      <c r="B165">
        <v>1544047872</v>
      </c>
      <c r="C165">
        <v>7115</v>
      </c>
      <c r="D165" t="b">
        <v>0</v>
      </c>
      <c r="E165">
        <v>22</v>
      </c>
      <c r="F165">
        <v>31</v>
      </c>
      <c r="G165">
        <v>107</v>
      </c>
      <c r="H165">
        <v>10</v>
      </c>
      <c r="I165">
        <v>85</v>
      </c>
      <c r="J165">
        <v>72</v>
      </c>
      <c r="K165">
        <v>25</v>
      </c>
      <c r="L165">
        <v>91</v>
      </c>
      <c r="M165">
        <v>44</v>
      </c>
      <c r="N165">
        <v>111</v>
      </c>
      <c r="O165">
        <v>97</v>
      </c>
      <c r="P165">
        <v>1</v>
      </c>
      <c r="Q165">
        <v>34</v>
      </c>
      <c r="T165" t="str">
        <f>IF(ISERROR(MATCH('Analysis backend'!$M$1,E165:N165,0)),"",'Analysis backend'!$L$1)</f>
        <v>Phantom Assassin</v>
      </c>
      <c r="U165" t="str">
        <f>IF(T165='Analysis backend'!$L$1,IF(ISERROR(MATCH('Analysis backend'!$M$1,E165:I165,0)),"Dire","Radiant"),"")</f>
        <v>Dire</v>
      </c>
    </row>
    <row r="166" spans="1:21" x14ac:dyDescent="0.3">
      <c r="A166">
        <v>4256506329</v>
      </c>
      <c r="B166">
        <v>1544048256</v>
      </c>
      <c r="C166">
        <v>7144</v>
      </c>
      <c r="D166" t="b">
        <v>0</v>
      </c>
      <c r="E166">
        <v>13</v>
      </c>
      <c r="F166">
        <v>67</v>
      </c>
      <c r="G166">
        <v>78</v>
      </c>
      <c r="H166">
        <v>62</v>
      </c>
      <c r="I166">
        <v>3</v>
      </c>
      <c r="J166">
        <v>71</v>
      </c>
      <c r="K166">
        <v>8</v>
      </c>
      <c r="L166">
        <v>46</v>
      </c>
      <c r="M166">
        <v>55</v>
      </c>
      <c r="N166">
        <v>31</v>
      </c>
      <c r="O166">
        <v>97</v>
      </c>
      <c r="P166">
        <v>45</v>
      </c>
      <c r="T166" t="str">
        <f>IF(ISERROR(MATCH('Analysis backend'!$M$1,E166:N166,0)),"",'Analysis backend'!$L$1)</f>
        <v/>
      </c>
      <c r="U166" t="str">
        <f>IF(T166='Analysis backend'!$L$1,IF(ISERROR(MATCH('Analysis backend'!$M$1,E166:I166,0)),"Dire","Radiant"),"")</f>
        <v/>
      </c>
    </row>
    <row r="167" spans="1:21" x14ac:dyDescent="0.3">
      <c r="A167">
        <v>4256504130</v>
      </c>
      <c r="B167">
        <v>1544048000</v>
      </c>
      <c r="C167">
        <v>7130</v>
      </c>
      <c r="D167" t="b">
        <v>1</v>
      </c>
      <c r="E167">
        <v>74</v>
      </c>
      <c r="F167">
        <v>121</v>
      </c>
      <c r="G167">
        <v>1</v>
      </c>
      <c r="H167">
        <v>111</v>
      </c>
      <c r="I167">
        <v>33</v>
      </c>
      <c r="J167">
        <v>101</v>
      </c>
      <c r="K167">
        <v>50</v>
      </c>
      <c r="L167">
        <v>106</v>
      </c>
      <c r="M167">
        <v>10</v>
      </c>
      <c r="N167">
        <v>97</v>
      </c>
      <c r="O167">
        <v>82</v>
      </c>
      <c r="P167">
        <v>93</v>
      </c>
      <c r="T167" t="str">
        <f>IF(ISERROR(MATCH('Analysis backend'!$M$1,E167:N167,0)),"",'Analysis backend'!$L$1)</f>
        <v/>
      </c>
      <c r="U167" t="str">
        <f>IF(T167='Analysis backend'!$L$1,IF(ISERROR(MATCH('Analysis backend'!$M$1,E167:I167,0)),"Dire","Radiant"),"")</f>
        <v/>
      </c>
    </row>
    <row r="168" spans="1:21" x14ac:dyDescent="0.3">
      <c r="A168">
        <v>4256506747</v>
      </c>
      <c r="B168">
        <v>1544048256</v>
      </c>
      <c r="C168">
        <v>6947</v>
      </c>
      <c r="D168" t="b">
        <v>1</v>
      </c>
      <c r="E168">
        <v>111</v>
      </c>
      <c r="F168">
        <v>97</v>
      </c>
      <c r="G168">
        <v>103</v>
      </c>
      <c r="H168">
        <v>6</v>
      </c>
      <c r="I168">
        <v>41</v>
      </c>
      <c r="J168">
        <v>76</v>
      </c>
      <c r="K168">
        <v>78</v>
      </c>
      <c r="L168">
        <v>48</v>
      </c>
      <c r="M168">
        <v>121</v>
      </c>
      <c r="N168">
        <v>100</v>
      </c>
      <c r="O168">
        <v>44</v>
      </c>
      <c r="T168" t="str">
        <f>IF(ISERROR(MATCH('Analysis backend'!$M$1,E168:N168,0)),"",'Analysis backend'!$L$1)</f>
        <v/>
      </c>
      <c r="U168" t="str">
        <f>IF(T168='Analysis backend'!$L$1,IF(ISERROR(MATCH('Analysis backend'!$M$1,E168:I168,0)),"Dire","Radiant"),"")</f>
        <v/>
      </c>
    </row>
    <row r="169" spans="1:21" x14ac:dyDescent="0.3">
      <c r="A169">
        <v>4256512337</v>
      </c>
      <c r="B169">
        <v>1544048768</v>
      </c>
      <c r="C169">
        <v>7117</v>
      </c>
      <c r="D169" t="b">
        <v>1</v>
      </c>
      <c r="E169">
        <v>93</v>
      </c>
      <c r="F169">
        <v>38</v>
      </c>
      <c r="G169">
        <v>62</v>
      </c>
      <c r="H169">
        <v>111</v>
      </c>
      <c r="I169">
        <v>101</v>
      </c>
      <c r="J169">
        <v>28</v>
      </c>
      <c r="K169">
        <v>100</v>
      </c>
      <c r="L169">
        <v>44</v>
      </c>
      <c r="M169">
        <v>113</v>
      </c>
      <c r="N169">
        <v>31</v>
      </c>
      <c r="O169">
        <v>86</v>
      </c>
      <c r="P169">
        <v>97</v>
      </c>
      <c r="Q169">
        <v>64</v>
      </c>
      <c r="T169" t="str">
        <f>IF(ISERROR(MATCH('Analysis backend'!$M$1,E169:N169,0)),"",'Analysis backend'!$L$1)</f>
        <v>Phantom Assassin</v>
      </c>
      <c r="U169" t="str">
        <f>IF(T169='Analysis backend'!$L$1,IF(ISERROR(MATCH('Analysis backend'!$M$1,E169:I169,0)),"Dire","Radiant"),"")</f>
        <v>Dire</v>
      </c>
    </row>
    <row r="170" spans="1:21" x14ac:dyDescent="0.3">
      <c r="A170">
        <v>4256511671</v>
      </c>
      <c r="B170">
        <v>1544048640</v>
      </c>
      <c r="C170">
        <v>6917</v>
      </c>
      <c r="D170" t="b">
        <v>0</v>
      </c>
      <c r="E170">
        <v>44</v>
      </c>
      <c r="F170">
        <v>86</v>
      </c>
      <c r="G170">
        <v>6</v>
      </c>
      <c r="H170">
        <v>111</v>
      </c>
      <c r="I170">
        <v>114</v>
      </c>
      <c r="J170">
        <v>85</v>
      </c>
      <c r="K170">
        <v>76</v>
      </c>
      <c r="L170">
        <v>1</v>
      </c>
      <c r="M170">
        <v>50</v>
      </c>
      <c r="N170">
        <v>97</v>
      </c>
      <c r="O170">
        <v>45</v>
      </c>
      <c r="T170" t="str">
        <f>IF(ISERROR(MATCH('Analysis backend'!$M$1,E170:N170,0)),"",'Analysis backend'!$L$1)</f>
        <v>Phantom Assassin</v>
      </c>
      <c r="U170" t="str">
        <f>IF(T170='Analysis backend'!$L$1,IF(ISERROR(MATCH('Analysis backend'!$M$1,E170:I170,0)),"Dire","Radiant"),"")</f>
        <v>Radiant</v>
      </c>
    </row>
    <row r="171" spans="1:21" x14ac:dyDescent="0.3">
      <c r="A171">
        <v>4256516157</v>
      </c>
      <c r="B171">
        <v>1544049024</v>
      </c>
      <c r="C171">
        <v>7001</v>
      </c>
      <c r="D171" t="b">
        <v>1</v>
      </c>
      <c r="E171">
        <v>98</v>
      </c>
      <c r="F171">
        <v>121</v>
      </c>
      <c r="G171">
        <v>90</v>
      </c>
      <c r="H171">
        <v>93</v>
      </c>
      <c r="I171">
        <v>3</v>
      </c>
      <c r="J171">
        <v>8</v>
      </c>
      <c r="K171">
        <v>78</v>
      </c>
      <c r="L171">
        <v>31</v>
      </c>
      <c r="M171">
        <v>2</v>
      </c>
      <c r="N171">
        <v>11</v>
      </c>
      <c r="O171">
        <v>80</v>
      </c>
      <c r="P171">
        <v>79</v>
      </c>
      <c r="Q171">
        <v>97</v>
      </c>
      <c r="R171">
        <v>44</v>
      </c>
      <c r="T171" t="str">
        <f>IF(ISERROR(MATCH('Analysis backend'!$M$1,E171:N171,0)),"",'Analysis backend'!$L$1)</f>
        <v/>
      </c>
      <c r="U171" t="str">
        <f>IF(T171='Analysis backend'!$L$1,IF(ISERROR(MATCH('Analysis backend'!$M$1,E171:I171,0)),"Dire","Radiant"),"")</f>
        <v/>
      </c>
    </row>
    <row r="172" spans="1:21" x14ac:dyDescent="0.3">
      <c r="A172">
        <v>4256519853</v>
      </c>
      <c r="B172">
        <v>1544049408</v>
      </c>
      <c r="C172">
        <v>7004</v>
      </c>
      <c r="D172" t="b">
        <v>1</v>
      </c>
      <c r="E172">
        <v>91</v>
      </c>
      <c r="F172">
        <v>72</v>
      </c>
      <c r="G172">
        <v>76</v>
      </c>
      <c r="H172">
        <v>41</v>
      </c>
      <c r="I172">
        <v>31</v>
      </c>
      <c r="J172">
        <v>26</v>
      </c>
      <c r="K172">
        <v>94</v>
      </c>
      <c r="L172">
        <v>16</v>
      </c>
      <c r="M172">
        <v>10</v>
      </c>
      <c r="N172">
        <v>19</v>
      </c>
      <c r="O172">
        <v>44</v>
      </c>
      <c r="T172" t="str">
        <f>IF(ISERROR(MATCH('Analysis backend'!$M$1,E172:N172,0)),"",'Analysis backend'!$L$1)</f>
        <v/>
      </c>
      <c r="U172" t="str">
        <f>IF(T172='Analysis backend'!$L$1,IF(ISERROR(MATCH('Analysis backend'!$M$1,E172:I172,0)),"Dire","Radiant"),"")</f>
        <v/>
      </c>
    </row>
    <row r="173" spans="1:21" x14ac:dyDescent="0.3">
      <c r="A173">
        <v>4256518373</v>
      </c>
      <c r="B173">
        <v>1544049280</v>
      </c>
      <c r="C173">
        <v>6983</v>
      </c>
      <c r="D173" t="b">
        <v>0</v>
      </c>
      <c r="E173">
        <v>9</v>
      </c>
      <c r="F173">
        <v>8</v>
      </c>
      <c r="G173">
        <v>103</v>
      </c>
      <c r="H173">
        <v>62</v>
      </c>
      <c r="I173">
        <v>100</v>
      </c>
      <c r="J173">
        <v>86</v>
      </c>
      <c r="K173">
        <v>31</v>
      </c>
      <c r="L173">
        <v>106</v>
      </c>
      <c r="M173">
        <v>82</v>
      </c>
      <c r="N173">
        <v>2</v>
      </c>
      <c r="O173">
        <v>76</v>
      </c>
      <c r="P173">
        <v>97</v>
      </c>
      <c r="T173" t="str">
        <f>IF(ISERROR(MATCH('Analysis backend'!$M$1,E173:N173,0)),"",'Analysis backend'!$L$1)</f>
        <v/>
      </c>
      <c r="U173" t="str">
        <f>IF(T173='Analysis backend'!$L$1,IF(ISERROR(MATCH('Analysis backend'!$M$1,E173:I173,0)),"Dire","Radiant"),"")</f>
        <v/>
      </c>
    </row>
    <row r="174" spans="1:21" x14ac:dyDescent="0.3">
      <c r="A174">
        <v>4256525191</v>
      </c>
      <c r="B174">
        <v>1544049920</v>
      </c>
      <c r="C174">
        <v>6872</v>
      </c>
      <c r="D174" t="b">
        <v>0</v>
      </c>
      <c r="E174">
        <v>62</v>
      </c>
      <c r="F174">
        <v>121</v>
      </c>
      <c r="G174">
        <v>53</v>
      </c>
      <c r="H174">
        <v>80</v>
      </c>
      <c r="I174">
        <v>11</v>
      </c>
      <c r="J174">
        <v>49</v>
      </c>
      <c r="K174">
        <v>111</v>
      </c>
      <c r="L174">
        <v>44</v>
      </c>
      <c r="M174">
        <v>97</v>
      </c>
      <c r="N174">
        <v>16</v>
      </c>
      <c r="O174">
        <v>93</v>
      </c>
      <c r="T174" t="str">
        <f>IF(ISERROR(MATCH('Analysis backend'!$M$1,E174:N174,0)),"",'Analysis backend'!$L$1)</f>
        <v>Phantom Assassin</v>
      </c>
      <c r="U174" t="str">
        <f>IF(T174='Analysis backend'!$L$1,IF(ISERROR(MATCH('Analysis backend'!$M$1,E174:I174,0)),"Dire","Radiant"),"")</f>
        <v>Dire</v>
      </c>
    </row>
    <row r="175" spans="1:21" x14ac:dyDescent="0.3">
      <c r="A175">
        <v>4256523006</v>
      </c>
      <c r="B175">
        <v>1544049920</v>
      </c>
      <c r="C175">
        <v>6746</v>
      </c>
      <c r="D175" t="b">
        <v>0</v>
      </c>
      <c r="E175">
        <v>6</v>
      </c>
      <c r="F175">
        <v>96</v>
      </c>
      <c r="G175">
        <v>86</v>
      </c>
      <c r="H175">
        <v>76</v>
      </c>
      <c r="I175">
        <v>50</v>
      </c>
      <c r="J175">
        <v>121</v>
      </c>
      <c r="K175">
        <v>97</v>
      </c>
      <c r="L175">
        <v>9</v>
      </c>
      <c r="M175">
        <v>1</v>
      </c>
      <c r="N175">
        <v>26</v>
      </c>
      <c r="O175">
        <v>8</v>
      </c>
      <c r="P175">
        <v>44</v>
      </c>
      <c r="T175" t="str">
        <f>IF(ISERROR(MATCH('Analysis backend'!$M$1,E175:N175,0)),"",'Analysis backend'!$L$1)</f>
        <v/>
      </c>
      <c r="U175" t="str">
        <f>IF(T175='Analysis backend'!$L$1,IF(ISERROR(MATCH('Analysis backend'!$M$1,E175:I175,0)),"Dire","Radiant"),"")</f>
        <v/>
      </c>
    </row>
    <row r="176" spans="1:21" x14ac:dyDescent="0.3">
      <c r="A176">
        <v>4256530154</v>
      </c>
      <c r="B176">
        <v>1544050176</v>
      </c>
      <c r="C176">
        <v>7038</v>
      </c>
      <c r="D176" t="b">
        <v>1</v>
      </c>
      <c r="E176">
        <v>1</v>
      </c>
      <c r="F176">
        <v>121</v>
      </c>
      <c r="G176">
        <v>31</v>
      </c>
      <c r="H176">
        <v>16</v>
      </c>
      <c r="I176">
        <v>44</v>
      </c>
      <c r="J176">
        <v>85</v>
      </c>
      <c r="K176">
        <v>9</v>
      </c>
      <c r="L176">
        <v>86</v>
      </c>
      <c r="M176">
        <v>114</v>
      </c>
      <c r="N176">
        <v>48</v>
      </c>
      <c r="O176">
        <v>56</v>
      </c>
      <c r="P176">
        <v>89</v>
      </c>
      <c r="Q176">
        <v>97</v>
      </c>
      <c r="T176" t="str">
        <f>IF(ISERROR(MATCH('Analysis backend'!$M$1,E176:N176,0)),"",'Analysis backend'!$L$1)</f>
        <v>Phantom Assassin</v>
      </c>
      <c r="U176" t="str">
        <f>IF(T176='Analysis backend'!$L$1,IF(ISERROR(MATCH('Analysis backend'!$M$1,E176:I176,0)),"Dire","Radiant"),"")</f>
        <v>Radiant</v>
      </c>
    </row>
    <row r="177" spans="1:21" x14ac:dyDescent="0.3">
      <c r="A177">
        <v>4256533270</v>
      </c>
      <c r="B177">
        <v>1544050432</v>
      </c>
      <c r="C177">
        <v>6805</v>
      </c>
      <c r="D177" t="b">
        <v>1</v>
      </c>
      <c r="E177">
        <v>26</v>
      </c>
      <c r="F177">
        <v>1</v>
      </c>
      <c r="G177">
        <v>2</v>
      </c>
      <c r="H177">
        <v>97</v>
      </c>
      <c r="I177">
        <v>111</v>
      </c>
      <c r="J177">
        <v>50</v>
      </c>
      <c r="K177">
        <v>48</v>
      </c>
      <c r="L177">
        <v>90</v>
      </c>
      <c r="M177">
        <v>86</v>
      </c>
      <c r="N177">
        <v>78</v>
      </c>
      <c r="O177">
        <v>93</v>
      </c>
      <c r="P177">
        <v>53</v>
      </c>
      <c r="T177" t="str">
        <f>IF(ISERROR(MATCH('Analysis backend'!$M$1,E177:N177,0)),"",'Analysis backend'!$L$1)</f>
        <v/>
      </c>
      <c r="U177" t="str">
        <f>IF(T177='Analysis backend'!$L$1,IF(ISERROR(MATCH('Analysis backend'!$M$1,E177:I177,0)),"Dire","Radiant"),"")</f>
        <v/>
      </c>
    </row>
    <row r="178" spans="1:21" x14ac:dyDescent="0.3">
      <c r="A178">
        <v>4256533543</v>
      </c>
      <c r="B178">
        <v>1544050432</v>
      </c>
      <c r="C178">
        <v>6777</v>
      </c>
      <c r="D178" t="b">
        <v>1</v>
      </c>
      <c r="E178">
        <v>95</v>
      </c>
      <c r="F178">
        <v>86</v>
      </c>
      <c r="G178">
        <v>121</v>
      </c>
      <c r="H178">
        <v>62</v>
      </c>
      <c r="I178">
        <v>96</v>
      </c>
      <c r="J178">
        <v>114</v>
      </c>
      <c r="K178">
        <v>26</v>
      </c>
      <c r="L178">
        <v>76</v>
      </c>
      <c r="M178">
        <v>110</v>
      </c>
      <c r="N178">
        <v>16</v>
      </c>
      <c r="O178">
        <v>44</v>
      </c>
      <c r="P178">
        <v>97</v>
      </c>
      <c r="Q178">
        <v>50</v>
      </c>
      <c r="T178" t="str">
        <f>IF(ISERROR(MATCH('Analysis backend'!$M$1,E178:N178,0)),"",'Analysis backend'!$L$1)</f>
        <v/>
      </c>
      <c r="U178" t="str">
        <f>IF(T178='Analysis backend'!$L$1,IF(ISERROR(MATCH('Analysis backend'!$M$1,E178:I178,0)),"Dire","Radiant"),"")</f>
        <v/>
      </c>
    </row>
    <row r="179" spans="1:21" x14ac:dyDescent="0.3">
      <c r="A179">
        <v>4256517985</v>
      </c>
      <c r="B179">
        <v>1544049920</v>
      </c>
      <c r="C179">
        <v>6709</v>
      </c>
      <c r="D179" t="b">
        <v>1</v>
      </c>
      <c r="E179">
        <v>22</v>
      </c>
      <c r="F179">
        <v>31</v>
      </c>
      <c r="G179">
        <v>78</v>
      </c>
      <c r="H179">
        <v>121</v>
      </c>
      <c r="I179">
        <v>12</v>
      </c>
      <c r="J179">
        <v>34</v>
      </c>
      <c r="K179">
        <v>105</v>
      </c>
      <c r="L179">
        <v>14</v>
      </c>
      <c r="M179">
        <v>44</v>
      </c>
      <c r="N179">
        <v>100</v>
      </c>
      <c r="O179">
        <v>8</v>
      </c>
      <c r="P179">
        <v>95</v>
      </c>
      <c r="T179" t="str">
        <f>IF(ISERROR(MATCH('Analysis backend'!$M$1,E179:N179,0)),"",'Analysis backend'!$L$1)</f>
        <v>Phantom Assassin</v>
      </c>
      <c r="U179" t="str">
        <f>IF(T179='Analysis backend'!$L$1,IF(ISERROR(MATCH('Analysis backend'!$M$1,E179:I179,0)),"Dire","Radiant"),"")</f>
        <v>Dire</v>
      </c>
    </row>
    <row r="180" spans="1:21" x14ac:dyDescent="0.3">
      <c r="A180">
        <v>4256535012</v>
      </c>
      <c r="B180">
        <v>1544050560</v>
      </c>
      <c r="C180">
        <v>6706</v>
      </c>
      <c r="D180" t="b">
        <v>0</v>
      </c>
      <c r="E180">
        <v>100</v>
      </c>
      <c r="F180">
        <v>41</v>
      </c>
      <c r="G180">
        <v>2</v>
      </c>
      <c r="H180">
        <v>110</v>
      </c>
      <c r="I180">
        <v>74</v>
      </c>
      <c r="J180">
        <v>97</v>
      </c>
      <c r="K180">
        <v>93</v>
      </c>
      <c r="L180">
        <v>120</v>
      </c>
      <c r="M180">
        <v>16</v>
      </c>
      <c r="N180">
        <v>26</v>
      </c>
      <c r="O180">
        <v>121</v>
      </c>
      <c r="P180">
        <v>1</v>
      </c>
      <c r="Q180">
        <v>46</v>
      </c>
      <c r="T180" t="str">
        <f>IF(ISERROR(MATCH('Analysis backend'!$M$1,E180:N180,0)),"",'Analysis backend'!$L$1)</f>
        <v/>
      </c>
      <c r="U180" t="str">
        <f>IF(T180='Analysis backend'!$L$1,IF(ISERROR(MATCH('Analysis backend'!$M$1,E180:I180,0)),"Dire","Radiant"),"")</f>
        <v/>
      </c>
    </row>
    <row r="181" spans="1:21" x14ac:dyDescent="0.3">
      <c r="A181">
        <v>4256538640</v>
      </c>
      <c r="B181">
        <v>1544050944</v>
      </c>
      <c r="C181">
        <v>7049</v>
      </c>
      <c r="D181" t="b">
        <v>1</v>
      </c>
      <c r="E181">
        <v>97</v>
      </c>
      <c r="F181">
        <v>107</v>
      </c>
      <c r="G181">
        <v>1</v>
      </c>
      <c r="H181">
        <v>76</v>
      </c>
      <c r="I181">
        <v>31</v>
      </c>
      <c r="J181">
        <v>109</v>
      </c>
      <c r="K181">
        <v>111</v>
      </c>
      <c r="L181">
        <v>114</v>
      </c>
      <c r="M181">
        <v>73</v>
      </c>
      <c r="N181">
        <v>84</v>
      </c>
      <c r="O181">
        <v>80</v>
      </c>
      <c r="P181">
        <v>48</v>
      </c>
      <c r="Q181">
        <v>44</v>
      </c>
      <c r="T181" t="str">
        <f>IF(ISERROR(MATCH('Analysis backend'!$M$1,E181:N181,0)),"",'Analysis backend'!$L$1)</f>
        <v/>
      </c>
      <c r="U181" t="str">
        <f>IF(T181='Analysis backend'!$L$1,IF(ISERROR(MATCH('Analysis backend'!$M$1,E181:I181,0)),"Dire","Radiant"),"")</f>
        <v/>
      </c>
    </row>
    <row r="182" spans="1:21" x14ac:dyDescent="0.3">
      <c r="A182">
        <v>4256538163</v>
      </c>
      <c r="B182">
        <v>1544050816</v>
      </c>
      <c r="C182">
        <v>7050</v>
      </c>
      <c r="D182" t="b">
        <v>0</v>
      </c>
      <c r="E182">
        <v>44</v>
      </c>
      <c r="F182">
        <v>35</v>
      </c>
      <c r="G182">
        <v>97</v>
      </c>
      <c r="H182">
        <v>111</v>
      </c>
      <c r="I182">
        <v>45</v>
      </c>
      <c r="J182">
        <v>86</v>
      </c>
      <c r="K182">
        <v>114</v>
      </c>
      <c r="L182">
        <v>50</v>
      </c>
      <c r="M182">
        <v>16</v>
      </c>
      <c r="N182">
        <v>109</v>
      </c>
      <c r="O182">
        <v>80</v>
      </c>
      <c r="P182">
        <v>82</v>
      </c>
      <c r="Q182">
        <v>78</v>
      </c>
      <c r="T182" t="str">
        <f>IF(ISERROR(MATCH('Analysis backend'!$M$1,E182:N182,0)),"",'Analysis backend'!$L$1)</f>
        <v>Phantom Assassin</v>
      </c>
      <c r="U182" t="str">
        <f>IF(T182='Analysis backend'!$L$1,IF(ISERROR(MATCH('Analysis backend'!$M$1,E182:I182,0)),"Dire","Radiant"),"")</f>
        <v>Radiant</v>
      </c>
    </row>
    <row r="183" spans="1:21" x14ac:dyDescent="0.3">
      <c r="A183">
        <v>4256538232</v>
      </c>
      <c r="B183">
        <v>1544050816</v>
      </c>
      <c r="C183">
        <v>7042</v>
      </c>
      <c r="D183" t="b">
        <v>0</v>
      </c>
      <c r="E183">
        <v>100</v>
      </c>
      <c r="F183">
        <v>2</v>
      </c>
      <c r="G183">
        <v>31</v>
      </c>
      <c r="H183">
        <v>22</v>
      </c>
      <c r="I183">
        <v>93</v>
      </c>
      <c r="J183">
        <v>16</v>
      </c>
      <c r="K183">
        <v>109</v>
      </c>
      <c r="L183">
        <v>45</v>
      </c>
      <c r="M183">
        <v>97</v>
      </c>
      <c r="N183">
        <v>3</v>
      </c>
      <c r="O183">
        <v>46</v>
      </c>
      <c r="P183">
        <v>76</v>
      </c>
      <c r="T183" t="str">
        <f>IF(ISERROR(MATCH('Analysis backend'!$M$1,E183:N183,0)),"",'Analysis backend'!$L$1)</f>
        <v/>
      </c>
      <c r="U183" t="str">
        <f>IF(T183='Analysis backend'!$L$1,IF(ISERROR(MATCH('Analysis backend'!$M$1,E183:I183,0)),"Dire","Radiant"),"")</f>
        <v/>
      </c>
    </row>
    <row r="184" spans="1:21" x14ac:dyDescent="0.3">
      <c r="A184">
        <v>4256539424</v>
      </c>
      <c r="B184">
        <v>1544050944</v>
      </c>
      <c r="C184">
        <v>6925</v>
      </c>
      <c r="D184" t="b">
        <v>0</v>
      </c>
      <c r="E184">
        <v>44</v>
      </c>
      <c r="F184">
        <v>28</v>
      </c>
      <c r="G184">
        <v>49</v>
      </c>
      <c r="H184">
        <v>79</v>
      </c>
      <c r="I184">
        <v>86</v>
      </c>
      <c r="J184">
        <v>76</v>
      </c>
      <c r="K184">
        <v>119</v>
      </c>
      <c r="L184">
        <v>26</v>
      </c>
      <c r="M184">
        <v>8</v>
      </c>
      <c r="N184">
        <v>97</v>
      </c>
      <c r="O184">
        <v>10</v>
      </c>
      <c r="T184" t="str">
        <f>IF(ISERROR(MATCH('Analysis backend'!$M$1,E184:N184,0)),"",'Analysis backend'!$L$1)</f>
        <v>Phantom Assassin</v>
      </c>
      <c r="U184" t="str">
        <f>IF(T184='Analysis backend'!$L$1,IF(ISERROR(MATCH('Analysis backend'!$M$1,E184:I184,0)),"Dire","Radiant"),"")</f>
        <v>Radiant</v>
      </c>
    </row>
    <row r="185" spans="1:21" x14ac:dyDescent="0.3">
      <c r="A185">
        <v>4256542979</v>
      </c>
      <c r="B185">
        <v>1544051328</v>
      </c>
      <c r="C185">
        <v>6958</v>
      </c>
      <c r="D185" t="b">
        <v>1</v>
      </c>
      <c r="E185">
        <v>121</v>
      </c>
      <c r="F185">
        <v>110</v>
      </c>
      <c r="G185">
        <v>1</v>
      </c>
      <c r="H185">
        <v>97</v>
      </c>
      <c r="I185">
        <v>29</v>
      </c>
      <c r="J185">
        <v>28</v>
      </c>
      <c r="K185">
        <v>44</v>
      </c>
      <c r="L185">
        <v>92</v>
      </c>
      <c r="M185">
        <v>107</v>
      </c>
      <c r="N185">
        <v>86</v>
      </c>
      <c r="O185">
        <v>105</v>
      </c>
      <c r="P185">
        <v>65</v>
      </c>
      <c r="T185" t="str">
        <f>IF(ISERROR(MATCH('Analysis backend'!$M$1,E185:N185,0)),"",'Analysis backend'!$L$1)</f>
        <v>Phantom Assassin</v>
      </c>
      <c r="U185" t="str">
        <f>IF(T185='Analysis backend'!$L$1,IF(ISERROR(MATCH('Analysis backend'!$M$1,E185:I185,0)),"Dire","Radiant"),"")</f>
        <v>Dire</v>
      </c>
    </row>
    <row r="186" spans="1:21" x14ac:dyDescent="0.3">
      <c r="A186">
        <v>4256546855</v>
      </c>
      <c r="B186">
        <v>1544051712</v>
      </c>
      <c r="C186">
        <v>6903</v>
      </c>
      <c r="D186" t="b">
        <v>0</v>
      </c>
      <c r="E186">
        <v>12</v>
      </c>
      <c r="F186">
        <v>110</v>
      </c>
      <c r="G186">
        <v>97</v>
      </c>
      <c r="H186">
        <v>112</v>
      </c>
      <c r="I186">
        <v>44</v>
      </c>
      <c r="J186">
        <v>9</v>
      </c>
      <c r="K186">
        <v>72</v>
      </c>
      <c r="L186">
        <v>91</v>
      </c>
      <c r="M186">
        <v>101</v>
      </c>
      <c r="N186">
        <v>50</v>
      </c>
      <c r="O186">
        <v>75</v>
      </c>
      <c r="P186">
        <v>82</v>
      </c>
      <c r="T186" t="str">
        <f>IF(ISERROR(MATCH('Analysis backend'!$M$1,E186:N186,0)),"",'Analysis backend'!$L$1)</f>
        <v>Phantom Assassin</v>
      </c>
      <c r="U186" t="str">
        <f>IF(T186='Analysis backend'!$L$1,IF(ISERROR(MATCH('Analysis backend'!$M$1,E186:I186,0)),"Dire","Radiant"),"")</f>
        <v>Radiant</v>
      </c>
    </row>
    <row r="187" spans="1:21" x14ac:dyDescent="0.3">
      <c r="A187">
        <v>4256548591</v>
      </c>
      <c r="B187">
        <v>1544051840</v>
      </c>
      <c r="C187">
        <v>6775</v>
      </c>
      <c r="D187" t="b">
        <v>0</v>
      </c>
      <c r="E187">
        <v>69</v>
      </c>
      <c r="F187">
        <v>50</v>
      </c>
      <c r="G187">
        <v>121</v>
      </c>
      <c r="H187">
        <v>86</v>
      </c>
      <c r="I187">
        <v>44</v>
      </c>
      <c r="J187">
        <v>110</v>
      </c>
      <c r="K187">
        <v>45</v>
      </c>
      <c r="L187">
        <v>25</v>
      </c>
      <c r="M187">
        <v>41</v>
      </c>
      <c r="N187">
        <v>111</v>
      </c>
      <c r="O187">
        <v>59</v>
      </c>
      <c r="T187" t="str">
        <f>IF(ISERROR(MATCH('Analysis backend'!$M$1,E187:N187,0)),"",'Analysis backend'!$L$1)</f>
        <v>Phantom Assassin</v>
      </c>
      <c r="U187" t="str">
        <f>IF(T187='Analysis backend'!$L$1,IF(ISERROR(MATCH('Analysis backend'!$M$1,E187:I187,0)),"Dire","Radiant"),"")</f>
        <v>Radiant</v>
      </c>
    </row>
    <row r="188" spans="1:21" x14ac:dyDescent="0.3">
      <c r="A188">
        <v>4256550216</v>
      </c>
      <c r="B188">
        <v>1544052096</v>
      </c>
      <c r="C188">
        <v>7046</v>
      </c>
      <c r="D188" t="b">
        <v>0</v>
      </c>
      <c r="E188">
        <v>25</v>
      </c>
      <c r="F188">
        <v>50</v>
      </c>
      <c r="G188">
        <v>34</v>
      </c>
      <c r="H188">
        <v>10</v>
      </c>
      <c r="I188">
        <v>38</v>
      </c>
      <c r="J188">
        <v>31</v>
      </c>
      <c r="K188">
        <v>78</v>
      </c>
      <c r="L188">
        <v>82</v>
      </c>
      <c r="M188">
        <v>81</v>
      </c>
      <c r="N188">
        <v>100</v>
      </c>
      <c r="O188">
        <v>44</v>
      </c>
      <c r="P188">
        <v>97</v>
      </c>
      <c r="T188" t="str">
        <f>IF(ISERROR(MATCH('Analysis backend'!$M$1,E188:N188,0)),"",'Analysis backend'!$L$1)</f>
        <v/>
      </c>
      <c r="U188" t="str">
        <f>IF(T188='Analysis backend'!$L$1,IF(ISERROR(MATCH('Analysis backend'!$M$1,E188:I188,0)),"Dire","Radiant"),"")</f>
        <v/>
      </c>
    </row>
    <row r="189" spans="1:21" x14ac:dyDescent="0.3">
      <c r="A189">
        <v>4256549240</v>
      </c>
      <c r="B189">
        <v>1544052096</v>
      </c>
      <c r="C189">
        <v>6988</v>
      </c>
      <c r="D189" t="b">
        <v>0</v>
      </c>
      <c r="E189">
        <v>25</v>
      </c>
      <c r="F189">
        <v>101</v>
      </c>
      <c r="G189">
        <v>16</v>
      </c>
      <c r="H189">
        <v>85</v>
      </c>
      <c r="I189">
        <v>93</v>
      </c>
      <c r="J189">
        <v>38</v>
      </c>
      <c r="K189">
        <v>84</v>
      </c>
      <c r="L189">
        <v>1</v>
      </c>
      <c r="M189">
        <v>50</v>
      </c>
      <c r="N189">
        <v>47</v>
      </c>
      <c r="O189">
        <v>44</v>
      </c>
      <c r="P189">
        <v>114</v>
      </c>
      <c r="Q189">
        <v>97</v>
      </c>
      <c r="R189">
        <v>78</v>
      </c>
      <c r="T189" t="str">
        <f>IF(ISERROR(MATCH('Analysis backend'!$M$1,E189:N189,0)),"",'Analysis backend'!$L$1)</f>
        <v/>
      </c>
      <c r="U189" t="str">
        <f>IF(T189='Analysis backend'!$L$1,IF(ISERROR(MATCH('Analysis backend'!$M$1,E189:I189,0)),"Dire","Radiant"),"")</f>
        <v/>
      </c>
    </row>
    <row r="190" spans="1:21" x14ac:dyDescent="0.3">
      <c r="A190">
        <v>4256560591</v>
      </c>
      <c r="B190">
        <v>1544052864</v>
      </c>
      <c r="C190">
        <v>6819</v>
      </c>
      <c r="D190" t="b">
        <v>1</v>
      </c>
      <c r="E190">
        <v>97</v>
      </c>
      <c r="F190">
        <v>114</v>
      </c>
      <c r="G190">
        <v>103</v>
      </c>
      <c r="H190">
        <v>76</v>
      </c>
      <c r="I190">
        <v>50</v>
      </c>
      <c r="J190">
        <v>14</v>
      </c>
      <c r="K190">
        <v>29</v>
      </c>
      <c r="L190">
        <v>7</v>
      </c>
      <c r="M190">
        <v>15</v>
      </c>
      <c r="N190">
        <v>1</v>
      </c>
      <c r="O190">
        <v>93</v>
      </c>
      <c r="P190">
        <v>110</v>
      </c>
      <c r="Q190">
        <v>86</v>
      </c>
      <c r="T190" t="str">
        <f>IF(ISERROR(MATCH('Analysis backend'!$M$1,E190:N190,0)),"",'Analysis backend'!$L$1)</f>
        <v/>
      </c>
      <c r="U190" t="str">
        <f>IF(T190='Analysis backend'!$L$1,IF(ISERROR(MATCH('Analysis backend'!$M$1,E190:I190,0)),"Dire","Radiant"),"")</f>
        <v/>
      </c>
    </row>
    <row r="191" spans="1:21" x14ac:dyDescent="0.3">
      <c r="A191">
        <v>4256555322</v>
      </c>
      <c r="B191">
        <v>1544054144</v>
      </c>
      <c r="C191">
        <v>5906</v>
      </c>
      <c r="D191" t="b">
        <v>1</v>
      </c>
      <c r="E191">
        <v>2</v>
      </c>
      <c r="F191">
        <v>13</v>
      </c>
      <c r="G191">
        <v>66</v>
      </c>
      <c r="H191">
        <v>50</v>
      </c>
      <c r="I191">
        <v>44</v>
      </c>
      <c r="J191">
        <v>107</v>
      </c>
      <c r="K191">
        <v>41</v>
      </c>
      <c r="L191">
        <v>74</v>
      </c>
      <c r="M191">
        <v>97</v>
      </c>
      <c r="N191">
        <v>64</v>
      </c>
      <c r="O191">
        <v>121</v>
      </c>
      <c r="P191">
        <v>85</v>
      </c>
      <c r="T191" t="str">
        <f>IF(ISERROR(MATCH('Analysis backend'!$M$1,E191:N191,0)),"",'Analysis backend'!$L$1)</f>
        <v>Phantom Assassin</v>
      </c>
      <c r="U191" t="str">
        <f>IF(T191='Analysis backend'!$L$1,IF(ISERROR(MATCH('Analysis backend'!$M$1,E191:I191,0)),"Dire","Radiant"),"")</f>
        <v>Radiant</v>
      </c>
    </row>
    <row r="192" spans="1:21" x14ac:dyDescent="0.3">
      <c r="A192">
        <v>4256541602</v>
      </c>
      <c r="B192">
        <v>1544054144</v>
      </c>
      <c r="C192">
        <v>5852</v>
      </c>
      <c r="D192" t="b">
        <v>1</v>
      </c>
      <c r="E192">
        <v>62</v>
      </c>
      <c r="F192">
        <v>44</v>
      </c>
      <c r="G192">
        <v>12</v>
      </c>
      <c r="H192">
        <v>55</v>
      </c>
      <c r="I192">
        <v>3</v>
      </c>
      <c r="J192">
        <v>8</v>
      </c>
      <c r="K192">
        <v>121</v>
      </c>
      <c r="L192">
        <v>26</v>
      </c>
      <c r="M192">
        <v>7</v>
      </c>
      <c r="N192">
        <v>94</v>
      </c>
      <c r="O192">
        <v>2</v>
      </c>
      <c r="P192">
        <v>34</v>
      </c>
      <c r="Q192">
        <v>109</v>
      </c>
      <c r="R192">
        <v>97</v>
      </c>
      <c r="T192" t="str">
        <f>IF(ISERROR(MATCH('Analysis backend'!$M$1,E192:N192,0)),"",'Analysis backend'!$L$1)</f>
        <v>Phantom Assassin</v>
      </c>
      <c r="U192" t="str">
        <f>IF(T192='Analysis backend'!$L$1,IF(ISERROR(MATCH('Analysis backend'!$M$1,E192:I192,0)),"Dire","Radiant"),"")</f>
        <v>Radiant</v>
      </c>
    </row>
    <row r="193" spans="1:21" x14ac:dyDescent="0.3">
      <c r="A193">
        <v>4256539254</v>
      </c>
      <c r="B193">
        <v>1544054144</v>
      </c>
      <c r="C193">
        <v>5764</v>
      </c>
      <c r="D193" t="b">
        <v>0</v>
      </c>
      <c r="E193">
        <v>50</v>
      </c>
      <c r="F193">
        <v>7</v>
      </c>
      <c r="G193">
        <v>86</v>
      </c>
      <c r="H193">
        <v>114</v>
      </c>
      <c r="I193">
        <v>21</v>
      </c>
      <c r="J193">
        <v>89</v>
      </c>
      <c r="K193">
        <v>110</v>
      </c>
      <c r="L193">
        <v>121</v>
      </c>
      <c r="M193">
        <v>94</v>
      </c>
      <c r="N193">
        <v>31</v>
      </c>
      <c r="O193">
        <v>44</v>
      </c>
      <c r="P193">
        <v>59</v>
      </c>
      <c r="Q193">
        <v>82</v>
      </c>
      <c r="T193" t="str">
        <f>IF(ISERROR(MATCH('Analysis backend'!$M$1,E193:N193,0)),"",'Analysis backend'!$L$1)</f>
        <v/>
      </c>
      <c r="U193" t="str">
        <f>IF(T193='Analysis backend'!$L$1,IF(ISERROR(MATCH('Analysis backend'!$M$1,E193:I193,0)),"Dire","Radiant"),"")</f>
        <v/>
      </c>
    </row>
    <row r="194" spans="1:21" x14ac:dyDescent="0.3">
      <c r="A194">
        <v>4256547044</v>
      </c>
      <c r="B194">
        <v>1544054144</v>
      </c>
      <c r="C194">
        <v>5733</v>
      </c>
      <c r="D194" t="b">
        <v>1</v>
      </c>
      <c r="E194">
        <v>2</v>
      </c>
      <c r="F194">
        <v>41</v>
      </c>
      <c r="G194">
        <v>85</v>
      </c>
      <c r="H194">
        <v>82</v>
      </c>
      <c r="I194">
        <v>101</v>
      </c>
      <c r="J194">
        <v>8</v>
      </c>
      <c r="K194">
        <v>28</v>
      </c>
      <c r="L194">
        <v>26</v>
      </c>
      <c r="M194">
        <v>121</v>
      </c>
      <c r="N194">
        <v>113</v>
      </c>
      <c r="O194">
        <v>93</v>
      </c>
      <c r="P194">
        <v>44</v>
      </c>
      <c r="T194" t="str">
        <f>IF(ISERROR(MATCH('Analysis backend'!$M$1,E194:N194,0)),"",'Analysis backend'!$L$1)</f>
        <v/>
      </c>
      <c r="U194" t="str">
        <f>IF(T194='Analysis backend'!$L$1,IF(ISERROR(MATCH('Analysis backend'!$M$1,E194:I194,0)),"Dire","Radiant"),"")</f>
        <v/>
      </c>
    </row>
    <row r="195" spans="1:21" x14ac:dyDescent="0.3">
      <c r="A195">
        <v>4256546100</v>
      </c>
      <c r="B195">
        <v>1544054144</v>
      </c>
      <c r="C195">
        <v>5666</v>
      </c>
      <c r="D195" t="b">
        <v>1</v>
      </c>
      <c r="E195">
        <v>67</v>
      </c>
      <c r="F195">
        <v>9</v>
      </c>
      <c r="G195">
        <v>74</v>
      </c>
      <c r="H195">
        <v>50</v>
      </c>
      <c r="I195">
        <v>62</v>
      </c>
      <c r="J195">
        <v>100</v>
      </c>
      <c r="K195">
        <v>41</v>
      </c>
      <c r="L195">
        <v>97</v>
      </c>
      <c r="M195">
        <v>61</v>
      </c>
      <c r="N195">
        <v>95</v>
      </c>
      <c r="O195">
        <v>44</v>
      </c>
      <c r="P195">
        <v>114</v>
      </c>
      <c r="Q195">
        <v>93</v>
      </c>
      <c r="T195" t="str">
        <f>IF(ISERROR(MATCH('Analysis backend'!$M$1,E195:N195,0)),"",'Analysis backend'!$L$1)</f>
        <v/>
      </c>
      <c r="U195" t="str">
        <f>IF(T195='Analysis backend'!$L$1,IF(ISERROR(MATCH('Analysis backend'!$M$1,E195:I195,0)),"Dire","Radiant"),"")</f>
        <v/>
      </c>
    </row>
    <row r="196" spans="1:21" x14ac:dyDescent="0.3">
      <c r="A196">
        <v>4256558147</v>
      </c>
      <c r="B196">
        <v>1544054144</v>
      </c>
      <c r="C196">
        <v>5514</v>
      </c>
      <c r="D196" t="b">
        <v>0</v>
      </c>
      <c r="E196">
        <v>31</v>
      </c>
      <c r="F196">
        <v>46</v>
      </c>
      <c r="G196">
        <v>97</v>
      </c>
      <c r="H196">
        <v>94</v>
      </c>
      <c r="I196">
        <v>41</v>
      </c>
      <c r="J196">
        <v>86</v>
      </c>
      <c r="K196">
        <v>1</v>
      </c>
      <c r="L196">
        <v>53</v>
      </c>
      <c r="M196">
        <v>10</v>
      </c>
      <c r="N196">
        <v>111</v>
      </c>
      <c r="O196">
        <v>44</v>
      </c>
      <c r="T196" t="str">
        <f>IF(ISERROR(MATCH('Analysis backend'!$M$1,E196:N196,0)),"",'Analysis backend'!$L$1)</f>
        <v/>
      </c>
      <c r="U196" t="str">
        <f>IF(T196='Analysis backend'!$L$1,IF(ISERROR(MATCH('Analysis backend'!$M$1,E196:I196,0)),"Dire","Radiant"),"")</f>
        <v/>
      </c>
    </row>
    <row r="197" spans="1:21" x14ac:dyDescent="0.3">
      <c r="A197">
        <v>4256554664</v>
      </c>
      <c r="B197">
        <v>1544054144</v>
      </c>
      <c r="C197">
        <v>5301</v>
      </c>
      <c r="D197" t="b">
        <v>0</v>
      </c>
      <c r="E197">
        <v>19</v>
      </c>
      <c r="F197">
        <v>1</v>
      </c>
      <c r="G197">
        <v>16</v>
      </c>
      <c r="H197">
        <v>11</v>
      </c>
      <c r="I197">
        <v>110</v>
      </c>
      <c r="J197">
        <v>75</v>
      </c>
      <c r="K197">
        <v>25</v>
      </c>
      <c r="L197">
        <v>78</v>
      </c>
      <c r="M197">
        <v>74</v>
      </c>
      <c r="N197">
        <v>8</v>
      </c>
      <c r="O197">
        <v>44</v>
      </c>
      <c r="T197" t="str">
        <f>IF(ISERROR(MATCH('Analysis backend'!$M$1,E197:N197,0)),"",'Analysis backend'!$L$1)</f>
        <v/>
      </c>
      <c r="U197" t="str">
        <f>IF(T197='Analysis backend'!$L$1,IF(ISERROR(MATCH('Analysis backend'!$M$1,E197:I197,0)),"Dire","Radiant"),"")</f>
        <v/>
      </c>
    </row>
    <row r="198" spans="1:21" x14ac:dyDescent="0.3">
      <c r="A198">
        <v>4256562158</v>
      </c>
      <c r="B198">
        <v>1544054144</v>
      </c>
      <c r="C198">
        <v>5256</v>
      </c>
      <c r="D198" t="b">
        <v>1</v>
      </c>
      <c r="E198">
        <v>28</v>
      </c>
      <c r="F198">
        <v>22</v>
      </c>
      <c r="G198">
        <v>79</v>
      </c>
      <c r="H198">
        <v>62</v>
      </c>
      <c r="I198">
        <v>44</v>
      </c>
      <c r="J198">
        <v>93</v>
      </c>
      <c r="K198">
        <v>121</v>
      </c>
      <c r="L198">
        <v>61</v>
      </c>
      <c r="M198">
        <v>56</v>
      </c>
      <c r="N198">
        <v>27</v>
      </c>
      <c r="O198">
        <v>97</v>
      </c>
      <c r="P198">
        <v>10</v>
      </c>
      <c r="T198" t="str">
        <f>IF(ISERROR(MATCH('Analysis backend'!$M$1,E198:N198,0)),"",'Analysis backend'!$L$1)</f>
        <v>Phantom Assassin</v>
      </c>
      <c r="U198" t="str">
        <f>IF(T198='Analysis backend'!$L$1,IF(ISERROR(MATCH('Analysis backend'!$M$1,E198:I198,0)),"Dire","Radiant"),"")</f>
        <v>Radiant</v>
      </c>
    </row>
    <row r="199" spans="1:21" x14ac:dyDescent="0.3">
      <c r="A199">
        <v>4256534884</v>
      </c>
      <c r="B199">
        <v>1544054144</v>
      </c>
      <c r="C199">
        <v>4912</v>
      </c>
      <c r="D199" t="b">
        <v>1</v>
      </c>
      <c r="E199">
        <v>16</v>
      </c>
      <c r="F199">
        <v>50</v>
      </c>
      <c r="G199">
        <v>48</v>
      </c>
      <c r="H199">
        <v>62</v>
      </c>
      <c r="I199">
        <v>47</v>
      </c>
      <c r="J199">
        <v>40</v>
      </c>
      <c r="K199">
        <v>25</v>
      </c>
      <c r="L199">
        <v>67</v>
      </c>
      <c r="M199">
        <v>37</v>
      </c>
      <c r="N199">
        <v>14</v>
      </c>
      <c r="O199">
        <v>82</v>
      </c>
      <c r="P199">
        <v>59</v>
      </c>
      <c r="Q199">
        <v>44</v>
      </c>
      <c r="T199" t="str">
        <f>IF(ISERROR(MATCH('Analysis backend'!$M$1,E199:N199,0)),"",'Analysis backend'!$L$1)</f>
        <v/>
      </c>
      <c r="U199" t="str">
        <f>IF(T199='Analysis backend'!$L$1,IF(ISERROR(MATCH('Analysis backend'!$M$1,E199:I199,0)),"Dire","Radiant"),"")</f>
        <v/>
      </c>
    </row>
    <row r="200" spans="1:21" x14ac:dyDescent="0.3">
      <c r="A200">
        <v>4256540385</v>
      </c>
      <c r="B200">
        <v>1544054144</v>
      </c>
      <c r="C200">
        <v>4721</v>
      </c>
      <c r="D200" t="b">
        <v>1</v>
      </c>
      <c r="E200">
        <v>86</v>
      </c>
      <c r="F200">
        <v>64</v>
      </c>
      <c r="G200">
        <v>48</v>
      </c>
      <c r="H200">
        <v>114</v>
      </c>
      <c r="I200">
        <v>110</v>
      </c>
      <c r="J200">
        <v>25</v>
      </c>
      <c r="K200">
        <v>60</v>
      </c>
      <c r="L200">
        <v>8</v>
      </c>
      <c r="M200">
        <v>63</v>
      </c>
      <c r="N200">
        <v>53</v>
      </c>
      <c r="O200">
        <v>17</v>
      </c>
      <c r="P200">
        <v>50</v>
      </c>
      <c r="Q200">
        <v>44</v>
      </c>
      <c r="T200" t="str">
        <f>IF(ISERROR(MATCH('Analysis backend'!$M$1,E200:N200,0)),"",'Analysis backend'!$L$1)</f>
        <v/>
      </c>
      <c r="U200" t="str">
        <f>IF(T200='Analysis backend'!$L$1,IF(ISERROR(MATCH('Analysis backend'!$M$1,E200:I200,0)),"Dire","Radiant"),"")</f>
        <v/>
      </c>
    </row>
    <row r="201" spans="1:21" x14ac:dyDescent="0.3">
      <c r="A201">
        <v>4256565024</v>
      </c>
      <c r="B201">
        <v>1544054144</v>
      </c>
      <c r="C201">
        <v>7007</v>
      </c>
      <c r="D201" t="b">
        <v>0</v>
      </c>
      <c r="E201">
        <v>71</v>
      </c>
      <c r="F201">
        <v>95</v>
      </c>
      <c r="G201">
        <v>112</v>
      </c>
      <c r="H201">
        <v>101</v>
      </c>
      <c r="I201">
        <v>110</v>
      </c>
      <c r="J201">
        <v>86</v>
      </c>
      <c r="K201">
        <v>85</v>
      </c>
      <c r="L201">
        <v>1</v>
      </c>
      <c r="M201">
        <v>76</v>
      </c>
      <c r="N201">
        <v>96</v>
      </c>
      <c r="O201">
        <v>97</v>
      </c>
      <c r="P201">
        <v>44</v>
      </c>
      <c r="T201" t="str">
        <f>IF(ISERROR(MATCH('Analysis backend'!$M$1,E201:N201,0)),"",'Analysis backend'!$L$1)</f>
        <v/>
      </c>
      <c r="U201" t="str">
        <f>IF(T201='Analysis backend'!$L$1,IF(ISERROR(MATCH('Analysis backend'!$M$1,E201:I201,0)),"Dire","Radiant"),"")</f>
        <v/>
      </c>
    </row>
    <row r="202" spans="1:21" x14ac:dyDescent="0.3">
      <c r="A202">
        <v>4256571896</v>
      </c>
      <c r="B202">
        <v>1544054656</v>
      </c>
      <c r="C202">
        <v>7071</v>
      </c>
      <c r="D202" t="b">
        <v>1</v>
      </c>
      <c r="E202">
        <v>86</v>
      </c>
      <c r="F202">
        <v>50</v>
      </c>
      <c r="G202">
        <v>44</v>
      </c>
      <c r="H202">
        <v>101</v>
      </c>
      <c r="I202">
        <v>57</v>
      </c>
      <c r="J202">
        <v>48</v>
      </c>
      <c r="K202">
        <v>45</v>
      </c>
      <c r="L202">
        <v>91</v>
      </c>
      <c r="M202">
        <v>112</v>
      </c>
      <c r="N202">
        <v>72</v>
      </c>
      <c r="O202">
        <v>97</v>
      </c>
      <c r="P202">
        <v>34</v>
      </c>
      <c r="T202" t="str">
        <f>IF(ISERROR(MATCH('Analysis backend'!$M$1,E202:N202,0)),"",'Analysis backend'!$L$1)</f>
        <v>Phantom Assassin</v>
      </c>
      <c r="U202" t="str">
        <f>IF(T202='Analysis backend'!$L$1,IF(ISERROR(MATCH('Analysis backend'!$M$1,E202:I202,0)),"Dire","Radiant"),"")</f>
        <v>Radiant</v>
      </c>
    </row>
    <row r="203" spans="1:21" x14ac:dyDescent="0.3">
      <c r="A203">
        <v>4256571538</v>
      </c>
      <c r="B203">
        <v>1544054656</v>
      </c>
      <c r="C203">
        <v>7051</v>
      </c>
      <c r="D203" t="b">
        <v>1</v>
      </c>
      <c r="E203">
        <v>44</v>
      </c>
      <c r="F203">
        <v>50</v>
      </c>
      <c r="G203">
        <v>97</v>
      </c>
      <c r="H203">
        <v>109</v>
      </c>
      <c r="I203">
        <v>101</v>
      </c>
      <c r="J203">
        <v>108</v>
      </c>
      <c r="K203">
        <v>1</v>
      </c>
      <c r="L203">
        <v>107</v>
      </c>
      <c r="M203">
        <v>76</v>
      </c>
      <c r="N203">
        <v>79</v>
      </c>
      <c r="O203">
        <v>2</v>
      </c>
      <c r="P203">
        <v>32</v>
      </c>
      <c r="T203" t="str">
        <f>IF(ISERROR(MATCH('Analysis backend'!$M$1,E203:N203,0)),"",'Analysis backend'!$L$1)</f>
        <v>Phantom Assassin</v>
      </c>
      <c r="U203" t="str">
        <f>IF(T203='Analysis backend'!$L$1,IF(ISERROR(MATCH('Analysis backend'!$M$1,E203:I203,0)),"Dire","Radiant"),"")</f>
        <v>Radiant</v>
      </c>
    </row>
    <row r="204" spans="1:21" x14ac:dyDescent="0.3">
      <c r="A204">
        <v>4256564620</v>
      </c>
      <c r="B204">
        <v>1544054144</v>
      </c>
      <c r="C204">
        <v>6912</v>
      </c>
      <c r="D204" t="b">
        <v>1</v>
      </c>
      <c r="E204">
        <v>101</v>
      </c>
      <c r="F204">
        <v>107</v>
      </c>
      <c r="G204">
        <v>2</v>
      </c>
      <c r="H204">
        <v>114</v>
      </c>
      <c r="I204">
        <v>120</v>
      </c>
      <c r="J204">
        <v>84</v>
      </c>
      <c r="K204">
        <v>31</v>
      </c>
      <c r="L204">
        <v>45</v>
      </c>
      <c r="M204">
        <v>50</v>
      </c>
      <c r="N204">
        <v>59</v>
      </c>
      <c r="O204">
        <v>97</v>
      </c>
      <c r="P204">
        <v>34</v>
      </c>
      <c r="T204" t="str">
        <f>IF(ISERROR(MATCH('Analysis backend'!$M$1,E204:N204,0)),"",'Analysis backend'!$L$1)</f>
        <v/>
      </c>
      <c r="U204" t="str">
        <f>IF(T204='Analysis backend'!$L$1,IF(ISERROR(MATCH('Analysis backend'!$M$1,E204:I204,0)),"Dire","Radiant"),"")</f>
        <v/>
      </c>
    </row>
    <row r="205" spans="1:21" x14ac:dyDescent="0.3">
      <c r="A205">
        <v>4256571994</v>
      </c>
      <c r="B205">
        <v>1544054656</v>
      </c>
      <c r="C205">
        <v>6933</v>
      </c>
      <c r="D205" t="b">
        <v>1</v>
      </c>
      <c r="E205">
        <v>95</v>
      </c>
      <c r="F205">
        <v>31</v>
      </c>
      <c r="G205">
        <v>27</v>
      </c>
      <c r="H205">
        <v>38</v>
      </c>
      <c r="I205">
        <v>3</v>
      </c>
      <c r="J205">
        <v>111</v>
      </c>
      <c r="K205">
        <v>28</v>
      </c>
      <c r="L205">
        <v>35</v>
      </c>
      <c r="M205">
        <v>26</v>
      </c>
      <c r="N205">
        <v>41</v>
      </c>
      <c r="O205">
        <v>50</v>
      </c>
      <c r="P205">
        <v>44</v>
      </c>
      <c r="Q205">
        <v>97</v>
      </c>
      <c r="T205" t="str">
        <f>IF(ISERROR(MATCH('Analysis backend'!$M$1,E205:N205,0)),"",'Analysis backend'!$L$1)</f>
        <v/>
      </c>
      <c r="U205" t="str">
        <f>IF(T205='Analysis backend'!$L$1,IF(ISERROR(MATCH('Analysis backend'!$M$1,E205:I205,0)),"Dire","Radiant"),"")</f>
        <v/>
      </c>
    </row>
    <row r="206" spans="1:21" x14ac:dyDescent="0.3">
      <c r="A206">
        <v>4256559116</v>
      </c>
      <c r="B206">
        <v>1544054144</v>
      </c>
      <c r="C206">
        <v>6754</v>
      </c>
      <c r="D206" t="b">
        <v>0</v>
      </c>
      <c r="E206">
        <v>27</v>
      </c>
      <c r="F206">
        <v>9</v>
      </c>
      <c r="G206">
        <v>6</v>
      </c>
      <c r="H206">
        <v>103</v>
      </c>
      <c r="I206">
        <v>114</v>
      </c>
      <c r="J206">
        <v>97</v>
      </c>
      <c r="K206">
        <v>74</v>
      </c>
      <c r="L206">
        <v>86</v>
      </c>
      <c r="M206">
        <v>31</v>
      </c>
      <c r="N206">
        <v>41</v>
      </c>
      <c r="O206">
        <v>44</v>
      </c>
      <c r="P206">
        <v>76</v>
      </c>
      <c r="Q206">
        <v>82</v>
      </c>
      <c r="T206" t="str">
        <f>IF(ISERROR(MATCH('Analysis backend'!$M$1,E206:N206,0)),"",'Analysis backend'!$L$1)</f>
        <v/>
      </c>
      <c r="U206" t="str">
        <f>IF(T206='Analysis backend'!$L$1,IF(ISERROR(MATCH('Analysis backend'!$M$1,E206:I206,0)),"Dire","Radiant"),"")</f>
        <v/>
      </c>
    </row>
    <row r="207" spans="1:21" x14ac:dyDescent="0.3">
      <c r="A207">
        <v>4256572018</v>
      </c>
      <c r="B207">
        <v>1544054656</v>
      </c>
      <c r="C207">
        <v>6698</v>
      </c>
      <c r="D207" t="b">
        <v>1</v>
      </c>
      <c r="E207">
        <v>44</v>
      </c>
      <c r="F207">
        <v>16</v>
      </c>
      <c r="G207">
        <v>82</v>
      </c>
      <c r="H207">
        <v>97</v>
      </c>
      <c r="I207">
        <v>27</v>
      </c>
      <c r="J207">
        <v>121</v>
      </c>
      <c r="K207">
        <v>86</v>
      </c>
      <c r="L207">
        <v>93</v>
      </c>
      <c r="M207">
        <v>26</v>
      </c>
      <c r="N207">
        <v>13</v>
      </c>
      <c r="O207">
        <v>45</v>
      </c>
      <c r="P207">
        <v>2</v>
      </c>
      <c r="Q207">
        <v>8</v>
      </c>
      <c r="T207" t="str">
        <f>IF(ISERROR(MATCH('Analysis backend'!$M$1,E207:N207,0)),"",'Analysis backend'!$L$1)</f>
        <v>Phantom Assassin</v>
      </c>
      <c r="U207" t="str">
        <f>IF(T207='Analysis backend'!$L$1,IF(ISERROR(MATCH('Analysis backend'!$M$1,E207:I207,0)),"Dire","Radiant"),"")</f>
        <v>Radiant</v>
      </c>
    </row>
    <row r="208" spans="1:21" x14ac:dyDescent="0.3">
      <c r="A208">
        <v>4256562716</v>
      </c>
      <c r="B208">
        <v>1544054144</v>
      </c>
      <c r="C208">
        <v>6536</v>
      </c>
      <c r="D208" t="b">
        <v>1</v>
      </c>
      <c r="E208">
        <v>111</v>
      </c>
      <c r="F208">
        <v>29</v>
      </c>
      <c r="G208">
        <v>87</v>
      </c>
      <c r="H208">
        <v>35</v>
      </c>
      <c r="I208">
        <v>10</v>
      </c>
      <c r="J208">
        <v>50</v>
      </c>
      <c r="K208">
        <v>6</v>
      </c>
      <c r="L208">
        <v>62</v>
      </c>
      <c r="M208">
        <v>59</v>
      </c>
      <c r="N208">
        <v>60</v>
      </c>
      <c r="O208">
        <v>44</v>
      </c>
      <c r="P208">
        <v>93</v>
      </c>
      <c r="Q208">
        <v>80</v>
      </c>
      <c r="R208">
        <v>97</v>
      </c>
      <c r="T208" t="str">
        <f>IF(ISERROR(MATCH('Analysis backend'!$M$1,E208:N208,0)),"",'Analysis backend'!$L$1)</f>
        <v/>
      </c>
      <c r="U208" t="str">
        <f>IF(T208='Analysis backend'!$L$1,IF(ISERROR(MATCH('Analysis backend'!$M$1,E208:I208,0)),"Dire","Radiant"),"")</f>
        <v/>
      </c>
    </row>
    <row r="209" spans="1:21" x14ac:dyDescent="0.3">
      <c r="A209">
        <v>4256579619</v>
      </c>
      <c r="B209">
        <v>1544055040</v>
      </c>
      <c r="C209">
        <v>7059</v>
      </c>
      <c r="D209" t="b">
        <v>0</v>
      </c>
      <c r="E209">
        <v>107</v>
      </c>
      <c r="F209">
        <v>44</v>
      </c>
      <c r="G209">
        <v>3</v>
      </c>
      <c r="H209">
        <v>86</v>
      </c>
      <c r="I209">
        <v>50</v>
      </c>
      <c r="J209">
        <v>121</v>
      </c>
      <c r="K209">
        <v>23</v>
      </c>
      <c r="L209">
        <v>97</v>
      </c>
      <c r="M209">
        <v>26</v>
      </c>
      <c r="N209">
        <v>41</v>
      </c>
      <c r="O209">
        <v>111</v>
      </c>
      <c r="P209">
        <v>80</v>
      </c>
      <c r="Q209">
        <v>46</v>
      </c>
      <c r="T209" t="str">
        <f>IF(ISERROR(MATCH('Analysis backend'!$M$1,E209:N209,0)),"",'Analysis backend'!$L$1)</f>
        <v>Phantom Assassin</v>
      </c>
      <c r="U209" t="str">
        <f>IF(T209='Analysis backend'!$L$1,IF(ISERROR(MATCH('Analysis backend'!$M$1,E209:I209,0)),"Dire","Radiant"),"")</f>
        <v>Radiant</v>
      </c>
    </row>
    <row r="210" spans="1:21" x14ac:dyDescent="0.3">
      <c r="A210">
        <v>4256578947</v>
      </c>
      <c r="B210">
        <v>1544054912</v>
      </c>
      <c r="C210">
        <v>6769</v>
      </c>
      <c r="D210" t="b">
        <v>1</v>
      </c>
      <c r="E210">
        <v>26</v>
      </c>
      <c r="F210">
        <v>89</v>
      </c>
      <c r="G210">
        <v>76</v>
      </c>
      <c r="H210">
        <v>101</v>
      </c>
      <c r="I210">
        <v>84</v>
      </c>
      <c r="J210">
        <v>1</v>
      </c>
      <c r="K210">
        <v>85</v>
      </c>
      <c r="L210">
        <v>82</v>
      </c>
      <c r="M210">
        <v>50</v>
      </c>
      <c r="N210">
        <v>114</v>
      </c>
      <c r="O210">
        <v>70</v>
      </c>
      <c r="P210">
        <v>44</v>
      </c>
      <c r="Q210">
        <v>80</v>
      </c>
      <c r="R210">
        <v>112</v>
      </c>
      <c r="T210" t="str">
        <f>IF(ISERROR(MATCH('Analysis backend'!$M$1,E210:N210,0)),"",'Analysis backend'!$L$1)</f>
        <v/>
      </c>
      <c r="U210" t="str">
        <f>IF(T210='Analysis backend'!$L$1,IF(ISERROR(MATCH('Analysis backend'!$M$1,E210:I210,0)),"Dire","Radiant"),"")</f>
        <v/>
      </c>
    </row>
    <row r="211" spans="1:21" x14ac:dyDescent="0.3">
      <c r="A211">
        <v>4256576548</v>
      </c>
      <c r="B211">
        <v>1544054784</v>
      </c>
      <c r="C211">
        <v>6706</v>
      </c>
      <c r="D211" t="b">
        <v>0</v>
      </c>
      <c r="E211">
        <v>44</v>
      </c>
      <c r="F211">
        <v>2</v>
      </c>
      <c r="G211">
        <v>121</v>
      </c>
      <c r="H211">
        <v>112</v>
      </c>
      <c r="I211">
        <v>79</v>
      </c>
      <c r="J211">
        <v>64</v>
      </c>
      <c r="K211">
        <v>39</v>
      </c>
      <c r="L211">
        <v>93</v>
      </c>
      <c r="M211">
        <v>92</v>
      </c>
      <c r="N211">
        <v>16</v>
      </c>
      <c r="O211">
        <v>97</v>
      </c>
      <c r="P211">
        <v>76</v>
      </c>
      <c r="Q211">
        <v>17</v>
      </c>
      <c r="T211" t="str">
        <f>IF(ISERROR(MATCH('Analysis backend'!$M$1,E211:N211,0)),"",'Analysis backend'!$L$1)</f>
        <v>Phantom Assassin</v>
      </c>
      <c r="U211" t="str">
        <f>IF(T211='Analysis backend'!$L$1,IF(ISERROR(MATCH('Analysis backend'!$M$1,E211:I211,0)),"Dire","Radiant"),"")</f>
        <v>Radiant</v>
      </c>
    </row>
    <row r="212" spans="1:21" x14ac:dyDescent="0.3">
      <c r="A212">
        <v>4256587416</v>
      </c>
      <c r="B212">
        <v>1544055680</v>
      </c>
      <c r="C212">
        <v>7200</v>
      </c>
      <c r="D212" t="b">
        <v>0</v>
      </c>
      <c r="E212">
        <v>72</v>
      </c>
      <c r="F212">
        <v>25</v>
      </c>
      <c r="G212">
        <v>97</v>
      </c>
      <c r="H212">
        <v>93</v>
      </c>
      <c r="I212">
        <v>50</v>
      </c>
      <c r="J212">
        <v>76</v>
      </c>
      <c r="K212">
        <v>69</v>
      </c>
      <c r="L212">
        <v>85</v>
      </c>
      <c r="M212">
        <v>107</v>
      </c>
      <c r="N212">
        <v>44</v>
      </c>
      <c r="O212">
        <v>31</v>
      </c>
      <c r="P212">
        <v>80</v>
      </c>
      <c r="T212" t="str">
        <f>IF(ISERROR(MATCH('Analysis backend'!$M$1,E212:N212,0)),"",'Analysis backend'!$L$1)</f>
        <v>Phantom Assassin</v>
      </c>
      <c r="U212" t="str">
        <f>IF(T212='Analysis backend'!$L$1,IF(ISERROR(MATCH('Analysis backend'!$M$1,E212:I212,0)),"Dire","Radiant"),"")</f>
        <v>Dire</v>
      </c>
    </row>
    <row r="213" spans="1:21" x14ac:dyDescent="0.3">
      <c r="A213">
        <v>4256586460</v>
      </c>
      <c r="B213">
        <v>1544055680</v>
      </c>
      <c r="C213">
        <v>6951</v>
      </c>
      <c r="D213" t="b">
        <v>1</v>
      </c>
      <c r="E213">
        <v>84</v>
      </c>
      <c r="F213">
        <v>80</v>
      </c>
      <c r="G213">
        <v>68</v>
      </c>
      <c r="H213">
        <v>45</v>
      </c>
      <c r="I213">
        <v>93</v>
      </c>
      <c r="J213">
        <v>38</v>
      </c>
      <c r="K213">
        <v>19</v>
      </c>
      <c r="L213">
        <v>76</v>
      </c>
      <c r="M213">
        <v>44</v>
      </c>
      <c r="N213">
        <v>7</v>
      </c>
      <c r="O213">
        <v>97</v>
      </c>
      <c r="T213" t="str">
        <f>IF(ISERROR(MATCH('Analysis backend'!$M$1,E213:N213,0)),"",'Analysis backend'!$L$1)</f>
        <v>Phantom Assassin</v>
      </c>
      <c r="U213" t="str">
        <f>IF(T213='Analysis backend'!$L$1,IF(ISERROR(MATCH('Analysis backend'!$M$1,E213:I213,0)),"Dire","Radiant"),"")</f>
        <v>Dire</v>
      </c>
    </row>
    <row r="214" spans="1:21" x14ac:dyDescent="0.3">
      <c r="A214">
        <v>4256592928</v>
      </c>
      <c r="B214">
        <v>1544056576</v>
      </c>
      <c r="C214">
        <v>6871</v>
      </c>
      <c r="D214" t="b">
        <v>1</v>
      </c>
      <c r="E214">
        <v>50</v>
      </c>
      <c r="F214">
        <v>20</v>
      </c>
      <c r="G214">
        <v>21</v>
      </c>
      <c r="H214">
        <v>48</v>
      </c>
      <c r="I214">
        <v>6</v>
      </c>
      <c r="J214">
        <v>84</v>
      </c>
      <c r="K214">
        <v>8</v>
      </c>
      <c r="L214">
        <v>39</v>
      </c>
      <c r="M214">
        <v>79</v>
      </c>
      <c r="N214">
        <v>110</v>
      </c>
      <c r="O214">
        <v>44</v>
      </c>
      <c r="P214">
        <v>97</v>
      </c>
      <c r="T214" t="str">
        <f>IF(ISERROR(MATCH('Analysis backend'!$M$1,E214:N214,0)),"",'Analysis backend'!$L$1)</f>
        <v/>
      </c>
      <c r="U214" t="str">
        <f>IF(T214='Analysis backend'!$L$1,IF(ISERROR(MATCH('Analysis backend'!$M$1,E214:I214,0)),"Dire","Radiant"),"")</f>
        <v/>
      </c>
    </row>
    <row r="215" spans="1:21" x14ac:dyDescent="0.3">
      <c r="A215">
        <v>4256593403</v>
      </c>
      <c r="B215">
        <v>1544056576</v>
      </c>
      <c r="C215">
        <v>6826</v>
      </c>
      <c r="D215" t="b">
        <v>1</v>
      </c>
      <c r="E215">
        <v>16</v>
      </c>
      <c r="F215">
        <v>91</v>
      </c>
      <c r="G215">
        <v>41</v>
      </c>
      <c r="H215">
        <v>40</v>
      </c>
      <c r="I215">
        <v>50</v>
      </c>
      <c r="J215">
        <v>80</v>
      </c>
      <c r="K215">
        <v>121</v>
      </c>
      <c r="L215">
        <v>112</v>
      </c>
      <c r="M215">
        <v>44</v>
      </c>
      <c r="N215">
        <v>97</v>
      </c>
      <c r="O215">
        <v>14</v>
      </c>
      <c r="P215">
        <v>76</v>
      </c>
      <c r="T215" t="str">
        <f>IF(ISERROR(MATCH('Analysis backend'!$M$1,E215:N215,0)),"",'Analysis backend'!$L$1)</f>
        <v>Phantom Assassin</v>
      </c>
      <c r="U215" t="str">
        <f>IF(T215='Analysis backend'!$L$1,IF(ISERROR(MATCH('Analysis backend'!$M$1,E215:I215,0)),"Dire","Radiant"),"")</f>
        <v>Dire</v>
      </c>
    </row>
    <row r="216" spans="1:21" x14ac:dyDescent="0.3">
      <c r="A216">
        <v>4256605559</v>
      </c>
      <c r="B216">
        <v>1544057344</v>
      </c>
      <c r="C216">
        <v>7168</v>
      </c>
      <c r="D216" t="b">
        <v>0</v>
      </c>
      <c r="E216">
        <v>78</v>
      </c>
      <c r="F216">
        <v>76</v>
      </c>
      <c r="G216">
        <v>37</v>
      </c>
      <c r="H216">
        <v>86</v>
      </c>
      <c r="I216">
        <v>44</v>
      </c>
      <c r="J216">
        <v>97</v>
      </c>
      <c r="K216">
        <v>109</v>
      </c>
      <c r="L216">
        <v>121</v>
      </c>
      <c r="M216">
        <v>45</v>
      </c>
      <c r="N216">
        <v>30</v>
      </c>
      <c r="O216">
        <v>6</v>
      </c>
      <c r="P216">
        <v>2</v>
      </c>
      <c r="Q216">
        <v>82</v>
      </c>
      <c r="T216" t="str">
        <f>IF(ISERROR(MATCH('Analysis backend'!$M$1,E216:N216,0)),"",'Analysis backend'!$L$1)</f>
        <v>Phantom Assassin</v>
      </c>
      <c r="U216" t="str">
        <f>IF(T216='Analysis backend'!$L$1,IF(ISERROR(MATCH('Analysis backend'!$M$1,E216:I216,0)),"Dire","Radiant"),"")</f>
        <v>Radiant</v>
      </c>
    </row>
    <row r="217" spans="1:21" x14ac:dyDescent="0.3">
      <c r="A217">
        <v>4256604525</v>
      </c>
      <c r="B217">
        <v>1544057344</v>
      </c>
      <c r="C217">
        <v>7044</v>
      </c>
      <c r="T217" t="str">
        <f>IF(ISERROR(MATCH('Analysis backend'!$M$1,E217:N217,0)),"",'Analysis backend'!$L$1)</f>
        <v/>
      </c>
      <c r="U217" t="str">
        <f>IF(T217='Analysis backend'!$L$1,IF(ISERROR(MATCH('Analysis backend'!$M$1,E217:I217,0)),"Dire","Radiant"),"")</f>
        <v/>
      </c>
    </row>
    <row r="218" spans="1:21" x14ac:dyDescent="0.3">
      <c r="A218">
        <v>4256602524</v>
      </c>
      <c r="B218">
        <v>1544057344</v>
      </c>
      <c r="C218">
        <v>6862</v>
      </c>
      <c r="D218" t="b">
        <v>1</v>
      </c>
      <c r="E218">
        <v>93</v>
      </c>
      <c r="F218">
        <v>106</v>
      </c>
      <c r="G218">
        <v>3</v>
      </c>
      <c r="H218">
        <v>121</v>
      </c>
      <c r="I218">
        <v>16</v>
      </c>
      <c r="J218">
        <v>86</v>
      </c>
      <c r="K218">
        <v>44</v>
      </c>
      <c r="L218">
        <v>114</v>
      </c>
      <c r="M218">
        <v>41</v>
      </c>
      <c r="N218">
        <v>112</v>
      </c>
      <c r="O218">
        <v>34</v>
      </c>
      <c r="P218">
        <v>97</v>
      </c>
      <c r="T218" t="str">
        <f>IF(ISERROR(MATCH('Analysis backend'!$M$1,E218:N218,0)),"",'Analysis backend'!$L$1)</f>
        <v>Phantom Assassin</v>
      </c>
      <c r="U218" t="str">
        <f>IF(T218='Analysis backend'!$L$1,IF(ISERROR(MATCH('Analysis backend'!$M$1,E218:I218,0)),"Dire","Radiant"),"")</f>
        <v>Dire</v>
      </c>
    </row>
    <row r="219" spans="1:21" x14ac:dyDescent="0.3">
      <c r="A219">
        <v>4256609887</v>
      </c>
      <c r="B219">
        <v>1544057472</v>
      </c>
      <c r="C219">
        <v>7299</v>
      </c>
      <c r="D219" t="b">
        <v>0</v>
      </c>
      <c r="E219">
        <v>72</v>
      </c>
      <c r="F219">
        <v>50</v>
      </c>
      <c r="G219">
        <v>95</v>
      </c>
      <c r="H219">
        <v>107</v>
      </c>
      <c r="I219">
        <v>86</v>
      </c>
      <c r="J219">
        <v>76</v>
      </c>
      <c r="K219">
        <v>97</v>
      </c>
      <c r="L219">
        <v>25</v>
      </c>
      <c r="M219">
        <v>44</v>
      </c>
      <c r="N219">
        <v>31</v>
      </c>
      <c r="O219">
        <v>121</v>
      </c>
      <c r="P219">
        <v>45</v>
      </c>
      <c r="T219" t="str">
        <f>IF(ISERROR(MATCH('Analysis backend'!$M$1,E219:N219,0)),"",'Analysis backend'!$L$1)</f>
        <v>Phantom Assassin</v>
      </c>
      <c r="U219" t="str">
        <f>IF(T219='Analysis backend'!$L$1,IF(ISERROR(MATCH('Analysis backend'!$M$1,E219:I219,0)),"Dire","Radiant"),"")</f>
        <v>Dire</v>
      </c>
    </row>
    <row r="220" spans="1:21" x14ac:dyDescent="0.3">
      <c r="A220">
        <v>4256614511</v>
      </c>
      <c r="B220">
        <v>1544057856</v>
      </c>
      <c r="C220">
        <v>7157</v>
      </c>
      <c r="D220" t="b">
        <v>0</v>
      </c>
      <c r="E220">
        <v>19</v>
      </c>
      <c r="F220">
        <v>41</v>
      </c>
      <c r="G220">
        <v>80</v>
      </c>
      <c r="H220">
        <v>96</v>
      </c>
      <c r="I220">
        <v>50</v>
      </c>
      <c r="J220">
        <v>98</v>
      </c>
      <c r="K220">
        <v>16</v>
      </c>
      <c r="L220">
        <v>31</v>
      </c>
      <c r="M220">
        <v>121</v>
      </c>
      <c r="N220">
        <v>1</v>
      </c>
      <c r="O220">
        <v>44</v>
      </c>
      <c r="P220">
        <v>97</v>
      </c>
      <c r="Q220">
        <v>35</v>
      </c>
      <c r="T220" t="str">
        <f>IF(ISERROR(MATCH('Analysis backend'!$M$1,E220:N220,0)),"",'Analysis backend'!$L$1)</f>
        <v/>
      </c>
      <c r="U220" t="str">
        <f>IF(T220='Analysis backend'!$L$1,IF(ISERROR(MATCH('Analysis backend'!$M$1,E220:I220,0)),"Dire","Radiant"),"")</f>
        <v/>
      </c>
    </row>
    <row r="221" spans="1:21" x14ac:dyDescent="0.3">
      <c r="A221">
        <v>4256612196</v>
      </c>
      <c r="B221">
        <v>1544057728</v>
      </c>
      <c r="C221">
        <v>6863</v>
      </c>
      <c r="D221" t="b">
        <v>0</v>
      </c>
      <c r="E221">
        <v>31</v>
      </c>
      <c r="F221">
        <v>101</v>
      </c>
      <c r="G221">
        <v>74</v>
      </c>
      <c r="H221">
        <v>78</v>
      </c>
      <c r="I221">
        <v>41</v>
      </c>
      <c r="J221">
        <v>103</v>
      </c>
      <c r="K221">
        <v>13</v>
      </c>
      <c r="L221">
        <v>111</v>
      </c>
      <c r="M221">
        <v>44</v>
      </c>
      <c r="N221">
        <v>97</v>
      </c>
      <c r="O221">
        <v>76</v>
      </c>
      <c r="P221">
        <v>1</v>
      </c>
      <c r="T221" t="str">
        <f>IF(ISERROR(MATCH('Analysis backend'!$M$1,E221:N221,0)),"",'Analysis backend'!$L$1)</f>
        <v>Phantom Assassin</v>
      </c>
      <c r="U221" t="str">
        <f>IF(T221='Analysis backend'!$L$1,IF(ISERROR(MATCH('Analysis backend'!$M$1,E221:I221,0)),"Dire","Radiant"),"")</f>
        <v>Dire</v>
      </c>
    </row>
    <row r="222" spans="1:21" x14ac:dyDescent="0.3">
      <c r="A222">
        <v>4256618634</v>
      </c>
      <c r="B222">
        <v>1544058240</v>
      </c>
      <c r="C222">
        <v>6836</v>
      </c>
      <c r="D222" t="b">
        <v>0</v>
      </c>
      <c r="E222">
        <v>86</v>
      </c>
      <c r="F222">
        <v>93</v>
      </c>
      <c r="G222">
        <v>110</v>
      </c>
      <c r="H222">
        <v>85</v>
      </c>
      <c r="I222">
        <v>97</v>
      </c>
      <c r="J222">
        <v>50</v>
      </c>
      <c r="K222">
        <v>2</v>
      </c>
      <c r="L222">
        <v>107</v>
      </c>
      <c r="M222">
        <v>1</v>
      </c>
      <c r="N222">
        <v>76</v>
      </c>
      <c r="O222">
        <v>44</v>
      </c>
      <c r="T222" t="str">
        <f>IF(ISERROR(MATCH('Analysis backend'!$M$1,E222:N222,0)),"",'Analysis backend'!$L$1)</f>
        <v/>
      </c>
      <c r="U222" t="str">
        <f>IF(T222='Analysis backend'!$L$1,IF(ISERROR(MATCH('Analysis backend'!$M$1,E222:I222,0)),"Dire","Radiant"),"")</f>
        <v/>
      </c>
    </row>
    <row r="223" spans="1:21" x14ac:dyDescent="0.3">
      <c r="A223">
        <v>4256619801</v>
      </c>
      <c r="B223">
        <v>1544058368</v>
      </c>
      <c r="C223">
        <v>6766</v>
      </c>
      <c r="D223" t="b">
        <v>1</v>
      </c>
      <c r="E223">
        <v>9</v>
      </c>
      <c r="F223">
        <v>41</v>
      </c>
      <c r="G223">
        <v>6</v>
      </c>
      <c r="H223">
        <v>100</v>
      </c>
      <c r="I223">
        <v>31</v>
      </c>
      <c r="J223">
        <v>25</v>
      </c>
      <c r="K223">
        <v>91</v>
      </c>
      <c r="L223">
        <v>72</v>
      </c>
      <c r="M223">
        <v>4</v>
      </c>
      <c r="N223">
        <v>27</v>
      </c>
      <c r="O223">
        <v>97</v>
      </c>
      <c r="P223">
        <v>59</v>
      </c>
      <c r="Q223">
        <v>44</v>
      </c>
      <c r="T223" t="str">
        <f>IF(ISERROR(MATCH('Analysis backend'!$M$1,E223:N223,0)),"",'Analysis backend'!$L$1)</f>
        <v/>
      </c>
      <c r="U223" t="str">
        <f>IF(T223='Analysis backend'!$L$1,IF(ISERROR(MATCH('Analysis backend'!$M$1,E223:I223,0)),"Dire","Radiant"),"")</f>
        <v/>
      </c>
    </row>
    <row r="224" spans="1:21" x14ac:dyDescent="0.3">
      <c r="A224">
        <v>4256610600</v>
      </c>
      <c r="B224">
        <v>1544057600</v>
      </c>
      <c r="C224">
        <v>6718</v>
      </c>
      <c r="D224" t="b">
        <v>0</v>
      </c>
      <c r="E224">
        <v>100</v>
      </c>
      <c r="F224">
        <v>30</v>
      </c>
      <c r="G224">
        <v>67</v>
      </c>
      <c r="H224">
        <v>38</v>
      </c>
      <c r="I224">
        <v>76</v>
      </c>
      <c r="J224">
        <v>50</v>
      </c>
      <c r="K224">
        <v>107</v>
      </c>
      <c r="L224">
        <v>84</v>
      </c>
      <c r="M224">
        <v>109</v>
      </c>
      <c r="N224">
        <v>106</v>
      </c>
      <c r="O224">
        <v>46</v>
      </c>
      <c r="P224">
        <v>44</v>
      </c>
      <c r="T224" t="str">
        <f>IF(ISERROR(MATCH('Analysis backend'!$M$1,E224:N224,0)),"",'Analysis backend'!$L$1)</f>
        <v/>
      </c>
      <c r="U224" t="str">
        <f>IF(T224='Analysis backend'!$L$1,IF(ISERROR(MATCH('Analysis backend'!$M$1,E224:I224,0)),"Dire","Radiant"),"")</f>
        <v/>
      </c>
    </row>
    <row r="225" spans="1:21" x14ac:dyDescent="0.3">
      <c r="A225">
        <v>4256617528</v>
      </c>
      <c r="B225">
        <v>1544058112</v>
      </c>
      <c r="C225">
        <v>6724</v>
      </c>
      <c r="D225" t="b">
        <v>0</v>
      </c>
      <c r="E225">
        <v>90</v>
      </c>
      <c r="F225">
        <v>84</v>
      </c>
      <c r="G225">
        <v>38</v>
      </c>
      <c r="H225">
        <v>103</v>
      </c>
      <c r="I225">
        <v>109</v>
      </c>
      <c r="J225">
        <v>98</v>
      </c>
      <c r="K225">
        <v>97</v>
      </c>
      <c r="L225">
        <v>16</v>
      </c>
      <c r="M225">
        <v>93</v>
      </c>
      <c r="N225">
        <v>100</v>
      </c>
      <c r="O225">
        <v>94</v>
      </c>
      <c r="P225">
        <v>44</v>
      </c>
      <c r="Q225">
        <v>1</v>
      </c>
      <c r="T225" t="str">
        <f>IF(ISERROR(MATCH('Analysis backend'!$M$1,E225:N225,0)),"",'Analysis backend'!$L$1)</f>
        <v/>
      </c>
      <c r="U225" t="str">
        <f>IF(T225='Analysis backend'!$L$1,IF(ISERROR(MATCH('Analysis backend'!$M$1,E225:I225,0)),"Dire","Radiant"),"")</f>
        <v/>
      </c>
    </row>
    <row r="226" spans="1:21" x14ac:dyDescent="0.3">
      <c r="A226">
        <v>4256624347</v>
      </c>
      <c r="B226">
        <v>1544058752</v>
      </c>
      <c r="C226">
        <v>6840</v>
      </c>
      <c r="D226" t="b">
        <v>0</v>
      </c>
      <c r="E226">
        <v>18</v>
      </c>
      <c r="F226">
        <v>97</v>
      </c>
      <c r="G226">
        <v>1</v>
      </c>
      <c r="H226">
        <v>76</v>
      </c>
      <c r="I226">
        <v>110</v>
      </c>
      <c r="J226">
        <v>121</v>
      </c>
      <c r="K226">
        <v>93</v>
      </c>
      <c r="L226">
        <v>86</v>
      </c>
      <c r="M226">
        <v>40</v>
      </c>
      <c r="N226">
        <v>50</v>
      </c>
      <c r="O226">
        <v>59</v>
      </c>
      <c r="P226">
        <v>8</v>
      </c>
      <c r="T226" t="str">
        <f>IF(ISERROR(MATCH('Analysis backend'!$M$1,E226:N226,0)),"",'Analysis backend'!$L$1)</f>
        <v/>
      </c>
      <c r="U226" t="str">
        <f>IF(T226='Analysis backend'!$L$1,IF(ISERROR(MATCH('Analysis backend'!$M$1,E226:I226,0)),"Dire","Radiant"),"")</f>
        <v/>
      </c>
    </row>
    <row r="227" spans="1:21" x14ac:dyDescent="0.3">
      <c r="A227">
        <v>4256628306</v>
      </c>
      <c r="B227">
        <v>1544059136</v>
      </c>
      <c r="C227">
        <v>6766</v>
      </c>
      <c r="D227" t="b">
        <v>1</v>
      </c>
      <c r="E227">
        <v>114</v>
      </c>
      <c r="F227">
        <v>101</v>
      </c>
      <c r="G227">
        <v>2</v>
      </c>
      <c r="H227">
        <v>3</v>
      </c>
      <c r="I227">
        <v>50</v>
      </c>
      <c r="J227">
        <v>31</v>
      </c>
      <c r="K227">
        <v>33</v>
      </c>
      <c r="L227">
        <v>97</v>
      </c>
      <c r="M227">
        <v>12</v>
      </c>
      <c r="N227">
        <v>10</v>
      </c>
      <c r="O227">
        <v>1</v>
      </c>
      <c r="P227">
        <v>44</v>
      </c>
      <c r="T227" t="str">
        <f>IF(ISERROR(MATCH('Analysis backend'!$M$1,E227:N227,0)),"",'Analysis backend'!$L$1)</f>
        <v/>
      </c>
      <c r="U227" t="str">
        <f>IF(T227='Analysis backend'!$L$1,IF(ISERROR(MATCH('Analysis backend'!$M$1,E227:I227,0)),"Dire","Radiant"),"")</f>
        <v/>
      </c>
    </row>
    <row r="228" spans="1:21" x14ac:dyDescent="0.3">
      <c r="A228">
        <v>4256628225</v>
      </c>
      <c r="B228">
        <v>1544059136</v>
      </c>
      <c r="C228">
        <v>6682</v>
      </c>
      <c r="D228" t="b">
        <v>1</v>
      </c>
      <c r="E228">
        <v>26</v>
      </c>
      <c r="F228">
        <v>7</v>
      </c>
      <c r="G228">
        <v>22</v>
      </c>
      <c r="H228">
        <v>44</v>
      </c>
      <c r="I228">
        <v>45</v>
      </c>
      <c r="J228">
        <v>97</v>
      </c>
      <c r="K228">
        <v>2</v>
      </c>
      <c r="L228">
        <v>6</v>
      </c>
      <c r="M228">
        <v>93</v>
      </c>
      <c r="N228">
        <v>31</v>
      </c>
      <c r="O228">
        <v>34</v>
      </c>
      <c r="P228">
        <v>114</v>
      </c>
      <c r="Q228">
        <v>88</v>
      </c>
      <c r="T228" t="str">
        <f>IF(ISERROR(MATCH('Analysis backend'!$M$1,E228:N228,0)),"",'Analysis backend'!$L$1)</f>
        <v>Phantom Assassin</v>
      </c>
      <c r="U228" t="str">
        <f>IF(T228='Analysis backend'!$L$1,IF(ISERROR(MATCH('Analysis backend'!$M$1,E228:I228,0)),"Dire","Radiant"),"")</f>
        <v>Radiant</v>
      </c>
    </row>
    <row r="229" spans="1:21" x14ac:dyDescent="0.3">
      <c r="A229">
        <v>4256629062</v>
      </c>
      <c r="B229">
        <v>1544059264</v>
      </c>
      <c r="C229">
        <v>6968</v>
      </c>
      <c r="D229" t="b">
        <v>1</v>
      </c>
      <c r="E229">
        <v>95</v>
      </c>
      <c r="F229">
        <v>97</v>
      </c>
      <c r="G229">
        <v>65</v>
      </c>
      <c r="H229">
        <v>68</v>
      </c>
      <c r="I229">
        <v>1</v>
      </c>
      <c r="J229">
        <v>44</v>
      </c>
      <c r="K229">
        <v>121</v>
      </c>
      <c r="L229">
        <v>2</v>
      </c>
      <c r="M229">
        <v>56</v>
      </c>
      <c r="N229">
        <v>79</v>
      </c>
      <c r="O229">
        <v>120</v>
      </c>
      <c r="P229">
        <v>82</v>
      </c>
      <c r="Q229">
        <v>50</v>
      </c>
      <c r="R229">
        <v>93</v>
      </c>
      <c r="T229" t="str">
        <f>IF(ISERROR(MATCH('Analysis backend'!$M$1,E229:N229,0)),"",'Analysis backend'!$L$1)</f>
        <v>Phantom Assassin</v>
      </c>
      <c r="U229" t="str">
        <f>IF(T229='Analysis backend'!$L$1,IF(ISERROR(MATCH('Analysis backend'!$M$1,E229:I229,0)),"Dire","Radiant"),"")</f>
        <v>Dire</v>
      </c>
    </row>
    <row r="230" spans="1:21" x14ac:dyDescent="0.3">
      <c r="A230">
        <v>4256634691</v>
      </c>
      <c r="B230">
        <v>1544059776</v>
      </c>
      <c r="C230">
        <v>6690</v>
      </c>
      <c r="D230" t="b">
        <v>0</v>
      </c>
      <c r="E230">
        <v>103</v>
      </c>
      <c r="F230">
        <v>93</v>
      </c>
      <c r="G230">
        <v>111</v>
      </c>
      <c r="H230">
        <v>50</v>
      </c>
      <c r="I230">
        <v>59</v>
      </c>
      <c r="J230">
        <v>13</v>
      </c>
      <c r="K230">
        <v>75</v>
      </c>
      <c r="L230">
        <v>6</v>
      </c>
      <c r="M230">
        <v>41</v>
      </c>
      <c r="N230">
        <v>31</v>
      </c>
      <c r="O230">
        <v>97</v>
      </c>
      <c r="P230">
        <v>44</v>
      </c>
      <c r="Q230">
        <v>46</v>
      </c>
      <c r="T230" t="str">
        <f>IF(ISERROR(MATCH('Analysis backend'!$M$1,E230:N230,0)),"",'Analysis backend'!$L$1)</f>
        <v/>
      </c>
      <c r="U230" t="str">
        <f>IF(T230='Analysis backend'!$L$1,IF(ISERROR(MATCH('Analysis backend'!$M$1,E230:I230,0)),"Dire","Radiant"),"")</f>
        <v/>
      </c>
    </row>
    <row r="231" spans="1:21" x14ac:dyDescent="0.3">
      <c r="A231">
        <v>4256636772</v>
      </c>
      <c r="B231">
        <v>1544059904</v>
      </c>
      <c r="C231">
        <v>6981</v>
      </c>
      <c r="D231" t="b">
        <v>1</v>
      </c>
      <c r="E231">
        <v>13</v>
      </c>
      <c r="F231">
        <v>44</v>
      </c>
      <c r="G231">
        <v>112</v>
      </c>
      <c r="H231">
        <v>121</v>
      </c>
      <c r="I231">
        <v>103</v>
      </c>
      <c r="J231">
        <v>109</v>
      </c>
      <c r="K231">
        <v>34</v>
      </c>
      <c r="L231">
        <v>111</v>
      </c>
      <c r="M231">
        <v>110</v>
      </c>
      <c r="N231">
        <v>78</v>
      </c>
      <c r="O231">
        <v>106</v>
      </c>
      <c r="P231">
        <v>68</v>
      </c>
      <c r="Q231">
        <v>97</v>
      </c>
      <c r="T231" t="str">
        <f>IF(ISERROR(MATCH('Analysis backend'!$M$1,E231:N231,0)),"",'Analysis backend'!$L$1)</f>
        <v>Phantom Assassin</v>
      </c>
      <c r="U231" t="str">
        <f>IF(T231='Analysis backend'!$L$1,IF(ISERROR(MATCH('Analysis backend'!$M$1,E231:I231,0)),"Dire","Radiant"),"")</f>
        <v>Radiant</v>
      </c>
    </row>
    <row r="232" spans="1:21" x14ac:dyDescent="0.3">
      <c r="A232">
        <v>4256640814</v>
      </c>
      <c r="B232">
        <v>1544060288</v>
      </c>
      <c r="C232">
        <v>6764</v>
      </c>
      <c r="D232" t="b">
        <v>1</v>
      </c>
      <c r="E232">
        <v>50</v>
      </c>
      <c r="F232">
        <v>78</v>
      </c>
      <c r="G232">
        <v>109</v>
      </c>
      <c r="H232">
        <v>114</v>
      </c>
      <c r="I232">
        <v>101</v>
      </c>
      <c r="J232">
        <v>26</v>
      </c>
      <c r="K232">
        <v>76</v>
      </c>
      <c r="L232">
        <v>71</v>
      </c>
      <c r="M232">
        <v>8</v>
      </c>
      <c r="N232">
        <v>86</v>
      </c>
      <c r="O232">
        <v>44</v>
      </c>
      <c r="P232">
        <v>75</v>
      </c>
      <c r="Q232">
        <v>97</v>
      </c>
      <c r="T232" t="str">
        <f>IF(ISERROR(MATCH('Analysis backend'!$M$1,E232:N232,0)),"",'Analysis backend'!$L$1)</f>
        <v/>
      </c>
      <c r="U232" t="str">
        <f>IF(T232='Analysis backend'!$L$1,IF(ISERROR(MATCH('Analysis backend'!$M$1,E232:I232,0)),"Dire","Radiant"),"")</f>
        <v/>
      </c>
    </row>
    <row r="233" spans="1:21" x14ac:dyDescent="0.3">
      <c r="A233">
        <v>4256637835</v>
      </c>
      <c r="B233">
        <v>1544060032</v>
      </c>
      <c r="C233">
        <v>6714</v>
      </c>
      <c r="D233" t="b">
        <v>0</v>
      </c>
      <c r="E233">
        <v>59</v>
      </c>
      <c r="F233">
        <v>16</v>
      </c>
      <c r="G233">
        <v>31</v>
      </c>
      <c r="H233">
        <v>121</v>
      </c>
      <c r="I233">
        <v>93</v>
      </c>
      <c r="J233">
        <v>83</v>
      </c>
      <c r="K233">
        <v>86</v>
      </c>
      <c r="L233">
        <v>19</v>
      </c>
      <c r="M233">
        <v>8</v>
      </c>
      <c r="N233">
        <v>96</v>
      </c>
      <c r="O233">
        <v>13</v>
      </c>
      <c r="P233">
        <v>44</v>
      </c>
      <c r="Q233">
        <v>97</v>
      </c>
      <c r="T233" t="str">
        <f>IF(ISERROR(MATCH('Analysis backend'!$M$1,E233:N233,0)),"",'Analysis backend'!$L$1)</f>
        <v/>
      </c>
      <c r="U233" t="str">
        <f>IF(T233='Analysis backend'!$L$1,IF(ISERROR(MATCH('Analysis backend'!$M$1,E233:I233,0)),"Dire","Radiant"),"")</f>
        <v/>
      </c>
    </row>
    <row r="234" spans="1:21" x14ac:dyDescent="0.3">
      <c r="A234">
        <v>4256641771</v>
      </c>
      <c r="B234">
        <v>1544060416</v>
      </c>
      <c r="C234">
        <v>7066</v>
      </c>
      <c r="D234" t="b">
        <v>0</v>
      </c>
      <c r="E234">
        <v>67</v>
      </c>
      <c r="F234">
        <v>111</v>
      </c>
      <c r="G234">
        <v>86</v>
      </c>
      <c r="H234">
        <v>2</v>
      </c>
      <c r="I234">
        <v>49</v>
      </c>
      <c r="J234">
        <v>33</v>
      </c>
      <c r="K234">
        <v>109</v>
      </c>
      <c r="L234">
        <v>74</v>
      </c>
      <c r="M234">
        <v>7</v>
      </c>
      <c r="N234">
        <v>50</v>
      </c>
      <c r="O234">
        <v>34</v>
      </c>
      <c r="P234">
        <v>44</v>
      </c>
      <c r="T234" t="str">
        <f>IF(ISERROR(MATCH('Analysis backend'!$M$1,E234:N234,0)),"",'Analysis backend'!$L$1)</f>
        <v/>
      </c>
      <c r="U234" t="str">
        <f>IF(T234='Analysis backend'!$L$1,IF(ISERROR(MATCH('Analysis backend'!$M$1,E234:I234,0)),"Dire","Radiant"),"")</f>
        <v/>
      </c>
    </row>
    <row r="235" spans="1:21" x14ac:dyDescent="0.3">
      <c r="A235">
        <v>4256643417</v>
      </c>
      <c r="B235">
        <v>1544060544</v>
      </c>
      <c r="C235">
        <v>6887</v>
      </c>
      <c r="D235" t="b">
        <v>1</v>
      </c>
      <c r="E235">
        <v>44</v>
      </c>
      <c r="F235">
        <v>46</v>
      </c>
      <c r="G235">
        <v>33</v>
      </c>
      <c r="H235">
        <v>50</v>
      </c>
      <c r="I235">
        <v>100</v>
      </c>
      <c r="J235">
        <v>114</v>
      </c>
      <c r="K235">
        <v>97</v>
      </c>
      <c r="L235">
        <v>93</v>
      </c>
      <c r="M235">
        <v>26</v>
      </c>
      <c r="N235">
        <v>86</v>
      </c>
      <c r="O235">
        <v>41</v>
      </c>
      <c r="T235" t="str">
        <f>IF(ISERROR(MATCH('Analysis backend'!$M$1,E235:N235,0)),"",'Analysis backend'!$L$1)</f>
        <v>Phantom Assassin</v>
      </c>
      <c r="U235" t="str">
        <f>IF(T235='Analysis backend'!$L$1,IF(ISERROR(MATCH('Analysis backend'!$M$1,E235:I235,0)),"Dire","Radiant"),"")</f>
        <v>Radiant</v>
      </c>
    </row>
    <row r="236" spans="1:21" x14ac:dyDescent="0.3">
      <c r="A236">
        <v>4256644814</v>
      </c>
      <c r="B236">
        <v>1544060672</v>
      </c>
      <c r="C236">
        <v>6778</v>
      </c>
      <c r="D236" t="b">
        <v>0</v>
      </c>
      <c r="E236">
        <v>114</v>
      </c>
      <c r="F236">
        <v>71</v>
      </c>
      <c r="G236">
        <v>93</v>
      </c>
      <c r="H236">
        <v>64</v>
      </c>
      <c r="I236">
        <v>40</v>
      </c>
      <c r="J236">
        <v>13</v>
      </c>
      <c r="K236">
        <v>14</v>
      </c>
      <c r="L236">
        <v>1</v>
      </c>
      <c r="M236">
        <v>50</v>
      </c>
      <c r="N236">
        <v>121</v>
      </c>
      <c r="O236">
        <v>82</v>
      </c>
      <c r="P236">
        <v>97</v>
      </c>
      <c r="Q236">
        <v>44</v>
      </c>
      <c r="T236" t="str">
        <f>IF(ISERROR(MATCH('Analysis backend'!$M$1,E236:N236,0)),"",'Analysis backend'!$L$1)</f>
        <v/>
      </c>
      <c r="U236" t="str">
        <f>IF(T236='Analysis backend'!$L$1,IF(ISERROR(MATCH('Analysis backend'!$M$1,E236:I236,0)),"Dire","Radiant"),"")</f>
        <v/>
      </c>
    </row>
    <row r="237" spans="1:21" x14ac:dyDescent="0.3">
      <c r="A237">
        <v>4256648617</v>
      </c>
      <c r="B237">
        <v>1544061056</v>
      </c>
      <c r="C237">
        <v>6934</v>
      </c>
      <c r="D237" t="b">
        <v>1</v>
      </c>
      <c r="E237">
        <v>97</v>
      </c>
      <c r="F237">
        <v>109</v>
      </c>
      <c r="G237">
        <v>41</v>
      </c>
      <c r="H237">
        <v>19</v>
      </c>
      <c r="I237">
        <v>3</v>
      </c>
      <c r="J237">
        <v>50</v>
      </c>
      <c r="K237">
        <v>29</v>
      </c>
      <c r="L237">
        <v>93</v>
      </c>
      <c r="M237">
        <v>44</v>
      </c>
      <c r="N237">
        <v>121</v>
      </c>
      <c r="O237">
        <v>1</v>
      </c>
      <c r="P237">
        <v>45</v>
      </c>
      <c r="Q237">
        <v>76</v>
      </c>
      <c r="T237" t="str">
        <f>IF(ISERROR(MATCH('Analysis backend'!$M$1,E237:N237,0)),"",'Analysis backend'!$L$1)</f>
        <v>Phantom Assassin</v>
      </c>
      <c r="U237" t="str">
        <f>IF(T237='Analysis backend'!$L$1,IF(ISERROR(MATCH('Analysis backend'!$M$1,E237:I237,0)),"Dire","Radiant"),"")</f>
        <v>Dire</v>
      </c>
    </row>
    <row r="238" spans="1:21" x14ac:dyDescent="0.3">
      <c r="A238">
        <v>4256650385</v>
      </c>
      <c r="B238">
        <v>1544061184</v>
      </c>
      <c r="C238">
        <v>6695</v>
      </c>
      <c r="D238" t="b">
        <v>1</v>
      </c>
      <c r="E238">
        <v>97</v>
      </c>
      <c r="F238">
        <v>45</v>
      </c>
      <c r="G238">
        <v>94</v>
      </c>
      <c r="H238">
        <v>112</v>
      </c>
      <c r="I238">
        <v>8</v>
      </c>
      <c r="J238">
        <v>44</v>
      </c>
      <c r="K238">
        <v>76</v>
      </c>
      <c r="L238">
        <v>86</v>
      </c>
      <c r="M238">
        <v>87</v>
      </c>
      <c r="N238">
        <v>2</v>
      </c>
      <c r="O238">
        <v>34</v>
      </c>
      <c r="T238" t="str">
        <f>IF(ISERROR(MATCH('Analysis backend'!$M$1,E238:N238,0)),"",'Analysis backend'!$L$1)</f>
        <v>Phantom Assassin</v>
      </c>
      <c r="U238" t="str">
        <f>IF(T238='Analysis backend'!$L$1,IF(ISERROR(MATCH('Analysis backend'!$M$1,E238:I238,0)),"Dire","Radiant"),"")</f>
        <v>Dire</v>
      </c>
    </row>
    <row r="239" spans="1:21" x14ac:dyDescent="0.3">
      <c r="A239">
        <v>4256648114</v>
      </c>
      <c r="B239">
        <v>1544060928</v>
      </c>
      <c r="C239">
        <v>6673</v>
      </c>
      <c r="D239" t="b">
        <v>1</v>
      </c>
      <c r="E239">
        <v>121</v>
      </c>
      <c r="F239">
        <v>97</v>
      </c>
      <c r="G239">
        <v>11</v>
      </c>
      <c r="H239">
        <v>44</v>
      </c>
      <c r="I239">
        <v>103</v>
      </c>
      <c r="J239">
        <v>62</v>
      </c>
      <c r="K239">
        <v>45</v>
      </c>
      <c r="L239">
        <v>41</v>
      </c>
      <c r="M239">
        <v>86</v>
      </c>
      <c r="N239">
        <v>22</v>
      </c>
      <c r="O239">
        <v>46</v>
      </c>
      <c r="P239">
        <v>1</v>
      </c>
      <c r="Q239">
        <v>61</v>
      </c>
      <c r="T239" t="str">
        <f>IF(ISERROR(MATCH('Analysis backend'!$M$1,E239:N239,0)),"",'Analysis backend'!$L$1)</f>
        <v>Phantom Assassin</v>
      </c>
      <c r="U239" t="str">
        <f>IF(T239='Analysis backend'!$L$1,IF(ISERROR(MATCH('Analysis backend'!$M$1,E239:I239,0)),"Dire","Radiant"),"")</f>
        <v>Radiant</v>
      </c>
    </row>
    <row r="240" spans="1:21" x14ac:dyDescent="0.3">
      <c r="A240">
        <v>4256661008</v>
      </c>
      <c r="B240">
        <v>1544062080</v>
      </c>
      <c r="C240">
        <v>6971</v>
      </c>
      <c r="D240" t="b">
        <v>0</v>
      </c>
      <c r="E240">
        <v>2</v>
      </c>
      <c r="F240">
        <v>41</v>
      </c>
      <c r="G240">
        <v>10</v>
      </c>
      <c r="H240">
        <v>31</v>
      </c>
      <c r="I240">
        <v>121</v>
      </c>
      <c r="J240">
        <v>86</v>
      </c>
      <c r="K240">
        <v>16</v>
      </c>
      <c r="L240">
        <v>44</v>
      </c>
      <c r="M240">
        <v>56</v>
      </c>
      <c r="N240">
        <v>50</v>
      </c>
      <c r="O240">
        <v>34</v>
      </c>
      <c r="P240">
        <v>97</v>
      </c>
      <c r="Q240">
        <v>82</v>
      </c>
      <c r="T240" t="str">
        <f>IF(ISERROR(MATCH('Analysis backend'!$M$1,E240:N240,0)),"",'Analysis backend'!$L$1)</f>
        <v>Phantom Assassin</v>
      </c>
      <c r="U240" t="str">
        <f>IF(T240='Analysis backend'!$L$1,IF(ISERROR(MATCH('Analysis backend'!$M$1,E240:I240,0)),"Dire","Radiant"),"")</f>
        <v>Dire</v>
      </c>
    </row>
    <row r="241" spans="1:21" x14ac:dyDescent="0.3">
      <c r="A241">
        <v>4256656013</v>
      </c>
      <c r="B241">
        <v>1544061696</v>
      </c>
      <c r="C241">
        <v>6829</v>
      </c>
      <c r="D241" t="b">
        <v>0</v>
      </c>
      <c r="E241">
        <v>97</v>
      </c>
      <c r="F241">
        <v>25</v>
      </c>
      <c r="G241">
        <v>50</v>
      </c>
      <c r="H241">
        <v>16</v>
      </c>
      <c r="I241">
        <v>44</v>
      </c>
      <c r="J241">
        <v>90</v>
      </c>
      <c r="K241">
        <v>93</v>
      </c>
      <c r="L241">
        <v>45</v>
      </c>
      <c r="M241">
        <v>94</v>
      </c>
      <c r="N241">
        <v>79</v>
      </c>
      <c r="O241">
        <v>82</v>
      </c>
      <c r="P241">
        <v>34</v>
      </c>
      <c r="T241" t="str">
        <f>IF(ISERROR(MATCH('Analysis backend'!$M$1,E241:N241,0)),"",'Analysis backend'!$L$1)</f>
        <v>Phantom Assassin</v>
      </c>
      <c r="U241" t="str">
        <f>IF(T241='Analysis backend'!$L$1,IF(ISERROR(MATCH('Analysis backend'!$M$1,E241:I241,0)),"Dire","Radiant"),"")</f>
        <v>Radiant</v>
      </c>
    </row>
    <row r="242" spans="1:21" x14ac:dyDescent="0.3">
      <c r="A242">
        <v>4256655669</v>
      </c>
      <c r="B242">
        <v>1544061696</v>
      </c>
      <c r="C242">
        <v>6823</v>
      </c>
      <c r="D242" t="b">
        <v>0</v>
      </c>
      <c r="E242">
        <v>114</v>
      </c>
      <c r="F242">
        <v>80</v>
      </c>
      <c r="G242">
        <v>121</v>
      </c>
      <c r="H242">
        <v>31</v>
      </c>
      <c r="I242">
        <v>98</v>
      </c>
      <c r="J242">
        <v>3</v>
      </c>
      <c r="K242">
        <v>86</v>
      </c>
      <c r="L242">
        <v>44</v>
      </c>
      <c r="M242">
        <v>29</v>
      </c>
      <c r="N242">
        <v>97</v>
      </c>
      <c r="O242">
        <v>50</v>
      </c>
      <c r="P242">
        <v>6</v>
      </c>
      <c r="T242" t="str">
        <f>IF(ISERROR(MATCH('Analysis backend'!$M$1,E242:N242,0)),"",'Analysis backend'!$L$1)</f>
        <v>Phantom Assassin</v>
      </c>
      <c r="U242" t="str">
        <f>IF(T242='Analysis backend'!$L$1,IF(ISERROR(MATCH('Analysis backend'!$M$1,E242:I242,0)),"Dire","Radiant"),"")</f>
        <v>Dire</v>
      </c>
    </row>
    <row r="243" spans="1:21" x14ac:dyDescent="0.3">
      <c r="A243">
        <v>4256660086</v>
      </c>
      <c r="B243">
        <v>1544062080</v>
      </c>
      <c r="C243">
        <v>6764</v>
      </c>
      <c r="D243" t="b">
        <v>1</v>
      </c>
      <c r="E243">
        <v>19</v>
      </c>
      <c r="F243">
        <v>1</v>
      </c>
      <c r="G243">
        <v>100</v>
      </c>
      <c r="H243">
        <v>25</v>
      </c>
      <c r="I243">
        <v>45</v>
      </c>
      <c r="J243">
        <v>72</v>
      </c>
      <c r="K243">
        <v>101</v>
      </c>
      <c r="L243">
        <v>110</v>
      </c>
      <c r="M243">
        <v>109</v>
      </c>
      <c r="N243">
        <v>21</v>
      </c>
      <c r="O243">
        <v>97</v>
      </c>
      <c r="P243">
        <v>44</v>
      </c>
      <c r="T243" t="str">
        <f>IF(ISERROR(MATCH('Analysis backend'!$M$1,E243:N243,0)),"",'Analysis backend'!$L$1)</f>
        <v/>
      </c>
      <c r="U243" t="str">
        <f>IF(T243='Analysis backend'!$L$1,IF(ISERROR(MATCH('Analysis backend'!$M$1,E243:I243,0)),"Dire","Radiant"),"")</f>
        <v/>
      </c>
    </row>
    <row r="244" spans="1:21" x14ac:dyDescent="0.3">
      <c r="A244">
        <v>4256664894</v>
      </c>
      <c r="B244">
        <v>1544062464</v>
      </c>
      <c r="C244">
        <v>6725</v>
      </c>
      <c r="D244" t="b">
        <v>0</v>
      </c>
      <c r="E244">
        <v>84</v>
      </c>
      <c r="F244">
        <v>6</v>
      </c>
      <c r="G244">
        <v>119</v>
      </c>
      <c r="H244">
        <v>26</v>
      </c>
      <c r="I244">
        <v>46</v>
      </c>
      <c r="J244">
        <v>86</v>
      </c>
      <c r="K244">
        <v>56</v>
      </c>
      <c r="L244">
        <v>90</v>
      </c>
      <c r="M244">
        <v>1</v>
      </c>
      <c r="N244">
        <v>25</v>
      </c>
      <c r="O244">
        <v>34</v>
      </c>
      <c r="P244">
        <v>44</v>
      </c>
      <c r="Q244">
        <v>97</v>
      </c>
      <c r="T244" t="str">
        <f>IF(ISERROR(MATCH('Analysis backend'!$M$1,E244:N244,0)),"",'Analysis backend'!$L$1)</f>
        <v/>
      </c>
      <c r="U244" t="str">
        <f>IF(T244='Analysis backend'!$L$1,IF(ISERROR(MATCH('Analysis backend'!$M$1,E244:I244,0)),"Dire","Radiant"),"")</f>
        <v/>
      </c>
    </row>
    <row r="245" spans="1:21" x14ac:dyDescent="0.3">
      <c r="A245">
        <v>4256657816</v>
      </c>
      <c r="B245">
        <v>1544061824</v>
      </c>
      <c r="C245">
        <v>6662</v>
      </c>
      <c r="D245" t="b">
        <v>0</v>
      </c>
      <c r="E245">
        <v>26</v>
      </c>
      <c r="F245">
        <v>97</v>
      </c>
      <c r="G245">
        <v>41</v>
      </c>
      <c r="H245">
        <v>45</v>
      </c>
      <c r="I245">
        <v>110</v>
      </c>
      <c r="J245">
        <v>78</v>
      </c>
      <c r="K245">
        <v>121</v>
      </c>
      <c r="L245">
        <v>113</v>
      </c>
      <c r="M245">
        <v>86</v>
      </c>
      <c r="N245">
        <v>44</v>
      </c>
      <c r="O245">
        <v>77</v>
      </c>
      <c r="P245">
        <v>12</v>
      </c>
      <c r="T245" t="str">
        <f>IF(ISERROR(MATCH('Analysis backend'!$M$1,E245:N245,0)),"",'Analysis backend'!$L$1)</f>
        <v>Phantom Assassin</v>
      </c>
      <c r="U245" t="str">
        <f>IF(T245='Analysis backend'!$L$1,IF(ISERROR(MATCH('Analysis backend'!$M$1,E245:I245,0)),"Dire","Radiant"),"")</f>
        <v>Dire</v>
      </c>
    </row>
    <row r="246" spans="1:21" x14ac:dyDescent="0.3">
      <c r="A246">
        <v>4256669006</v>
      </c>
      <c r="B246">
        <v>1544062848</v>
      </c>
      <c r="C246">
        <v>6939</v>
      </c>
      <c r="D246" t="b">
        <v>0</v>
      </c>
      <c r="E246">
        <v>86</v>
      </c>
      <c r="F246">
        <v>76</v>
      </c>
      <c r="G246">
        <v>100</v>
      </c>
      <c r="H246">
        <v>29</v>
      </c>
      <c r="I246">
        <v>1</v>
      </c>
      <c r="J246">
        <v>44</v>
      </c>
      <c r="K246">
        <v>26</v>
      </c>
      <c r="L246">
        <v>97</v>
      </c>
      <c r="M246">
        <v>40</v>
      </c>
      <c r="N246">
        <v>78</v>
      </c>
      <c r="O246">
        <v>46</v>
      </c>
      <c r="P246">
        <v>80</v>
      </c>
      <c r="Q246">
        <v>93</v>
      </c>
      <c r="T246" t="str">
        <f>IF(ISERROR(MATCH('Analysis backend'!$M$1,E246:N246,0)),"",'Analysis backend'!$L$1)</f>
        <v>Phantom Assassin</v>
      </c>
      <c r="U246" t="str">
        <f>IF(T246='Analysis backend'!$L$1,IF(ISERROR(MATCH('Analysis backend'!$M$1,E246:I246,0)),"Dire","Radiant"),"")</f>
        <v>Dire</v>
      </c>
    </row>
    <row r="247" spans="1:21" x14ac:dyDescent="0.3">
      <c r="A247">
        <v>4256668930</v>
      </c>
      <c r="B247">
        <v>1544062848</v>
      </c>
      <c r="C247">
        <v>6873</v>
      </c>
      <c r="D247" t="b">
        <v>1</v>
      </c>
      <c r="E247">
        <v>21</v>
      </c>
      <c r="F247">
        <v>109</v>
      </c>
      <c r="G247">
        <v>112</v>
      </c>
      <c r="H247">
        <v>16</v>
      </c>
      <c r="I247">
        <v>10</v>
      </c>
      <c r="J247">
        <v>26</v>
      </c>
      <c r="K247">
        <v>22</v>
      </c>
      <c r="L247">
        <v>80</v>
      </c>
      <c r="M247">
        <v>93</v>
      </c>
      <c r="N247">
        <v>121</v>
      </c>
      <c r="O247">
        <v>44</v>
      </c>
      <c r="P247">
        <v>97</v>
      </c>
      <c r="Q247">
        <v>76</v>
      </c>
      <c r="T247" t="str">
        <f>IF(ISERROR(MATCH('Analysis backend'!$M$1,E247:N247,0)),"",'Analysis backend'!$L$1)</f>
        <v/>
      </c>
      <c r="U247" t="str">
        <f>IF(T247='Analysis backend'!$L$1,IF(ISERROR(MATCH('Analysis backend'!$M$1,E247:I247,0)),"Dire","Radiant"),"")</f>
        <v/>
      </c>
    </row>
    <row r="248" spans="1:21" x14ac:dyDescent="0.3">
      <c r="A248">
        <v>4256672047</v>
      </c>
      <c r="B248">
        <v>1544063104</v>
      </c>
      <c r="C248">
        <v>6643</v>
      </c>
      <c r="D248" t="b">
        <v>1</v>
      </c>
      <c r="E248">
        <v>99</v>
      </c>
      <c r="F248">
        <v>49</v>
      </c>
      <c r="G248">
        <v>71</v>
      </c>
      <c r="H248">
        <v>31</v>
      </c>
      <c r="I248">
        <v>41</v>
      </c>
      <c r="J248">
        <v>103</v>
      </c>
      <c r="K248">
        <v>101</v>
      </c>
      <c r="L248">
        <v>98</v>
      </c>
      <c r="M248">
        <v>114</v>
      </c>
      <c r="N248">
        <v>104</v>
      </c>
      <c r="O248">
        <v>80</v>
      </c>
      <c r="P248">
        <v>97</v>
      </c>
      <c r="Q248">
        <v>9</v>
      </c>
      <c r="R248">
        <v>38</v>
      </c>
      <c r="T248" t="str">
        <f>IF(ISERROR(MATCH('Analysis backend'!$M$1,E248:N248,0)),"",'Analysis backend'!$L$1)</f>
        <v/>
      </c>
      <c r="U248" t="str">
        <f>IF(T248='Analysis backend'!$L$1,IF(ISERROR(MATCH('Analysis backend'!$M$1,E248:I248,0)),"Dire","Radiant"),"")</f>
        <v/>
      </c>
    </row>
    <row r="249" spans="1:21" x14ac:dyDescent="0.3">
      <c r="A249">
        <v>4256667717</v>
      </c>
      <c r="B249">
        <v>1544062720</v>
      </c>
      <c r="C249">
        <v>6619</v>
      </c>
      <c r="D249" t="b">
        <v>0</v>
      </c>
      <c r="E249">
        <v>107</v>
      </c>
      <c r="F249">
        <v>27</v>
      </c>
      <c r="G249">
        <v>8</v>
      </c>
      <c r="H249">
        <v>97</v>
      </c>
      <c r="I249">
        <v>76</v>
      </c>
      <c r="J249">
        <v>45</v>
      </c>
      <c r="K249">
        <v>1</v>
      </c>
      <c r="L249">
        <v>3</v>
      </c>
      <c r="M249">
        <v>81</v>
      </c>
      <c r="N249">
        <v>121</v>
      </c>
      <c r="O249">
        <v>44</v>
      </c>
      <c r="P249">
        <v>82</v>
      </c>
      <c r="T249" t="str">
        <f>IF(ISERROR(MATCH('Analysis backend'!$M$1,E249:N249,0)),"",'Analysis backend'!$L$1)</f>
        <v/>
      </c>
      <c r="U249" t="str">
        <f>IF(T249='Analysis backend'!$L$1,IF(ISERROR(MATCH('Analysis backend'!$M$1,E249:I249,0)),"Dire","Radiant"),"")</f>
        <v/>
      </c>
    </row>
    <row r="250" spans="1:21" x14ac:dyDescent="0.3">
      <c r="A250">
        <v>4256681602</v>
      </c>
      <c r="B250">
        <v>1544063872</v>
      </c>
      <c r="C250">
        <v>7107</v>
      </c>
      <c r="D250" t="b">
        <v>1</v>
      </c>
      <c r="E250">
        <v>109</v>
      </c>
      <c r="F250">
        <v>3</v>
      </c>
      <c r="G250">
        <v>50</v>
      </c>
      <c r="H250">
        <v>85</v>
      </c>
      <c r="I250">
        <v>93</v>
      </c>
      <c r="J250">
        <v>65</v>
      </c>
      <c r="K250">
        <v>94</v>
      </c>
      <c r="L250">
        <v>100</v>
      </c>
      <c r="M250">
        <v>6</v>
      </c>
      <c r="N250">
        <v>64</v>
      </c>
      <c r="O250">
        <v>44</v>
      </c>
      <c r="P250">
        <v>97</v>
      </c>
      <c r="T250" t="str">
        <f>IF(ISERROR(MATCH('Analysis backend'!$M$1,E250:N250,0)),"",'Analysis backend'!$L$1)</f>
        <v/>
      </c>
      <c r="U250" t="str">
        <f>IF(T250='Analysis backend'!$L$1,IF(ISERROR(MATCH('Analysis backend'!$M$1,E250:I250,0)),"Dire","Radiant"),"")</f>
        <v/>
      </c>
    </row>
    <row r="251" spans="1:21" x14ac:dyDescent="0.3">
      <c r="A251">
        <v>4256676444</v>
      </c>
      <c r="B251">
        <v>1544063488</v>
      </c>
      <c r="C251">
        <v>6821</v>
      </c>
      <c r="D251" t="b">
        <v>1</v>
      </c>
      <c r="E251">
        <v>38</v>
      </c>
      <c r="F251">
        <v>12</v>
      </c>
      <c r="G251">
        <v>15</v>
      </c>
      <c r="H251">
        <v>112</v>
      </c>
      <c r="I251">
        <v>101</v>
      </c>
      <c r="J251">
        <v>40</v>
      </c>
      <c r="K251">
        <v>9</v>
      </c>
      <c r="L251">
        <v>78</v>
      </c>
      <c r="M251">
        <v>50</v>
      </c>
      <c r="N251">
        <v>74</v>
      </c>
      <c r="O251">
        <v>121</v>
      </c>
      <c r="P251">
        <v>93</v>
      </c>
      <c r="Q251">
        <v>120</v>
      </c>
      <c r="T251" t="str">
        <f>IF(ISERROR(MATCH('Analysis backend'!$M$1,E251:N251,0)),"",'Analysis backend'!$L$1)</f>
        <v/>
      </c>
      <c r="U251" t="str">
        <f>IF(T251='Analysis backend'!$L$1,IF(ISERROR(MATCH('Analysis backend'!$M$1,E251:I251,0)),"Dire","Radiant"),"")</f>
        <v/>
      </c>
    </row>
    <row r="252" spans="1:21" x14ac:dyDescent="0.3">
      <c r="A252">
        <v>4256678851</v>
      </c>
      <c r="B252">
        <v>1544063616</v>
      </c>
      <c r="C252">
        <v>6749</v>
      </c>
      <c r="D252" t="b">
        <v>1</v>
      </c>
      <c r="E252">
        <v>86</v>
      </c>
      <c r="F252">
        <v>80</v>
      </c>
      <c r="G252">
        <v>12</v>
      </c>
      <c r="H252">
        <v>110</v>
      </c>
      <c r="I252">
        <v>38</v>
      </c>
      <c r="J252">
        <v>120</v>
      </c>
      <c r="K252">
        <v>97</v>
      </c>
      <c r="L252">
        <v>45</v>
      </c>
      <c r="M252">
        <v>112</v>
      </c>
      <c r="N252">
        <v>93</v>
      </c>
      <c r="O252">
        <v>44</v>
      </c>
      <c r="P252">
        <v>111</v>
      </c>
      <c r="Q252">
        <v>69</v>
      </c>
      <c r="T252" t="str">
        <f>IF(ISERROR(MATCH('Analysis backend'!$M$1,E252:N252,0)),"",'Analysis backend'!$L$1)</f>
        <v/>
      </c>
      <c r="U252" t="str">
        <f>IF(T252='Analysis backend'!$L$1,IF(ISERROR(MATCH('Analysis backend'!$M$1,E252:I252,0)),"Dire","Radiant"),"")</f>
        <v/>
      </c>
    </row>
    <row r="253" spans="1:21" x14ac:dyDescent="0.3">
      <c r="A253">
        <v>4256682274</v>
      </c>
      <c r="B253">
        <v>1544063872</v>
      </c>
      <c r="C253">
        <v>6747</v>
      </c>
      <c r="D253" t="b">
        <v>0</v>
      </c>
      <c r="E253">
        <v>93</v>
      </c>
      <c r="F253">
        <v>97</v>
      </c>
      <c r="G253">
        <v>86</v>
      </c>
      <c r="H253">
        <v>72</v>
      </c>
      <c r="I253">
        <v>30</v>
      </c>
      <c r="J253">
        <v>31</v>
      </c>
      <c r="K253">
        <v>121</v>
      </c>
      <c r="L253">
        <v>38</v>
      </c>
      <c r="M253">
        <v>77</v>
      </c>
      <c r="N253">
        <v>59</v>
      </c>
      <c r="O253">
        <v>44</v>
      </c>
      <c r="P253">
        <v>1</v>
      </c>
      <c r="T253" t="str">
        <f>IF(ISERROR(MATCH('Analysis backend'!$M$1,E253:N253,0)),"",'Analysis backend'!$L$1)</f>
        <v/>
      </c>
      <c r="U253" t="str">
        <f>IF(T253='Analysis backend'!$L$1,IF(ISERROR(MATCH('Analysis backend'!$M$1,E253:I253,0)),"Dire","Radiant"),"")</f>
        <v/>
      </c>
    </row>
    <row r="254" spans="1:21" x14ac:dyDescent="0.3">
      <c r="A254">
        <v>4256678900</v>
      </c>
      <c r="B254">
        <v>1544063616</v>
      </c>
      <c r="C254">
        <v>6680</v>
      </c>
      <c r="D254" t="b">
        <v>1</v>
      </c>
      <c r="E254">
        <v>8</v>
      </c>
      <c r="F254">
        <v>26</v>
      </c>
      <c r="G254">
        <v>86</v>
      </c>
      <c r="H254">
        <v>97</v>
      </c>
      <c r="I254">
        <v>45</v>
      </c>
      <c r="J254">
        <v>10</v>
      </c>
      <c r="K254">
        <v>44</v>
      </c>
      <c r="L254">
        <v>114</v>
      </c>
      <c r="M254">
        <v>96</v>
      </c>
      <c r="N254">
        <v>87</v>
      </c>
      <c r="O254">
        <v>50</v>
      </c>
      <c r="P254">
        <v>2</v>
      </c>
      <c r="Q254">
        <v>88</v>
      </c>
      <c r="T254" t="str">
        <f>IF(ISERROR(MATCH('Analysis backend'!$M$1,E254:N254,0)),"",'Analysis backend'!$L$1)</f>
        <v>Phantom Assassin</v>
      </c>
      <c r="U254" t="str">
        <f>IF(T254='Analysis backend'!$L$1,IF(ISERROR(MATCH('Analysis backend'!$M$1,E254:I254,0)),"Dire","Radiant"),"")</f>
        <v>Dire</v>
      </c>
    </row>
    <row r="255" spans="1:21" x14ac:dyDescent="0.3">
      <c r="A255">
        <v>4256685991</v>
      </c>
      <c r="B255">
        <v>1544064256</v>
      </c>
      <c r="C255">
        <v>7026</v>
      </c>
      <c r="D255" t="b">
        <v>0</v>
      </c>
      <c r="E255">
        <v>28</v>
      </c>
      <c r="F255">
        <v>101</v>
      </c>
      <c r="G255">
        <v>50</v>
      </c>
      <c r="H255">
        <v>25</v>
      </c>
      <c r="I255">
        <v>44</v>
      </c>
      <c r="J255">
        <v>64</v>
      </c>
      <c r="K255">
        <v>93</v>
      </c>
      <c r="L255">
        <v>111</v>
      </c>
      <c r="M255">
        <v>6</v>
      </c>
      <c r="N255">
        <v>16</v>
      </c>
      <c r="O255">
        <v>97</v>
      </c>
      <c r="T255" t="str">
        <f>IF(ISERROR(MATCH('Analysis backend'!$M$1,E255:N255,0)),"",'Analysis backend'!$L$1)</f>
        <v>Phantom Assassin</v>
      </c>
      <c r="U255" t="str">
        <f>IF(T255='Analysis backend'!$L$1,IF(ISERROR(MATCH('Analysis backend'!$M$1,E255:I255,0)),"Dire","Radiant"),"")</f>
        <v>Radiant</v>
      </c>
    </row>
    <row r="256" spans="1:21" x14ac:dyDescent="0.3">
      <c r="A256">
        <v>4256687236</v>
      </c>
      <c r="B256">
        <v>1544064384</v>
      </c>
      <c r="C256">
        <v>6868</v>
      </c>
      <c r="D256" t="b">
        <v>1</v>
      </c>
      <c r="E256">
        <v>8</v>
      </c>
      <c r="F256">
        <v>38</v>
      </c>
      <c r="G256">
        <v>87</v>
      </c>
      <c r="H256">
        <v>107</v>
      </c>
      <c r="I256">
        <v>89</v>
      </c>
      <c r="J256">
        <v>80</v>
      </c>
      <c r="K256">
        <v>50</v>
      </c>
      <c r="L256">
        <v>93</v>
      </c>
      <c r="M256">
        <v>100</v>
      </c>
      <c r="N256">
        <v>28</v>
      </c>
      <c r="O256">
        <v>97</v>
      </c>
      <c r="P256">
        <v>44</v>
      </c>
      <c r="T256" t="str">
        <f>IF(ISERROR(MATCH('Analysis backend'!$M$1,E256:N256,0)),"",'Analysis backend'!$L$1)</f>
        <v/>
      </c>
      <c r="U256" t="str">
        <f>IF(T256='Analysis backend'!$L$1,IF(ISERROR(MATCH('Analysis backend'!$M$1,E256:I256,0)),"Dire","Radiant"),"")</f>
        <v/>
      </c>
    </row>
    <row r="257" spans="1:21" x14ac:dyDescent="0.3">
      <c r="A257">
        <v>4256689751</v>
      </c>
      <c r="B257">
        <v>1544064512</v>
      </c>
      <c r="C257">
        <v>6832</v>
      </c>
      <c r="D257" t="b">
        <v>1</v>
      </c>
      <c r="E257">
        <v>91</v>
      </c>
      <c r="F257">
        <v>76</v>
      </c>
      <c r="G257">
        <v>50</v>
      </c>
      <c r="H257">
        <v>81</v>
      </c>
      <c r="I257">
        <v>44</v>
      </c>
      <c r="J257">
        <v>10</v>
      </c>
      <c r="K257">
        <v>94</v>
      </c>
      <c r="L257">
        <v>90</v>
      </c>
      <c r="M257">
        <v>18</v>
      </c>
      <c r="N257">
        <v>111</v>
      </c>
      <c r="O257">
        <v>34</v>
      </c>
      <c r="P257">
        <v>97</v>
      </c>
      <c r="Q257">
        <v>102</v>
      </c>
      <c r="T257" t="str">
        <f>IF(ISERROR(MATCH('Analysis backend'!$M$1,E257:N257,0)),"",'Analysis backend'!$L$1)</f>
        <v>Phantom Assassin</v>
      </c>
      <c r="U257" t="str">
        <f>IF(T257='Analysis backend'!$L$1,IF(ISERROR(MATCH('Analysis backend'!$M$1,E257:I257,0)),"Dire","Radiant"),"")</f>
        <v>Radiant</v>
      </c>
    </row>
    <row r="258" spans="1:21" x14ac:dyDescent="0.3">
      <c r="A258">
        <v>4256690452</v>
      </c>
      <c r="B258">
        <v>1544064640</v>
      </c>
      <c r="C258">
        <v>7267</v>
      </c>
      <c r="D258" t="b">
        <v>1</v>
      </c>
      <c r="E258">
        <v>62</v>
      </c>
      <c r="F258">
        <v>86</v>
      </c>
      <c r="G258">
        <v>100</v>
      </c>
      <c r="H258">
        <v>27</v>
      </c>
      <c r="I258">
        <v>38</v>
      </c>
      <c r="J258">
        <v>50</v>
      </c>
      <c r="K258">
        <v>31</v>
      </c>
      <c r="L258">
        <v>106</v>
      </c>
      <c r="M258">
        <v>16</v>
      </c>
      <c r="N258">
        <v>1</v>
      </c>
      <c r="O258">
        <v>76</v>
      </c>
      <c r="P258">
        <v>97</v>
      </c>
      <c r="T258" t="str">
        <f>IF(ISERROR(MATCH('Analysis backend'!$M$1,E258:N258,0)),"",'Analysis backend'!$L$1)</f>
        <v/>
      </c>
      <c r="U258" t="str">
        <f>IF(T258='Analysis backend'!$L$1,IF(ISERROR(MATCH('Analysis backend'!$M$1,E258:I258,0)),"Dire","Radiant"),"")</f>
        <v/>
      </c>
    </row>
    <row r="259" spans="1:21" x14ac:dyDescent="0.3">
      <c r="A259">
        <v>4256697527</v>
      </c>
      <c r="B259">
        <v>1544065152</v>
      </c>
      <c r="C259">
        <v>7252</v>
      </c>
      <c r="D259" t="b">
        <v>0</v>
      </c>
      <c r="E259">
        <v>50</v>
      </c>
      <c r="F259">
        <v>49</v>
      </c>
      <c r="G259">
        <v>67</v>
      </c>
      <c r="H259">
        <v>78</v>
      </c>
      <c r="I259">
        <v>91</v>
      </c>
      <c r="J259">
        <v>2</v>
      </c>
      <c r="K259">
        <v>86</v>
      </c>
      <c r="L259">
        <v>107</v>
      </c>
      <c r="M259">
        <v>31</v>
      </c>
      <c r="N259">
        <v>48</v>
      </c>
      <c r="O259">
        <v>94</v>
      </c>
      <c r="P259">
        <v>1</v>
      </c>
      <c r="Q259">
        <v>97</v>
      </c>
      <c r="T259" t="str">
        <f>IF(ISERROR(MATCH('Analysis backend'!$M$1,E259:N259,0)),"",'Analysis backend'!$L$1)</f>
        <v/>
      </c>
      <c r="U259" t="str">
        <f>IF(T259='Analysis backend'!$L$1,IF(ISERROR(MATCH('Analysis backend'!$M$1,E259:I259,0)),"Dire","Radiant"),"")</f>
        <v/>
      </c>
    </row>
    <row r="260" spans="1:21" x14ac:dyDescent="0.3">
      <c r="A260">
        <v>4256696286</v>
      </c>
      <c r="B260">
        <v>1544065024</v>
      </c>
      <c r="C260">
        <v>7180</v>
      </c>
      <c r="D260" t="b">
        <v>1</v>
      </c>
      <c r="E260">
        <v>86</v>
      </c>
      <c r="F260">
        <v>100</v>
      </c>
      <c r="G260">
        <v>41</v>
      </c>
      <c r="H260">
        <v>26</v>
      </c>
      <c r="I260">
        <v>97</v>
      </c>
      <c r="J260">
        <v>98</v>
      </c>
      <c r="K260">
        <v>93</v>
      </c>
      <c r="L260">
        <v>16</v>
      </c>
      <c r="M260">
        <v>50</v>
      </c>
      <c r="N260">
        <v>112</v>
      </c>
      <c r="O260">
        <v>34</v>
      </c>
      <c r="P260">
        <v>44</v>
      </c>
      <c r="T260" t="str">
        <f>IF(ISERROR(MATCH('Analysis backend'!$M$1,E260:N260,0)),"",'Analysis backend'!$L$1)</f>
        <v/>
      </c>
      <c r="U260" t="str">
        <f>IF(T260='Analysis backend'!$L$1,IF(ISERROR(MATCH('Analysis backend'!$M$1,E260:I260,0)),"Dire","Radiant"),"")</f>
        <v/>
      </c>
    </row>
    <row r="261" spans="1:21" x14ac:dyDescent="0.3">
      <c r="A261">
        <v>4256700048</v>
      </c>
      <c r="B261">
        <v>1544065408</v>
      </c>
      <c r="C261">
        <v>6850</v>
      </c>
      <c r="D261" t="b">
        <v>0</v>
      </c>
      <c r="E261">
        <v>41</v>
      </c>
      <c r="F261">
        <v>34</v>
      </c>
      <c r="G261">
        <v>111</v>
      </c>
      <c r="H261">
        <v>7</v>
      </c>
      <c r="I261">
        <v>100</v>
      </c>
      <c r="J261">
        <v>98</v>
      </c>
      <c r="K261">
        <v>86</v>
      </c>
      <c r="L261">
        <v>44</v>
      </c>
      <c r="M261">
        <v>121</v>
      </c>
      <c r="N261">
        <v>97</v>
      </c>
      <c r="T261" t="str">
        <f>IF(ISERROR(MATCH('Analysis backend'!$M$1,E261:N261,0)),"",'Analysis backend'!$L$1)</f>
        <v>Phantom Assassin</v>
      </c>
      <c r="U261" t="str">
        <f>IF(T261='Analysis backend'!$L$1,IF(ISERROR(MATCH('Analysis backend'!$M$1,E261:I261,0)),"Dire","Radiant"),"")</f>
        <v>Dire</v>
      </c>
    </row>
    <row r="262" spans="1:21" x14ac:dyDescent="0.3">
      <c r="A262">
        <v>4256692521</v>
      </c>
      <c r="B262">
        <v>1544064768</v>
      </c>
      <c r="C262">
        <v>6751</v>
      </c>
      <c r="D262" t="b">
        <v>1</v>
      </c>
      <c r="E262">
        <v>76</v>
      </c>
      <c r="F262">
        <v>111</v>
      </c>
      <c r="G262">
        <v>44</v>
      </c>
      <c r="H262">
        <v>90</v>
      </c>
      <c r="I262">
        <v>97</v>
      </c>
      <c r="J262">
        <v>50</v>
      </c>
      <c r="K262">
        <v>1</v>
      </c>
      <c r="L262">
        <v>45</v>
      </c>
      <c r="M262">
        <v>78</v>
      </c>
      <c r="N262">
        <v>26</v>
      </c>
      <c r="O262">
        <v>74</v>
      </c>
      <c r="P262">
        <v>48</v>
      </c>
      <c r="Q262">
        <v>61</v>
      </c>
      <c r="T262" t="str">
        <f>IF(ISERROR(MATCH('Analysis backend'!$M$1,E262:N262,0)),"",'Analysis backend'!$L$1)</f>
        <v>Phantom Assassin</v>
      </c>
      <c r="U262" t="str">
        <f>IF(T262='Analysis backend'!$L$1,IF(ISERROR(MATCH('Analysis backend'!$M$1,E262:I262,0)),"Dire","Radiant"),"")</f>
        <v>Radiant</v>
      </c>
    </row>
    <row r="263" spans="1:21" x14ac:dyDescent="0.3">
      <c r="A263">
        <v>4256711320</v>
      </c>
      <c r="B263">
        <v>1544066304</v>
      </c>
      <c r="C263">
        <v>7322</v>
      </c>
      <c r="D263" t="b">
        <v>0</v>
      </c>
      <c r="E263">
        <v>7</v>
      </c>
      <c r="F263">
        <v>45</v>
      </c>
      <c r="G263">
        <v>86</v>
      </c>
      <c r="H263">
        <v>41</v>
      </c>
      <c r="I263">
        <v>50</v>
      </c>
      <c r="J263">
        <v>62</v>
      </c>
      <c r="K263">
        <v>100</v>
      </c>
      <c r="L263">
        <v>76</v>
      </c>
      <c r="M263">
        <v>97</v>
      </c>
      <c r="N263">
        <v>111</v>
      </c>
      <c r="O263">
        <v>44</v>
      </c>
      <c r="T263" t="str">
        <f>IF(ISERROR(MATCH('Analysis backend'!$M$1,E263:N263,0)),"",'Analysis backend'!$L$1)</f>
        <v/>
      </c>
      <c r="U263" t="str">
        <f>IF(T263='Analysis backend'!$L$1,IF(ISERROR(MATCH('Analysis backend'!$M$1,E263:I263,0)),"Dire","Radiant"),"")</f>
        <v/>
      </c>
    </row>
    <row r="264" spans="1:21" x14ac:dyDescent="0.3">
      <c r="A264">
        <v>4256707423</v>
      </c>
      <c r="B264">
        <v>1544066048</v>
      </c>
      <c r="C264">
        <v>7006</v>
      </c>
      <c r="D264" t="b">
        <v>0</v>
      </c>
      <c r="E264">
        <v>86</v>
      </c>
      <c r="F264">
        <v>45</v>
      </c>
      <c r="G264">
        <v>2</v>
      </c>
      <c r="H264">
        <v>94</v>
      </c>
      <c r="I264">
        <v>3</v>
      </c>
      <c r="J264">
        <v>44</v>
      </c>
      <c r="K264">
        <v>97</v>
      </c>
      <c r="L264">
        <v>121</v>
      </c>
      <c r="M264">
        <v>59</v>
      </c>
      <c r="N264">
        <v>101</v>
      </c>
      <c r="O264">
        <v>16</v>
      </c>
      <c r="T264" t="str">
        <f>IF(ISERROR(MATCH('Analysis backend'!$M$1,E264:N264,0)),"",'Analysis backend'!$L$1)</f>
        <v>Phantom Assassin</v>
      </c>
      <c r="U264" t="str">
        <f>IF(T264='Analysis backend'!$L$1,IF(ISERROR(MATCH('Analysis backend'!$M$1,E264:I264,0)),"Dire","Radiant"),"")</f>
        <v>Dire</v>
      </c>
    </row>
    <row r="265" spans="1:21" x14ac:dyDescent="0.3">
      <c r="A265">
        <v>4256710432</v>
      </c>
      <c r="B265">
        <v>1544066176</v>
      </c>
      <c r="C265">
        <v>6866</v>
      </c>
      <c r="D265" t="b">
        <v>1</v>
      </c>
      <c r="E265">
        <v>7</v>
      </c>
      <c r="F265">
        <v>86</v>
      </c>
      <c r="G265">
        <v>79</v>
      </c>
      <c r="H265">
        <v>96</v>
      </c>
      <c r="I265">
        <v>44</v>
      </c>
      <c r="J265">
        <v>114</v>
      </c>
      <c r="K265">
        <v>76</v>
      </c>
      <c r="L265">
        <v>110</v>
      </c>
      <c r="M265">
        <v>97</v>
      </c>
      <c r="N265">
        <v>85</v>
      </c>
      <c r="O265">
        <v>101</v>
      </c>
      <c r="P265">
        <v>45</v>
      </c>
      <c r="Q265">
        <v>50</v>
      </c>
      <c r="T265" t="str">
        <f>IF(ISERROR(MATCH('Analysis backend'!$M$1,E265:N265,0)),"",'Analysis backend'!$L$1)</f>
        <v>Phantom Assassin</v>
      </c>
      <c r="U265" t="str">
        <f>IF(T265='Analysis backend'!$L$1,IF(ISERROR(MATCH('Analysis backend'!$M$1,E265:I265,0)),"Dire","Radiant"),"")</f>
        <v>Radiant</v>
      </c>
    </row>
    <row r="266" spans="1:21" x14ac:dyDescent="0.3">
      <c r="A266">
        <v>4256697102</v>
      </c>
      <c r="B266">
        <v>1544065152</v>
      </c>
      <c r="C266">
        <v>6695</v>
      </c>
      <c r="D266" t="b">
        <v>1</v>
      </c>
      <c r="E266">
        <v>31</v>
      </c>
      <c r="F266">
        <v>19</v>
      </c>
      <c r="G266">
        <v>59</v>
      </c>
      <c r="H266">
        <v>121</v>
      </c>
      <c r="I266">
        <v>114</v>
      </c>
      <c r="J266">
        <v>14</v>
      </c>
      <c r="K266">
        <v>90</v>
      </c>
      <c r="L266">
        <v>44</v>
      </c>
      <c r="M266">
        <v>50</v>
      </c>
      <c r="N266">
        <v>25</v>
      </c>
      <c r="O266">
        <v>97</v>
      </c>
      <c r="T266" t="str">
        <f>IF(ISERROR(MATCH('Analysis backend'!$M$1,E266:N266,0)),"",'Analysis backend'!$L$1)</f>
        <v>Phantom Assassin</v>
      </c>
      <c r="U266" t="str">
        <f>IF(T266='Analysis backend'!$L$1,IF(ISERROR(MATCH('Analysis backend'!$M$1,E266:I266,0)),"Dire","Radiant"),"")</f>
        <v>Dire</v>
      </c>
    </row>
    <row r="267" spans="1:21" x14ac:dyDescent="0.3">
      <c r="A267">
        <v>4256713438</v>
      </c>
      <c r="B267">
        <v>1544066432</v>
      </c>
      <c r="C267">
        <v>6925</v>
      </c>
      <c r="D267" t="b">
        <v>0</v>
      </c>
      <c r="E267">
        <v>50</v>
      </c>
      <c r="F267">
        <v>86</v>
      </c>
      <c r="G267">
        <v>67</v>
      </c>
      <c r="H267">
        <v>55</v>
      </c>
      <c r="I267">
        <v>71</v>
      </c>
      <c r="J267">
        <v>97</v>
      </c>
      <c r="K267">
        <v>1</v>
      </c>
      <c r="L267">
        <v>101</v>
      </c>
      <c r="M267">
        <v>3</v>
      </c>
      <c r="N267">
        <v>2</v>
      </c>
      <c r="O267">
        <v>76</v>
      </c>
      <c r="P267">
        <v>82</v>
      </c>
      <c r="Q267">
        <v>9</v>
      </c>
      <c r="R267">
        <v>44</v>
      </c>
      <c r="T267" t="str">
        <f>IF(ISERROR(MATCH('Analysis backend'!$M$1,E267:N267,0)),"",'Analysis backend'!$L$1)</f>
        <v/>
      </c>
      <c r="U267" t="str">
        <f>IF(T267='Analysis backend'!$L$1,IF(ISERROR(MATCH('Analysis backend'!$M$1,E267:I267,0)),"Dire","Radiant"),"")</f>
        <v/>
      </c>
    </row>
    <row r="268" spans="1:21" x14ac:dyDescent="0.3">
      <c r="A268">
        <v>4256718476</v>
      </c>
      <c r="B268">
        <v>1544066944</v>
      </c>
      <c r="C268">
        <v>6755</v>
      </c>
      <c r="D268" t="b">
        <v>0</v>
      </c>
      <c r="E268">
        <v>97</v>
      </c>
      <c r="F268">
        <v>50</v>
      </c>
      <c r="G268">
        <v>86</v>
      </c>
      <c r="H268">
        <v>93</v>
      </c>
      <c r="I268">
        <v>76</v>
      </c>
      <c r="J268">
        <v>104</v>
      </c>
      <c r="K268">
        <v>27</v>
      </c>
      <c r="L268">
        <v>121</v>
      </c>
      <c r="M268">
        <v>44</v>
      </c>
      <c r="N268">
        <v>94</v>
      </c>
      <c r="O268">
        <v>34</v>
      </c>
      <c r="P268">
        <v>12</v>
      </c>
      <c r="T268" t="str">
        <f>IF(ISERROR(MATCH('Analysis backend'!$M$1,E268:N268,0)),"",'Analysis backend'!$L$1)</f>
        <v>Phantom Assassin</v>
      </c>
      <c r="U268" t="str">
        <f>IF(T268='Analysis backend'!$L$1,IF(ISERROR(MATCH('Analysis backend'!$M$1,E268:I268,0)),"Dire","Radiant"),"")</f>
        <v>Dire</v>
      </c>
    </row>
    <row r="269" spans="1:21" x14ac:dyDescent="0.3">
      <c r="A269">
        <v>4256715022</v>
      </c>
      <c r="B269">
        <v>1544066560</v>
      </c>
      <c r="C269">
        <v>6738</v>
      </c>
      <c r="D269" t="b">
        <v>0</v>
      </c>
      <c r="E269">
        <v>74</v>
      </c>
      <c r="F269">
        <v>44</v>
      </c>
      <c r="G269">
        <v>97</v>
      </c>
      <c r="H269">
        <v>87</v>
      </c>
      <c r="I269">
        <v>121</v>
      </c>
      <c r="J269">
        <v>64</v>
      </c>
      <c r="K269">
        <v>41</v>
      </c>
      <c r="L269">
        <v>13</v>
      </c>
      <c r="M269">
        <v>76</v>
      </c>
      <c r="N269">
        <v>86</v>
      </c>
      <c r="O269">
        <v>2</v>
      </c>
      <c r="P269">
        <v>50</v>
      </c>
      <c r="T269" t="str">
        <f>IF(ISERROR(MATCH('Analysis backend'!$M$1,E269:N269,0)),"",'Analysis backend'!$L$1)</f>
        <v>Phantom Assassin</v>
      </c>
      <c r="U269" t="str">
        <f>IF(T269='Analysis backend'!$L$1,IF(ISERROR(MATCH('Analysis backend'!$M$1,E269:I269,0)),"Dire","Radiant"),"")</f>
        <v>Radiant</v>
      </c>
    </row>
    <row r="270" spans="1:21" x14ac:dyDescent="0.3">
      <c r="A270">
        <v>4256713619</v>
      </c>
      <c r="B270">
        <v>1544066432</v>
      </c>
      <c r="C270">
        <v>6722</v>
      </c>
      <c r="D270" t="b">
        <v>1</v>
      </c>
      <c r="E270">
        <v>82</v>
      </c>
      <c r="F270">
        <v>10</v>
      </c>
      <c r="G270">
        <v>120</v>
      </c>
      <c r="H270">
        <v>2</v>
      </c>
      <c r="I270">
        <v>26</v>
      </c>
      <c r="J270">
        <v>86</v>
      </c>
      <c r="K270">
        <v>114</v>
      </c>
      <c r="L270">
        <v>93</v>
      </c>
      <c r="M270">
        <v>84</v>
      </c>
      <c r="N270">
        <v>78</v>
      </c>
      <c r="O270">
        <v>44</v>
      </c>
      <c r="P270">
        <v>97</v>
      </c>
      <c r="Q270">
        <v>113</v>
      </c>
      <c r="T270" t="str">
        <f>IF(ISERROR(MATCH('Analysis backend'!$M$1,E270:N270,0)),"",'Analysis backend'!$L$1)</f>
        <v/>
      </c>
      <c r="U270" t="str">
        <f>IF(T270='Analysis backend'!$L$1,IF(ISERROR(MATCH('Analysis backend'!$M$1,E270:I270,0)),"Dire","Radiant"),"")</f>
        <v/>
      </c>
    </row>
    <row r="271" spans="1:21" x14ac:dyDescent="0.3">
      <c r="A271">
        <v>4256724169</v>
      </c>
      <c r="B271">
        <v>1544067328</v>
      </c>
      <c r="C271">
        <v>6960</v>
      </c>
      <c r="D271" t="b">
        <v>1</v>
      </c>
      <c r="E271">
        <v>16</v>
      </c>
      <c r="F271">
        <v>84</v>
      </c>
      <c r="G271">
        <v>101</v>
      </c>
      <c r="H271">
        <v>93</v>
      </c>
      <c r="I271">
        <v>45</v>
      </c>
      <c r="J271">
        <v>57</v>
      </c>
      <c r="K271">
        <v>50</v>
      </c>
      <c r="L271">
        <v>44</v>
      </c>
      <c r="M271">
        <v>88</v>
      </c>
      <c r="N271">
        <v>14</v>
      </c>
      <c r="O271">
        <v>97</v>
      </c>
      <c r="T271" t="str">
        <f>IF(ISERROR(MATCH('Analysis backend'!$M$1,E271:N271,0)),"",'Analysis backend'!$L$1)</f>
        <v>Phantom Assassin</v>
      </c>
      <c r="U271" t="str">
        <f>IF(T271='Analysis backend'!$L$1,IF(ISERROR(MATCH('Analysis backend'!$M$1,E271:I271,0)),"Dire","Radiant"),"")</f>
        <v>Dire</v>
      </c>
    </row>
    <row r="272" spans="1:21" x14ac:dyDescent="0.3">
      <c r="A272">
        <v>4256720867</v>
      </c>
      <c r="B272">
        <v>1544067072</v>
      </c>
      <c r="C272">
        <v>6868</v>
      </c>
      <c r="D272" t="b">
        <v>0</v>
      </c>
      <c r="E272">
        <v>99</v>
      </c>
      <c r="F272">
        <v>111</v>
      </c>
      <c r="G272">
        <v>10</v>
      </c>
      <c r="H272">
        <v>82</v>
      </c>
      <c r="I272">
        <v>90</v>
      </c>
      <c r="J272">
        <v>76</v>
      </c>
      <c r="K272">
        <v>121</v>
      </c>
      <c r="L272">
        <v>31</v>
      </c>
      <c r="M272">
        <v>20</v>
      </c>
      <c r="N272">
        <v>54</v>
      </c>
      <c r="O272">
        <v>44</v>
      </c>
      <c r="P272">
        <v>97</v>
      </c>
      <c r="Q272">
        <v>93</v>
      </c>
      <c r="T272" t="str">
        <f>IF(ISERROR(MATCH('Analysis backend'!$M$1,E272:N272,0)),"",'Analysis backend'!$L$1)</f>
        <v/>
      </c>
      <c r="U272" t="str">
        <f>IF(T272='Analysis backend'!$L$1,IF(ISERROR(MATCH('Analysis backend'!$M$1,E272:I272,0)),"Dire","Radiant"),"")</f>
        <v/>
      </c>
    </row>
    <row r="273" spans="1:21" x14ac:dyDescent="0.3">
      <c r="A273">
        <v>4256728392</v>
      </c>
      <c r="B273">
        <v>1544067712</v>
      </c>
      <c r="C273">
        <v>6917</v>
      </c>
      <c r="D273" t="b">
        <v>0</v>
      </c>
      <c r="E273">
        <v>44</v>
      </c>
      <c r="F273">
        <v>46</v>
      </c>
      <c r="G273">
        <v>101</v>
      </c>
      <c r="H273">
        <v>2</v>
      </c>
      <c r="I273">
        <v>84</v>
      </c>
      <c r="J273">
        <v>78</v>
      </c>
      <c r="K273">
        <v>86</v>
      </c>
      <c r="L273">
        <v>1</v>
      </c>
      <c r="M273">
        <v>45</v>
      </c>
      <c r="N273">
        <v>83</v>
      </c>
      <c r="O273">
        <v>6</v>
      </c>
      <c r="P273">
        <v>97</v>
      </c>
      <c r="T273" t="str">
        <f>IF(ISERROR(MATCH('Analysis backend'!$M$1,E273:N273,0)),"",'Analysis backend'!$L$1)</f>
        <v>Phantom Assassin</v>
      </c>
      <c r="U273" t="str">
        <f>IF(T273='Analysis backend'!$L$1,IF(ISERROR(MATCH('Analysis backend'!$M$1,E273:I273,0)),"Dire","Radiant"),"")</f>
        <v>Radiant</v>
      </c>
    </row>
    <row r="274" spans="1:21" x14ac:dyDescent="0.3">
      <c r="A274">
        <v>4256732553</v>
      </c>
      <c r="B274">
        <v>1544067968</v>
      </c>
      <c r="C274">
        <v>6838</v>
      </c>
      <c r="D274" t="b">
        <v>0</v>
      </c>
      <c r="E274">
        <v>86</v>
      </c>
      <c r="F274">
        <v>46</v>
      </c>
      <c r="G274">
        <v>90</v>
      </c>
      <c r="H274">
        <v>44</v>
      </c>
      <c r="I274">
        <v>88</v>
      </c>
      <c r="J274">
        <v>31</v>
      </c>
      <c r="K274">
        <v>23</v>
      </c>
      <c r="L274">
        <v>1</v>
      </c>
      <c r="M274">
        <v>97</v>
      </c>
      <c r="N274">
        <v>45</v>
      </c>
      <c r="O274">
        <v>48</v>
      </c>
      <c r="T274" t="str">
        <f>IF(ISERROR(MATCH('Analysis backend'!$M$1,E274:N274,0)),"",'Analysis backend'!$L$1)</f>
        <v>Phantom Assassin</v>
      </c>
      <c r="U274" t="str">
        <f>IF(T274='Analysis backend'!$L$1,IF(ISERROR(MATCH('Analysis backend'!$M$1,E274:I274,0)),"Dire","Radiant"),"")</f>
        <v>Radiant</v>
      </c>
    </row>
    <row r="275" spans="1:21" x14ac:dyDescent="0.3">
      <c r="A275">
        <v>4256741994</v>
      </c>
      <c r="B275">
        <v>1544068736</v>
      </c>
      <c r="C275">
        <v>7134</v>
      </c>
      <c r="D275" t="b">
        <v>0</v>
      </c>
      <c r="E275">
        <v>45</v>
      </c>
      <c r="F275">
        <v>96</v>
      </c>
      <c r="G275">
        <v>121</v>
      </c>
      <c r="H275">
        <v>112</v>
      </c>
      <c r="I275">
        <v>41</v>
      </c>
      <c r="J275">
        <v>94</v>
      </c>
      <c r="K275">
        <v>86</v>
      </c>
      <c r="L275">
        <v>50</v>
      </c>
      <c r="M275">
        <v>97</v>
      </c>
      <c r="N275">
        <v>44</v>
      </c>
      <c r="O275">
        <v>93</v>
      </c>
      <c r="P275">
        <v>34</v>
      </c>
      <c r="T275" t="str">
        <f>IF(ISERROR(MATCH('Analysis backend'!$M$1,E275:N275,0)),"",'Analysis backend'!$L$1)</f>
        <v>Phantom Assassin</v>
      </c>
      <c r="U275" t="str">
        <f>IF(T275='Analysis backend'!$L$1,IF(ISERROR(MATCH('Analysis backend'!$M$1,E275:I275,0)),"Dire","Radiant"),"")</f>
        <v>Dire</v>
      </c>
    </row>
    <row r="276" spans="1:21" x14ac:dyDescent="0.3">
      <c r="A276">
        <v>4256738776</v>
      </c>
      <c r="B276">
        <v>1544068480</v>
      </c>
      <c r="C276">
        <v>6955</v>
      </c>
      <c r="D276" t="b">
        <v>1</v>
      </c>
      <c r="E276">
        <v>71</v>
      </c>
      <c r="F276">
        <v>77</v>
      </c>
      <c r="G276">
        <v>3</v>
      </c>
      <c r="H276">
        <v>78</v>
      </c>
      <c r="I276">
        <v>102</v>
      </c>
      <c r="J276">
        <v>93</v>
      </c>
      <c r="K276">
        <v>27</v>
      </c>
      <c r="L276">
        <v>107</v>
      </c>
      <c r="M276">
        <v>45</v>
      </c>
      <c r="N276">
        <v>61</v>
      </c>
      <c r="O276">
        <v>44</v>
      </c>
      <c r="P276">
        <v>69</v>
      </c>
      <c r="T276" t="str">
        <f>IF(ISERROR(MATCH('Analysis backend'!$M$1,E276:N276,0)),"",'Analysis backend'!$L$1)</f>
        <v/>
      </c>
      <c r="U276" t="str">
        <f>IF(T276='Analysis backend'!$L$1,IF(ISERROR(MATCH('Analysis backend'!$M$1,E276:I276,0)),"Dire","Radiant"),"")</f>
        <v/>
      </c>
    </row>
    <row r="277" spans="1:21" x14ac:dyDescent="0.3">
      <c r="A277">
        <v>4256750911</v>
      </c>
      <c r="B277">
        <v>1544069376</v>
      </c>
      <c r="C277">
        <v>7047</v>
      </c>
      <c r="T277" t="str">
        <f>IF(ISERROR(MATCH('Analysis backend'!$M$1,E277:N277,0)),"",'Analysis backend'!$L$1)</f>
        <v/>
      </c>
      <c r="U277" t="str">
        <f>IF(T277='Analysis backend'!$L$1,IF(ISERROR(MATCH('Analysis backend'!$M$1,E277:I277,0)),"Dire","Radiant"),"")</f>
        <v/>
      </c>
    </row>
    <row r="278" spans="1:21" x14ac:dyDescent="0.3">
      <c r="A278">
        <v>4256750118</v>
      </c>
      <c r="B278">
        <v>1544069376</v>
      </c>
      <c r="C278">
        <v>7042</v>
      </c>
      <c r="D278" t="b">
        <v>1</v>
      </c>
      <c r="E278">
        <v>7</v>
      </c>
      <c r="F278">
        <v>38</v>
      </c>
      <c r="G278">
        <v>110</v>
      </c>
      <c r="H278">
        <v>41</v>
      </c>
      <c r="I278">
        <v>98</v>
      </c>
      <c r="J278">
        <v>96</v>
      </c>
      <c r="K278">
        <v>63</v>
      </c>
      <c r="L278">
        <v>33</v>
      </c>
      <c r="M278">
        <v>89</v>
      </c>
      <c r="N278">
        <v>50</v>
      </c>
      <c r="O278">
        <v>97</v>
      </c>
      <c r="P278">
        <v>100</v>
      </c>
      <c r="Q278">
        <v>16</v>
      </c>
      <c r="T278" t="str">
        <f>IF(ISERROR(MATCH('Analysis backend'!$M$1,E278:N278,0)),"",'Analysis backend'!$L$1)</f>
        <v/>
      </c>
      <c r="U278" t="str">
        <f>IF(T278='Analysis backend'!$L$1,IF(ISERROR(MATCH('Analysis backend'!$M$1,E278:I278,0)),"Dire","Radiant"),"")</f>
        <v/>
      </c>
    </row>
    <row r="279" spans="1:21" x14ac:dyDescent="0.3">
      <c r="A279">
        <v>4256744511</v>
      </c>
      <c r="B279">
        <v>1544068992</v>
      </c>
      <c r="C279">
        <v>6898</v>
      </c>
      <c r="D279" t="b">
        <v>1</v>
      </c>
      <c r="E279">
        <v>45</v>
      </c>
      <c r="F279">
        <v>44</v>
      </c>
      <c r="G279">
        <v>97</v>
      </c>
      <c r="H279">
        <v>7</v>
      </c>
      <c r="I279">
        <v>37</v>
      </c>
      <c r="J279">
        <v>106</v>
      </c>
      <c r="K279">
        <v>93</v>
      </c>
      <c r="L279">
        <v>50</v>
      </c>
      <c r="M279">
        <v>38</v>
      </c>
      <c r="N279">
        <v>31</v>
      </c>
      <c r="T279" t="str">
        <f>IF(ISERROR(MATCH('Analysis backend'!$M$1,E279:N279,0)),"",'Analysis backend'!$L$1)</f>
        <v>Phantom Assassin</v>
      </c>
      <c r="U279" t="str">
        <f>IF(T279='Analysis backend'!$L$1,IF(ISERROR(MATCH('Analysis backend'!$M$1,E279:I279,0)),"Dire","Radiant"),"")</f>
        <v>Radiant</v>
      </c>
    </row>
    <row r="280" spans="1:21" x14ac:dyDescent="0.3">
      <c r="A280">
        <v>4256750496</v>
      </c>
      <c r="B280">
        <v>1544069376</v>
      </c>
      <c r="C280">
        <v>6702</v>
      </c>
      <c r="D280" t="b">
        <v>1</v>
      </c>
      <c r="E280">
        <v>86</v>
      </c>
      <c r="F280">
        <v>97</v>
      </c>
      <c r="G280">
        <v>44</v>
      </c>
      <c r="H280">
        <v>3</v>
      </c>
      <c r="I280">
        <v>45</v>
      </c>
      <c r="J280">
        <v>31</v>
      </c>
      <c r="K280">
        <v>10</v>
      </c>
      <c r="L280">
        <v>26</v>
      </c>
      <c r="M280">
        <v>29</v>
      </c>
      <c r="N280">
        <v>50</v>
      </c>
      <c r="O280">
        <v>2</v>
      </c>
      <c r="P280">
        <v>55</v>
      </c>
      <c r="T280" t="str">
        <f>IF(ISERROR(MATCH('Analysis backend'!$M$1,E280:N280,0)),"",'Analysis backend'!$L$1)</f>
        <v>Phantom Assassin</v>
      </c>
      <c r="U280" t="str">
        <f>IF(T280='Analysis backend'!$L$1,IF(ISERROR(MATCH('Analysis backend'!$M$1,E280:I280,0)),"Dire","Radiant"),"")</f>
        <v>Radiant</v>
      </c>
    </row>
    <row r="281" spans="1:21" x14ac:dyDescent="0.3">
      <c r="A281">
        <v>4256755191</v>
      </c>
      <c r="B281">
        <v>1544069760</v>
      </c>
      <c r="C281">
        <v>6865</v>
      </c>
      <c r="T281" t="str">
        <f>IF(ISERROR(MATCH('Analysis backend'!$M$1,E281:N281,0)),"",'Analysis backend'!$L$1)</f>
        <v/>
      </c>
      <c r="U281" t="str">
        <f>IF(T281='Analysis backend'!$L$1,IF(ISERROR(MATCH('Analysis backend'!$M$1,E281:I281,0)),"Dire","Radiant"),"")</f>
        <v/>
      </c>
    </row>
    <row r="282" spans="1:21" x14ac:dyDescent="0.3">
      <c r="A282">
        <v>4256751562</v>
      </c>
      <c r="B282">
        <v>1544069504</v>
      </c>
      <c r="C282">
        <v>6845</v>
      </c>
      <c r="D282" t="b">
        <v>1</v>
      </c>
      <c r="E282">
        <v>93</v>
      </c>
      <c r="F282">
        <v>16</v>
      </c>
      <c r="G282">
        <v>97</v>
      </c>
      <c r="H282">
        <v>106</v>
      </c>
      <c r="I282">
        <v>26</v>
      </c>
      <c r="J282">
        <v>76</v>
      </c>
      <c r="K282">
        <v>104</v>
      </c>
      <c r="L282">
        <v>78</v>
      </c>
      <c r="M282">
        <v>44</v>
      </c>
      <c r="N282">
        <v>50</v>
      </c>
      <c r="O282">
        <v>2</v>
      </c>
      <c r="T282" t="str">
        <f>IF(ISERROR(MATCH('Analysis backend'!$M$1,E282:N282,0)),"",'Analysis backend'!$L$1)</f>
        <v>Phantom Assassin</v>
      </c>
      <c r="U282" t="str">
        <f>IF(T282='Analysis backend'!$L$1,IF(ISERROR(MATCH('Analysis backend'!$M$1,E282:I282,0)),"Dire","Radiant"),"")</f>
        <v>Dire</v>
      </c>
    </row>
    <row r="283" spans="1:21" x14ac:dyDescent="0.3">
      <c r="A283">
        <v>4256762835</v>
      </c>
      <c r="B283">
        <v>1544070272</v>
      </c>
      <c r="C283">
        <v>6790</v>
      </c>
      <c r="T283" t="str">
        <f>IF(ISERROR(MATCH('Analysis backend'!$M$1,E283:N283,0)),"",'Analysis backend'!$L$1)</f>
        <v/>
      </c>
      <c r="U283" t="str">
        <f>IF(T283='Analysis backend'!$L$1,IF(ISERROR(MATCH('Analysis backend'!$M$1,E283:I283,0)),"Dire","Radiant"),"")</f>
        <v/>
      </c>
    </row>
    <row r="284" spans="1:21" x14ac:dyDescent="0.3">
      <c r="A284">
        <v>4256760081</v>
      </c>
      <c r="B284">
        <v>1544070144</v>
      </c>
      <c r="C284">
        <v>6782</v>
      </c>
      <c r="T284" t="str">
        <f>IF(ISERROR(MATCH('Analysis backend'!$M$1,E284:N284,0)),"",'Analysis backend'!$L$1)</f>
        <v/>
      </c>
      <c r="U284" t="str">
        <f>IF(T284='Analysis backend'!$L$1,IF(ISERROR(MATCH('Analysis backend'!$M$1,E284:I284,0)),"Dire","Radiant"),"")</f>
        <v/>
      </c>
    </row>
    <row r="285" spans="1:21" x14ac:dyDescent="0.3">
      <c r="A285">
        <v>4256763676</v>
      </c>
      <c r="B285">
        <v>1544070400</v>
      </c>
      <c r="C285">
        <v>6758</v>
      </c>
      <c r="T285" t="str">
        <f>IF(ISERROR(MATCH('Analysis backend'!$M$1,E285:N285,0)),"",'Analysis backend'!$L$1)</f>
        <v/>
      </c>
      <c r="U285" t="str">
        <f>IF(T285='Analysis backend'!$L$1,IF(ISERROR(MATCH('Analysis backend'!$M$1,E285:I285,0)),"Dire","Radiant"),"")</f>
        <v/>
      </c>
    </row>
    <row r="286" spans="1:21" x14ac:dyDescent="0.3">
      <c r="A286">
        <v>4256766689</v>
      </c>
      <c r="B286">
        <v>1544070656</v>
      </c>
      <c r="C286">
        <v>6977</v>
      </c>
      <c r="T286" t="str">
        <f>IF(ISERROR(MATCH('Analysis backend'!$M$1,E286:N286,0)),"",'Analysis backend'!$L$1)</f>
        <v/>
      </c>
      <c r="U286" t="str">
        <f>IF(T286='Analysis backend'!$L$1,IF(ISERROR(MATCH('Analysis backend'!$M$1,E286:I286,0)),"Dire","Radiant"),"")</f>
        <v/>
      </c>
    </row>
    <row r="287" spans="1:21" x14ac:dyDescent="0.3">
      <c r="A287">
        <v>4256771773</v>
      </c>
      <c r="B287">
        <v>1544071040</v>
      </c>
      <c r="C287">
        <v>6931</v>
      </c>
      <c r="T287" t="str">
        <f>IF(ISERROR(MATCH('Analysis backend'!$M$1,E287:N287,0)),"",'Analysis backend'!$L$1)</f>
        <v/>
      </c>
      <c r="U287" t="str">
        <f>IF(T287='Analysis backend'!$L$1,IF(ISERROR(MATCH('Analysis backend'!$M$1,E287:I287,0)),"Dire","Radiant"),"")</f>
        <v/>
      </c>
    </row>
    <row r="288" spans="1:21" x14ac:dyDescent="0.3">
      <c r="A288">
        <v>4256773488</v>
      </c>
      <c r="B288">
        <v>1544071168</v>
      </c>
      <c r="C288">
        <v>6932</v>
      </c>
      <c r="T288" t="str">
        <f>IF(ISERROR(MATCH('Analysis backend'!$M$1,E288:N288,0)),"",'Analysis backend'!$L$1)</f>
        <v/>
      </c>
      <c r="U288" t="str">
        <f>IF(T288='Analysis backend'!$L$1,IF(ISERROR(MATCH('Analysis backend'!$M$1,E288:I288,0)),"Dire","Radiant"),"")</f>
        <v/>
      </c>
    </row>
    <row r="289" spans="20:21" x14ac:dyDescent="0.3">
      <c r="T289" t="str">
        <f>IF(ISERROR(MATCH('Analysis backend'!$M$1,E289:N289,0)),"",'Analysis backend'!$L$1)</f>
        <v/>
      </c>
      <c r="U289" t="str">
        <f>IF(T289='Analysis backend'!$L$1,IF(ISERROR(MATCH('Analysis backend'!$M$1,E289:I289,0)),"Dire","Radiant"),"")</f>
        <v/>
      </c>
    </row>
    <row r="290" spans="20:21" x14ac:dyDescent="0.3">
      <c r="T290" t="str">
        <f>IF(ISERROR(MATCH('Analysis backend'!$M$1,E290:N290,0)),"",'Analysis backend'!$L$1)</f>
        <v/>
      </c>
      <c r="U290" t="str">
        <f>IF(T290='Analysis backend'!$L$1,IF(ISERROR(MATCH('Analysis backend'!$M$1,E290:I290,0)),"Dire","Radiant"),"")</f>
        <v/>
      </c>
    </row>
    <row r="291" spans="20:21" x14ac:dyDescent="0.3">
      <c r="T291" t="str">
        <f>IF(ISERROR(MATCH('Analysis backend'!$M$1,E291:N291,0)),"",'Analysis backend'!$L$1)</f>
        <v/>
      </c>
      <c r="U291" t="str">
        <f>IF(T291='Analysis backend'!$L$1,IF(ISERROR(MATCH('Analysis backend'!$M$1,E291:I291,0)),"Dire","Radiant"),"")</f>
        <v/>
      </c>
    </row>
    <row r="292" spans="20:21" x14ac:dyDescent="0.3">
      <c r="T292" t="str">
        <f>IF(ISERROR(MATCH('Analysis backend'!$M$1,E292:N292,0)),"",'Analysis backend'!$L$1)</f>
        <v/>
      </c>
      <c r="U292" t="str">
        <f>IF(T292='Analysis backend'!$L$1,IF(ISERROR(MATCH('Analysis backend'!$M$1,E292:I292,0)),"Dire","Radiant"),"")</f>
        <v/>
      </c>
    </row>
    <row r="293" spans="20:21" x14ac:dyDescent="0.3">
      <c r="T293" t="str">
        <f>IF(ISERROR(MATCH('Analysis backend'!$M$1,E293:N293,0)),"",'Analysis backend'!$L$1)</f>
        <v/>
      </c>
      <c r="U293" t="str">
        <f>IF(T293='Analysis backend'!$L$1,IF(ISERROR(MATCH('Analysis backend'!$M$1,E293:I293,0)),"Dire","Radiant"),"")</f>
        <v/>
      </c>
    </row>
    <row r="294" spans="20:21" x14ac:dyDescent="0.3">
      <c r="T294" t="str">
        <f>IF(ISERROR(MATCH('Analysis backend'!$M$1,E294:N294,0)),"",'Analysis backend'!$L$1)</f>
        <v/>
      </c>
      <c r="U294" t="str">
        <f>IF(T294='Analysis backend'!$L$1,IF(ISERROR(MATCH('Analysis backend'!$M$1,E294:I294,0)),"Dire","Radiant"),"")</f>
        <v/>
      </c>
    </row>
    <row r="295" spans="20:21" x14ac:dyDescent="0.3">
      <c r="T295" t="str">
        <f>IF(ISERROR(MATCH('Analysis backend'!$M$1,E295:N295,0)),"",'Analysis backend'!$L$1)</f>
        <v/>
      </c>
      <c r="U295" t="str">
        <f>IF(T295='Analysis backend'!$L$1,IF(ISERROR(MATCH('Analysis backend'!$M$1,E295:I295,0)),"Dire","Radiant"),"")</f>
        <v/>
      </c>
    </row>
    <row r="296" spans="20:21" x14ac:dyDescent="0.3">
      <c r="T296" t="str">
        <f>IF(ISERROR(MATCH('Analysis backend'!$M$1,E296:N296,0)),"",'Analysis backend'!$L$1)</f>
        <v/>
      </c>
      <c r="U296" t="str">
        <f>IF(T296='Analysis backend'!$L$1,IF(ISERROR(MATCH('Analysis backend'!$M$1,E296:I296,0)),"Dire","Radiant"),"")</f>
        <v/>
      </c>
    </row>
    <row r="297" spans="20:21" x14ac:dyDescent="0.3">
      <c r="T297" t="str">
        <f>IF(ISERROR(MATCH('Analysis backend'!$M$1,E297:N297,0)),"",'Analysis backend'!$L$1)</f>
        <v/>
      </c>
      <c r="U297" t="str">
        <f>IF(T297='Analysis backend'!$L$1,IF(ISERROR(MATCH('Analysis backend'!$M$1,E297:I297,0)),"Dire","Radiant"),"")</f>
        <v/>
      </c>
    </row>
    <row r="298" spans="20:21" x14ac:dyDescent="0.3">
      <c r="T298" t="str">
        <f>IF(ISERROR(MATCH('Analysis backend'!$M$1,E298:N298,0)),"",'Analysis backend'!$L$1)</f>
        <v/>
      </c>
      <c r="U298" t="str">
        <f>IF(T298='Analysis backend'!$L$1,IF(ISERROR(MATCH('Analysis backend'!$M$1,E298:I298,0)),"Dire","Radiant"),"")</f>
        <v/>
      </c>
    </row>
    <row r="299" spans="20:21" x14ac:dyDescent="0.3">
      <c r="T299" t="str">
        <f>IF(ISERROR(MATCH('Analysis backend'!$M$1,E299:N299,0)),"",'Analysis backend'!$L$1)</f>
        <v/>
      </c>
      <c r="U299" t="str">
        <f>IF(T299='Analysis backend'!$L$1,IF(ISERROR(MATCH('Analysis backend'!$M$1,E299:I299,0)),"Dire","Radiant"),"")</f>
        <v/>
      </c>
    </row>
    <row r="300" spans="20:21" x14ac:dyDescent="0.3">
      <c r="T300" t="str">
        <f>IF(ISERROR(MATCH('Analysis backend'!$M$1,E300:N300,0)),"",'Analysis backend'!$L$1)</f>
        <v/>
      </c>
      <c r="U300" t="str">
        <f>IF(T300='Analysis backend'!$L$1,IF(ISERROR(MATCH('Analysis backend'!$M$1,E300:I300,0)),"Dire","Radiant"),"")</f>
        <v/>
      </c>
    </row>
    <row r="301" spans="20:21" x14ac:dyDescent="0.3">
      <c r="T301" t="str">
        <f>IF(ISERROR(MATCH('Analysis backend'!$M$1,E301:N301,0)),"",'Analysis backend'!$L$1)</f>
        <v/>
      </c>
      <c r="U301" t="str">
        <f>IF(T301='Analysis backend'!$L$1,IF(ISERROR(MATCH('Analysis backend'!$M$1,E301:I301,0)),"Dire","Radiant"),"")</f>
        <v/>
      </c>
    </row>
    <row r="302" spans="20:21" x14ac:dyDescent="0.3">
      <c r="T302" t="str">
        <f>IF(ISERROR(MATCH('Analysis backend'!$M$1,E302:N302,0)),"",'Analysis backend'!$L$1)</f>
        <v/>
      </c>
      <c r="U302" t="str">
        <f>IF(T302='Analysis backend'!$L$1,IF(ISERROR(MATCH('Analysis backend'!$M$1,E302:I302,0)),"Dire","Radiant"),"")</f>
        <v/>
      </c>
    </row>
    <row r="303" spans="20:21" x14ac:dyDescent="0.3">
      <c r="T303" t="str">
        <f>IF(ISERROR(MATCH('Analysis backend'!$M$1,E303:N303,0)),"",'Analysis backend'!$L$1)</f>
        <v/>
      </c>
      <c r="U303" t="str">
        <f>IF(T303='Analysis backend'!$L$1,IF(ISERROR(MATCH('Analysis backend'!$M$1,E303:I303,0)),"Dire","Radiant"),"")</f>
        <v/>
      </c>
    </row>
    <row r="304" spans="20:21" x14ac:dyDescent="0.3">
      <c r="T304" t="str">
        <f>IF(ISERROR(MATCH('Analysis backend'!$M$1,E304:N304,0)),"",'Analysis backend'!$L$1)</f>
        <v/>
      </c>
      <c r="U304" t="str">
        <f>IF(T304='Analysis backend'!$L$1,IF(ISERROR(MATCH('Analysis backend'!$M$1,E304:I304,0)),"Dire","Radiant"),"")</f>
        <v/>
      </c>
    </row>
    <row r="305" spans="20:21" x14ac:dyDescent="0.3">
      <c r="T305" t="str">
        <f>IF(ISERROR(MATCH('Analysis backend'!$M$1,E305:N305,0)),"",'Analysis backend'!$L$1)</f>
        <v/>
      </c>
      <c r="U305" t="str">
        <f>IF(T305='Analysis backend'!$L$1,IF(ISERROR(MATCH('Analysis backend'!$M$1,E305:I305,0)),"Dire","Radiant"),"")</f>
        <v/>
      </c>
    </row>
    <row r="306" spans="20:21" x14ac:dyDescent="0.3">
      <c r="T306" t="str">
        <f>IF(ISERROR(MATCH('Analysis backend'!$M$1,E306:N306,0)),"",'Analysis backend'!$L$1)</f>
        <v/>
      </c>
      <c r="U306" t="str">
        <f>IF(T306='Analysis backend'!$L$1,IF(ISERROR(MATCH('Analysis backend'!$M$1,E306:I306,0)),"Dire","Radiant"),"")</f>
        <v/>
      </c>
    </row>
    <row r="307" spans="20:21" x14ac:dyDescent="0.3">
      <c r="T307" t="str">
        <f>IF(ISERROR(MATCH('Analysis backend'!$M$1,E307:N307,0)),"",'Analysis backend'!$L$1)</f>
        <v/>
      </c>
      <c r="U307" t="str">
        <f>IF(T307='Analysis backend'!$L$1,IF(ISERROR(MATCH('Analysis backend'!$M$1,E307:I307,0)),"Dire","Radiant"),"")</f>
        <v/>
      </c>
    </row>
    <row r="308" spans="20:21" x14ac:dyDescent="0.3">
      <c r="T308" t="str">
        <f>IF(ISERROR(MATCH('Analysis backend'!$M$1,E308:N308,0)),"",'Analysis backend'!$L$1)</f>
        <v/>
      </c>
      <c r="U308" t="str">
        <f>IF(T308='Analysis backend'!$L$1,IF(ISERROR(MATCH('Analysis backend'!$M$1,E308:I308,0)),"Dire","Radiant"),"")</f>
        <v/>
      </c>
    </row>
    <row r="309" spans="20:21" x14ac:dyDescent="0.3">
      <c r="T309" t="str">
        <f>IF(ISERROR(MATCH('Analysis backend'!$M$1,E309:N309,0)),"",'Analysis backend'!$L$1)</f>
        <v/>
      </c>
      <c r="U309" t="str">
        <f>IF(T309='Analysis backend'!$L$1,IF(ISERROR(MATCH('Analysis backend'!$M$1,E309:I309,0)),"Dire","Radiant"),"")</f>
        <v/>
      </c>
    </row>
    <row r="310" spans="20:21" x14ac:dyDescent="0.3">
      <c r="T310" t="str">
        <f>IF(ISERROR(MATCH('Analysis backend'!$M$1,E310:N310,0)),"",'Analysis backend'!$L$1)</f>
        <v/>
      </c>
      <c r="U310" t="str">
        <f>IF(T310='Analysis backend'!$L$1,IF(ISERROR(MATCH('Analysis backend'!$M$1,E310:I310,0)),"Dire","Radiant"),"")</f>
        <v/>
      </c>
    </row>
    <row r="311" spans="20:21" x14ac:dyDescent="0.3">
      <c r="T311" t="str">
        <f>IF(ISERROR(MATCH('Analysis backend'!$M$1,E311:N311,0)),"",'Analysis backend'!$L$1)</f>
        <v/>
      </c>
      <c r="U311" t="str">
        <f>IF(T311='Analysis backend'!$L$1,IF(ISERROR(MATCH('Analysis backend'!$M$1,E311:I311,0)),"Dire","Radiant"),"")</f>
        <v/>
      </c>
    </row>
    <row r="312" spans="20:21" x14ac:dyDescent="0.3">
      <c r="T312" t="str">
        <f>IF(ISERROR(MATCH('Analysis backend'!$M$1,E312:N312,0)),"",'Analysis backend'!$L$1)</f>
        <v/>
      </c>
      <c r="U312" t="str">
        <f>IF(T312='Analysis backend'!$L$1,IF(ISERROR(MATCH('Analysis backend'!$M$1,E312:I312,0)),"Dire","Radiant"),"")</f>
        <v/>
      </c>
    </row>
    <row r="313" spans="20:21" x14ac:dyDescent="0.3">
      <c r="T313" t="str">
        <f>IF(ISERROR(MATCH('Analysis backend'!$M$1,E313:N313,0)),"",'Analysis backend'!$L$1)</f>
        <v/>
      </c>
      <c r="U313" t="str">
        <f>IF(T313='Analysis backend'!$L$1,IF(ISERROR(MATCH('Analysis backend'!$M$1,E313:I313,0)),"Dire","Radiant"),"")</f>
        <v/>
      </c>
    </row>
    <row r="314" spans="20:21" x14ac:dyDescent="0.3">
      <c r="T314" t="str">
        <f>IF(ISERROR(MATCH('Analysis backend'!$M$1,E314:N314,0)),"",'Analysis backend'!$L$1)</f>
        <v/>
      </c>
      <c r="U314" t="str">
        <f>IF(T314='Analysis backend'!$L$1,IF(ISERROR(MATCH('Analysis backend'!$M$1,E314:I314,0)),"Dire","Radiant"),"")</f>
        <v/>
      </c>
    </row>
    <row r="315" spans="20:21" x14ac:dyDescent="0.3">
      <c r="T315" t="str">
        <f>IF(ISERROR(MATCH('Analysis backend'!$M$1,E315:N315,0)),"",'Analysis backend'!$L$1)</f>
        <v/>
      </c>
      <c r="U315" t="str">
        <f>IF(T315='Analysis backend'!$L$1,IF(ISERROR(MATCH('Analysis backend'!$M$1,E315:I315,0)),"Dire","Radiant"),"")</f>
        <v/>
      </c>
    </row>
    <row r="316" spans="20:21" x14ac:dyDescent="0.3">
      <c r="T316" t="str">
        <f>IF(ISERROR(MATCH('Analysis backend'!$M$1,E316:N316,0)),"",'Analysis backend'!$L$1)</f>
        <v/>
      </c>
      <c r="U316" t="str">
        <f>IF(T316='Analysis backend'!$L$1,IF(ISERROR(MATCH('Analysis backend'!$M$1,E316:I316,0)),"Dire","Radiant"),"")</f>
        <v/>
      </c>
    </row>
    <row r="317" spans="20:21" x14ac:dyDescent="0.3">
      <c r="T317" t="str">
        <f>IF(ISERROR(MATCH('Analysis backend'!$M$1,E317:N317,0)),"",'Analysis backend'!$L$1)</f>
        <v/>
      </c>
      <c r="U317" t="str">
        <f>IF(T317='Analysis backend'!$L$1,IF(ISERROR(MATCH('Analysis backend'!$M$1,E317:I317,0)),"Dire","Radiant"),"")</f>
        <v/>
      </c>
    </row>
    <row r="318" spans="20:21" x14ac:dyDescent="0.3">
      <c r="T318" t="str">
        <f>IF(ISERROR(MATCH('Analysis backend'!$M$1,E318:N318,0)),"",'Analysis backend'!$L$1)</f>
        <v/>
      </c>
      <c r="U318" t="str">
        <f>IF(T318='Analysis backend'!$L$1,IF(ISERROR(MATCH('Analysis backend'!$M$1,E318:I318,0)),"Dire","Radiant"),"")</f>
        <v/>
      </c>
    </row>
    <row r="319" spans="20:21" x14ac:dyDescent="0.3">
      <c r="T319" t="str">
        <f>IF(ISERROR(MATCH('Analysis backend'!$M$1,E319:N319,0)),"",'Analysis backend'!$L$1)</f>
        <v/>
      </c>
      <c r="U319" t="str">
        <f>IF(T319='Analysis backend'!$L$1,IF(ISERROR(MATCH('Analysis backend'!$M$1,E319:I319,0)),"Dire","Radiant"),"")</f>
        <v/>
      </c>
    </row>
    <row r="320" spans="20:21" x14ac:dyDescent="0.3">
      <c r="T320" t="str">
        <f>IF(ISERROR(MATCH('Analysis backend'!$M$1,E320:N320,0)),"",'Analysis backend'!$L$1)</f>
        <v/>
      </c>
      <c r="U320" t="str">
        <f>IF(T320='Analysis backend'!$L$1,IF(ISERROR(MATCH('Analysis backend'!$M$1,E320:I320,0)),"Dire","Radiant"),"")</f>
        <v/>
      </c>
    </row>
    <row r="321" spans="20:21" x14ac:dyDescent="0.3">
      <c r="T321" t="str">
        <f>IF(ISERROR(MATCH('Analysis backend'!$M$1,E321:N321,0)),"",'Analysis backend'!$L$1)</f>
        <v/>
      </c>
      <c r="U321" t="str">
        <f>IF(T321='Analysis backend'!$L$1,IF(ISERROR(MATCH('Analysis backend'!$M$1,E321:I321,0)),"Dire","Radiant"),"")</f>
        <v/>
      </c>
    </row>
    <row r="322" spans="20:21" x14ac:dyDescent="0.3">
      <c r="T322" t="str">
        <f>IF(ISERROR(MATCH('Analysis backend'!$M$1,E322:N322,0)),"",'Analysis backend'!$L$1)</f>
        <v/>
      </c>
      <c r="U322" t="str">
        <f>IF(T322='Analysis backend'!$L$1,IF(ISERROR(MATCH('Analysis backend'!$M$1,E322:I322,0)),"Dire","Radiant"),"")</f>
        <v/>
      </c>
    </row>
    <row r="323" spans="20:21" x14ac:dyDescent="0.3">
      <c r="T323" t="str">
        <f>IF(ISERROR(MATCH('Analysis backend'!$M$1,E323:N323,0)),"",'Analysis backend'!$L$1)</f>
        <v/>
      </c>
      <c r="U323" t="str">
        <f>IF(T323='Analysis backend'!$L$1,IF(ISERROR(MATCH('Analysis backend'!$M$1,E323:I323,0)),"Dire","Radiant"),"")</f>
        <v/>
      </c>
    </row>
    <row r="324" spans="20:21" x14ac:dyDescent="0.3">
      <c r="T324" t="str">
        <f>IF(ISERROR(MATCH('Analysis backend'!$M$1,E324:N324,0)),"",'Analysis backend'!$L$1)</f>
        <v/>
      </c>
      <c r="U324" t="str">
        <f>IF(T324='Analysis backend'!$L$1,IF(ISERROR(MATCH('Analysis backend'!$M$1,E324:I324,0)),"Dire","Radiant"),"")</f>
        <v/>
      </c>
    </row>
    <row r="325" spans="20:21" x14ac:dyDescent="0.3">
      <c r="T325" t="str">
        <f>IF(ISERROR(MATCH('Analysis backend'!$M$1,E325:N325,0)),"",'Analysis backend'!$L$1)</f>
        <v/>
      </c>
      <c r="U325" t="str">
        <f>IF(T325='Analysis backend'!$L$1,IF(ISERROR(MATCH('Analysis backend'!$M$1,E325:I325,0)),"Dire","Radiant"),"")</f>
        <v/>
      </c>
    </row>
    <row r="326" spans="20:21" x14ac:dyDescent="0.3">
      <c r="T326" t="str">
        <f>IF(ISERROR(MATCH('Analysis backend'!$M$1,E326:N326,0)),"",'Analysis backend'!$L$1)</f>
        <v/>
      </c>
      <c r="U326" t="str">
        <f>IF(T326='Analysis backend'!$L$1,IF(ISERROR(MATCH('Analysis backend'!$M$1,E326:I326,0)),"Dire","Radiant"),"")</f>
        <v/>
      </c>
    </row>
    <row r="327" spans="20:21" x14ac:dyDescent="0.3">
      <c r="T327" t="str">
        <f>IF(ISERROR(MATCH('Analysis backend'!$M$1,E327:N327,0)),"",'Analysis backend'!$L$1)</f>
        <v/>
      </c>
      <c r="U327" t="str">
        <f>IF(T327='Analysis backend'!$L$1,IF(ISERROR(MATCH('Analysis backend'!$M$1,E327:I327,0)),"Dire","Radiant"),"")</f>
        <v/>
      </c>
    </row>
    <row r="328" spans="20:21" x14ac:dyDescent="0.3">
      <c r="T328" t="str">
        <f>IF(ISERROR(MATCH('Analysis backend'!$M$1,E328:N328,0)),"",'Analysis backend'!$L$1)</f>
        <v/>
      </c>
      <c r="U328" t="str">
        <f>IF(T328='Analysis backend'!$L$1,IF(ISERROR(MATCH('Analysis backend'!$M$1,E328:I328,0)),"Dire","Radiant"),"")</f>
        <v/>
      </c>
    </row>
    <row r="329" spans="20:21" x14ac:dyDescent="0.3">
      <c r="T329" t="str">
        <f>IF(ISERROR(MATCH('Analysis backend'!$M$1,E329:N329,0)),"",'Analysis backend'!$L$1)</f>
        <v/>
      </c>
      <c r="U329" t="str">
        <f>IF(T329='Analysis backend'!$L$1,IF(ISERROR(MATCH('Analysis backend'!$M$1,E329:I329,0)),"Dire","Radiant"),"")</f>
        <v/>
      </c>
    </row>
    <row r="330" spans="20:21" x14ac:dyDescent="0.3">
      <c r="T330" t="str">
        <f>IF(ISERROR(MATCH('Analysis backend'!$M$1,E330:N330,0)),"",'Analysis backend'!$L$1)</f>
        <v/>
      </c>
      <c r="U330" t="str">
        <f>IF(T330='Analysis backend'!$L$1,IF(ISERROR(MATCH('Analysis backend'!$M$1,E330:I330,0)),"Dire","Radiant"),"")</f>
        <v/>
      </c>
    </row>
    <row r="331" spans="20:21" x14ac:dyDescent="0.3">
      <c r="T331" t="str">
        <f>IF(ISERROR(MATCH('Analysis backend'!$M$1,E331:N331,0)),"",'Analysis backend'!$L$1)</f>
        <v/>
      </c>
      <c r="U331" t="str">
        <f>IF(T331='Analysis backend'!$L$1,IF(ISERROR(MATCH('Analysis backend'!$M$1,E331:I331,0)),"Dire","Radiant"),"")</f>
        <v/>
      </c>
    </row>
    <row r="332" spans="20:21" x14ac:dyDescent="0.3">
      <c r="T332" t="str">
        <f>IF(ISERROR(MATCH('Analysis backend'!$M$1,E332:N332,0)),"",'Analysis backend'!$L$1)</f>
        <v/>
      </c>
      <c r="U332" t="str">
        <f>IF(T332='Analysis backend'!$L$1,IF(ISERROR(MATCH('Analysis backend'!$M$1,E332:I332,0)),"Dire","Radiant"),"")</f>
        <v/>
      </c>
    </row>
    <row r="333" spans="20:21" x14ac:dyDescent="0.3">
      <c r="T333" t="str">
        <f>IF(ISERROR(MATCH('Analysis backend'!$M$1,E333:N333,0)),"",'Analysis backend'!$L$1)</f>
        <v/>
      </c>
      <c r="U333" t="str">
        <f>IF(T333='Analysis backend'!$L$1,IF(ISERROR(MATCH('Analysis backend'!$M$1,E333:I333,0)),"Dire","Radiant"),"")</f>
        <v/>
      </c>
    </row>
    <row r="334" spans="20:21" x14ac:dyDescent="0.3">
      <c r="T334" t="str">
        <f>IF(ISERROR(MATCH('Analysis backend'!$M$1,E334:N334,0)),"",'Analysis backend'!$L$1)</f>
        <v/>
      </c>
      <c r="U334" t="str">
        <f>IF(T334='Analysis backend'!$L$1,IF(ISERROR(MATCH('Analysis backend'!$M$1,E334:I334,0)),"Dire","Radiant"),"")</f>
        <v/>
      </c>
    </row>
    <row r="335" spans="20:21" x14ac:dyDescent="0.3">
      <c r="T335" t="str">
        <f>IF(ISERROR(MATCH('Analysis backend'!$M$1,E335:N335,0)),"",'Analysis backend'!$L$1)</f>
        <v/>
      </c>
      <c r="U335" t="str">
        <f>IF(T335='Analysis backend'!$L$1,IF(ISERROR(MATCH('Analysis backend'!$M$1,E335:I335,0)),"Dire","Radiant"),"")</f>
        <v/>
      </c>
    </row>
    <row r="336" spans="20:21" x14ac:dyDescent="0.3">
      <c r="T336" t="str">
        <f>IF(ISERROR(MATCH('Analysis backend'!$M$1,E336:N336,0)),"",'Analysis backend'!$L$1)</f>
        <v/>
      </c>
      <c r="U336" t="str">
        <f>IF(T336='Analysis backend'!$L$1,IF(ISERROR(MATCH('Analysis backend'!$M$1,E336:I336,0)),"Dire","Radiant"),"")</f>
        <v/>
      </c>
    </row>
    <row r="337" spans="20:21" x14ac:dyDescent="0.3">
      <c r="T337" t="str">
        <f>IF(ISERROR(MATCH('Analysis backend'!$M$1,E337:N337,0)),"",'Analysis backend'!$L$1)</f>
        <v/>
      </c>
      <c r="U337" t="str">
        <f>IF(T337='Analysis backend'!$L$1,IF(ISERROR(MATCH('Analysis backend'!$M$1,E337:I337,0)),"Dire","Radiant"),"")</f>
        <v/>
      </c>
    </row>
    <row r="338" spans="20:21" x14ac:dyDescent="0.3">
      <c r="T338" t="str">
        <f>IF(ISERROR(MATCH('Analysis backend'!$M$1,E338:N338,0)),"",'Analysis backend'!$L$1)</f>
        <v/>
      </c>
      <c r="U338" t="str">
        <f>IF(T338='Analysis backend'!$L$1,IF(ISERROR(MATCH('Analysis backend'!$M$1,E338:I338,0)),"Dire","Radiant"),"")</f>
        <v/>
      </c>
    </row>
    <row r="339" spans="20:21" x14ac:dyDescent="0.3">
      <c r="T339" t="str">
        <f>IF(ISERROR(MATCH('Analysis backend'!$M$1,E339:N339,0)),"",'Analysis backend'!$L$1)</f>
        <v/>
      </c>
      <c r="U339" t="str">
        <f>IF(T339='Analysis backend'!$L$1,IF(ISERROR(MATCH('Analysis backend'!$M$1,E339:I339,0)),"Dire","Radiant"),"")</f>
        <v/>
      </c>
    </row>
    <row r="340" spans="20:21" x14ac:dyDescent="0.3">
      <c r="T340" t="str">
        <f>IF(ISERROR(MATCH('Analysis backend'!$M$1,E340:N340,0)),"",'Analysis backend'!$L$1)</f>
        <v/>
      </c>
      <c r="U340" t="str">
        <f>IF(T340='Analysis backend'!$L$1,IF(ISERROR(MATCH('Analysis backend'!$M$1,E340:I340,0)),"Dire","Radiant"),"")</f>
        <v/>
      </c>
    </row>
    <row r="341" spans="20:21" x14ac:dyDescent="0.3">
      <c r="T341" t="str">
        <f>IF(ISERROR(MATCH('Analysis backend'!$M$1,E341:N341,0)),"",'Analysis backend'!$L$1)</f>
        <v/>
      </c>
      <c r="U341" t="str">
        <f>IF(T341='Analysis backend'!$L$1,IF(ISERROR(MATCH('Analysis backend'!$M$1,E341:I341,0)),"Dire","Radiant"),"")</f>
        <v/>
      </c>
    </row>
    <row r="342" spans="20:21" x14ac:dyDescent="0.3">
      <c r="T342" t="str">
        <f>IF(ISERROR(MATCH('Analysis backend'!$M$1,E342:N342,0)),"",'Analysis backend'!$L$1)</f>
        <v/>
      </c>
      <c r="U342" t="str">
        <f>IF(T342='Analysis backend'!$L$1,IF(ISERROR(MATCH('Analysis backend'!$M$1,E342:I342,0)),"Dire","Radiant"),"")</f>
        <v/>
      </c>
    </row>
    <row r="343" spans="20:21" x14ac:dyDescent="0.3">
      <c r="T343" t="str">
        <f>IF(ISERROR(MATCH('Analysis backend'!$M$1,E343:N343,0)),"",'Analysis backend'!$L$1)</f>
        <v/>
      </c>
      <c r="U343" t="str">
        <f>IF(T343='Analysis backend'!$L$1,IF(ISERROR(MATCH('Analysis backend'!$M$1,E343:I343,0)),"Dire","Radiant"),"")</f>
        <v/>
      </c>
    </row>
    <row r="344" spans="20:21" x14ac:dyDescent="0.3">
      <c r="T344" t="str">
        <f>IF(ISERROR(MATCH('Analysis backend'!$M$1,E344:N344,0)),"",'Analysis backend'!$L$1)</f>
        <v/>
      </c>
      <c r="U344" t="str">
        <f>IF(T344='Analysis backend'!$L$1,IF(ISERROR(MATCH('Analysis backend'!$M$1,E344:I344,0)),"Dire","Radiant"),"")</f>
        <v/>
      </c>
    </row>
    <row r="345" spans="20:21" x14ac:dyDescent="0.3">
      <c r="T345" t="str">
        <f>IF(ISERROR(MATCH('Analysis backend'!$M$1,E345:N345,0)),"",'Analysis backend'!$L$1)</f>
        <v/>
      </c>
      <c r="U345" t="str">
        <f>IF(T345='Analysis backend'!$L$1,IF(ISERROR(MATCH('Analysis backend'!$M$1,E345:I345,0)),"Dire","Radiant"),"")</f>
        <v/>
      </c>
    </row>
    <row r="346" spans="20:21" x14ac:dyDescent="0.3">
      <c r="T346" t="str">
        <f>IF(ISERROR(MATCH('Analysis backend'!$M$1,E346:N346,0)),"",'Analysis backend'!$L$1)</f>
        <v/>
      </c>
      <c r="U346" t="str">
        <f>IF(T346='Analysis backend'!$L$1,IF(ISERROR(MATCH('Analysis backend'!$M$1,E346:I346,0)),"Dire","Radiant"),"")</f>
        <v/>
      </c>
    </row>
    <row r="347" spans="20:21" x14ac:dyDescent="0.3">
      <c r="T347" t="str">
        <f>IF(ISERROR(MATCH('Analysis backend'!$M$1,E347:N347,0)),"",'Analysis backend'!$L$1)</f>
        <v/>
      </c>
      <c r="U347" t="str">
        <f>IF(T347='Analysis backend'!$L$1,IF(ISERROR(MATCH('Analysis backend'!$M$1,E347:I347,0)),"Dire","Radiant"),"")</f>
        <v/>
      </c>
    </row>
    <row r="348" spans="20:21" x14ac:dyDescent="0.3">
      <c r="T348" t="str">
        <f>IF(ISERROR(MATCH('Analysis backend'!$M$1,E348:N348,0)),"",'Analysis backend'!$L$1)</f>
        <v/>
      </c>
      <c r="U348" t="str">
        <f>IF(T348='Analysis backend'!$L$1,IF(ISERROR(MATCH('Analysis backend'!$M$1,E348:I348,0)),"Dire","Radiant"),"")</f>
        <v/>
      </c>
    </row>
    <row r="349" spans="20:21" x14ac:dyDescent="0.3">
      <c r="T349" t="str">
        <f>IF(ISERROR(MATCH('Analysis backend'!$M$1,E349:N349,0)),"",'Analysis backend'!$L$1)</f>
        <v/>
      </c>
      <c r="U349" t="str">
        <f>IF(T349='Analysis backend'!$L$1,IF(ISERROR(MATCH('Analysis backend'!$M$1,E349:I349,0)),"Dire","Radiant"),"")</f>
        <v/>
      </c>
    </row>
    <row r="350" spans="20:21" x14ac:dyDescent="0.3">
      <c r="T350" t="str">
        <f>IF(ISERROR(MATCH('Analysis backend'!$M$1,E350:N350,0)),"",'Analysis backend'!$L$1)</f>
        <v/>
      </c>
      <c r="U350" t="str">
        <f>IF(T350='Analysis backend'!$L$1,IF(ISERROR(MATCH('Analysis backend'!$M$1,E350:I350,0)),"Dire","Radiant"),"")</f>
        <v/>
      </c>
    </row>
    <row r="351" spans="20:21" x14ac:dyDescent="0.3">
      <c r="T351" t="str">
        <f>IF(ISERROR(MATCH('Analysis backend'!$M$1,E351:N351,0)),"",'Analysis backend'!$L$1)</f>
        <v/>
      </c>
      <c r="U351" t="str">
        <f>IF(T351='Analysis backend'!$L$1,IF(ISERROR(MATCH('Analysis backend'!$M$1,E351:I351,0)),"Dire","Radiant"),"")</f>
        <v/>
      </c>
    </row>
    <row r="352" spans="20:21" x14ac:dyDescent="0.3">
      <c r="T352" t="str">
        <f>IF(ISERROR(MATCH('Analysis backend'!$M$1,E352:N352,0)),"",'Analysis backend'!$L$1)</f>
        <v/>
      </c>
      <c r="U352" t="str">
        <f>IF(T352='Analysis backend'!$L$1,IF(ISERROR(MATCH('Analysis backend'!$M$1,E352:I352,0)),"Dire","Radiant"),"")</f>
        <v/>
      </c>
    </row>
    <row r="353" spans="20:21" x14ac:dyDescent="0.3">
      <c r="T353" t="str">
        <f>IF(ISERROR(MATCH('Analysis backend'!$M$1,E353:N353,0)),"",'Analysis backend'!$L$1)</f>
        <v/>
      </c>
      <c r="U353" t="str">
        <f>IF(T353='Analysis backend'!$L$1,IF(ISERROR(MATCH('Analysis backend'!$M$1,E353:I353,0)),"Dire","Radiant"),"")</f>
        <v/>
      </c>
    </row>
    <row r="354" spans="20:21" x14ac:dyDescent="0.3">
      <c r="T354" t="str">
        <f>IF(ISERROR(MATCH('Analysis backend'!$M$1,E354:N354,0)),"",'Analysis backend'!$L$1)</f>
        <v/>
      </c>
      <c r="U354" t="str">
        <f>IF(T354='Analysis backend'!$L$1,IF(ISERROR(MATCH('Analysis backend'!$M$1,E354:I354,0)),"Dire","Radiant"),"")</f>
        <v/>
      </c>
    </row>
    <row r="355" spans="20:21" x14ac:dyDescent="0.3">
      <c r="T355" t="str">
        <f>IF(ISERROR(MATCH('Analysis backend'!$M$1,E355:N355,0)),"",'Analysis backend'!$L$1)</f>
        <v/>
      </c>
      <c r="U355" t="str">
        <f>IF(T355='Analysis backend'!$L$1,IF(ISERROR(MATCH('Analysis backend'!$M$1,E355:I355,0)),"Dire","Radiant"),"")</f>
        <v/>
      </c>
    </row>
    <row r="356" spans="20:21" x14ac:dyDescent="0.3">
      <c r="T356" t="str">
        <f>IF(ISERROR(MATCH('Analysis backend'!$M$1,E356:N356,0)),"",'Analysis backend'!$L$1)</f>
        <v/>
      </c>
      <c r="U356" t="str">
        <f>IF(T356='Analysis backend'!$L$1,IF(ISERROR(MATCH('Analysis backend'!$M$1,E356:I356,0)),"Dire","Radiant"),"")</f>
        <v/>
      </c>
    </row>
    <row r="357" spans="20:21" x14ac:dyDescent="0.3">
      <c r="T357" t="str">
        <f>IF(ISERROR(MATCH('Analysis backend'!$M$1,E357:N357,0)),"",'Analysis backend'!$L$1)</f>
        <v/>
      </c>
      <c r="U357" t="str">
        <f>IF(T357='Analysis backend'!$L$1,IF(ISERROR(MATCH('Analysis backend'!$M$1,E357:I357,0)),"Dire","Radiant"),"")</f>
        <v/>
      </c>
    </row>
    <row r="358" spans="20:21" x14ac:dyDescent="0.3">
      <c r="T358" t="str">
        <f>IF(ISERROR(MATCH('Analysis backend'!$M$1,E358:N358,0)),"",'Analysis backend'!$L$1)</f>
        <v/>
      </c>
      <c r="U358" t="str">
        <f>IF(T358='Analysis backend'!$L$1,IF(ISERROR(MATCH('Analysis backend'!$M$1,E358:I358,0)),"Dire","Radiant"),"")</f>
        <v/>
      </c>
    </row>
    <row r="359" spans="20:21" x14ac:dyDescent="0.3">
      <c r="T359" t="str">
        <f>IF(ISERROR(MATCH('Analysis backend'!$M$1,E359:N359,0)),"",'Analysis backend'!$L$1)</f>
        <v/>
      </c>
      <c r="U359" t="str">
        <f>IF(T359='Analysis backend'!$L$1,IF(ISERROR(MATCH('Analysis backend'!$M$1,E359:I359,0)),"Dire","Radiant"),"")</f>
        <v/>
      </c>
    </row>
    <row r="360" spans="20:21" x14ac:dyDescent="0.3">
      <c r="T360" t="str">
        <f>IF(ISERROR(MATCH('Analysis backend'!$M$1,E360:N360,0)),"",'Analysis backend'!$L$1)</f>
        <v/>
      </c>
      <c r="U360" t="str">
        <f>IF(T360='Analysis backend'!$L$1,IF(ISERROR(MATCH('Analysis backend'!$M$1,E360:I360,0)),"Dire","Radiant"),"")</f>
        <v/>
      </c>
    </row>
    <row r="361" spans="20:21" x14ac:dyDescent="0.3">
      <c r="T361" t="str">
        <f>IF(ISERROR(MATCH('Analysis backend'!$M$1,E361:N361,0)),"",'Analysis backend'!$L$1)</f>
        <v/>
      </c>
      <c r="U361" t="str">
        <f>IF(T361='Analysis backend'!$L$1,IF(ISERROR(MATCH('Analysis backend'!$M$1,E361:I361,0)),"Dire","Radiant"),"")</f>
        <v/>
      </c>
    </row>
    <row r="362" spans="20:21" x14ac:dyDescent="0.3">
      <c r="T362" t="str">
        <f>IF(ISERROR(MATCH('Analysis backend'!$M$1,E362:N362,0)),"",'Analysis backend'!$L$1)</f>
        <v/>
      </c>
      <c r="U362" t="str">
        <f>IF(T362='Analysis backend'!$L$1,IF(ISERROR(MATCH('Analysis backend'!$M$1,E362:I362,0)),"Dire","Radiant"),"")</f>
        <v/>
      </c>
    </row>
    <row r="363" spans="20:21" x14ac:dyDescent="0.3">
      <c r="T363" t="str">
        <f>IF(ISERROR(MATCH('Analysis backend'!$M$1,E363:N363,0)),"",'Analysis backend'!$L$1)</f>
        <v/>
      </c>
      <c r="U363" t="str">
        <f>IF(T363='Analysis backend'!$L$1,IF(ISERROR(MATCH('Analysis backend'!$M$1,E363:I363,0)),"Dire","Radiant"),"")</f>
        <v/>
      </c>
    </row>
    <row r="364" spans="20:21" x14ac:dyDescent="0.3">
      <c r="T364" t="str">
        <f>IF(ISERROR(MATCH('Analysis backend'!$M$1,E364:N364,0)),"",'Analysis backend'!$L$1)</f>
        <v/>
      </c>
      <c r="U364" t="str">
        <f>IF(T364='Analysis backend'!$L$1,IF(ISERROR(MATCH('Analysis backend'!$M$1,E364:I364,0)),"Dire","Radiant"),"")</f>
        <v/>
      </c>
    </row>
    <row r="365" spans="20:21" x14ac:dyDescent="0.3">
      <c r="T365" t="str">
        <f>IF(ISERROR(MATCH('Analysis backend'!$M$1,E365:N365,0)),"",'Analysis backend'!$L$1)</f>
        <v/>
      </c>
      <c r="U365" t="str">
        <f>IF(T365='Analysis backend'!$L$1,IF(ISERROR(MATCH('Analysis backend'!$M$1,E365:I365,0)),"Dire","Radiant"),"")</f>
        <v/>
      </c>
    </row>
    <row r="366" spans="20:21" x14ac:dyDescent="0.3">
      <c r="T366" t="str">
        <f>IF(ISERROR(MATCH('Analysis backend'!$M$1,E366:N366,0)),"",'Analysis backend'!$L$1)</f>
        <v/>
      </c>
      <c r="U366" t="str">
        <f>IF(T366='Analysis backend'!$L$1,IF(ISERROR(MATCH('Analysis backend'!$M$1,E366:I366,0)),"Dire","Radiant"),"")</f>
        <v/>
      </c>
    </row>
    <row r="367" spans="20:21" x14ac:dyDescent="0.3">
      <c r="T367" t="str">
        <f>IF(ISERROR(MATCH('Analysis backend'!$M$1,E367:N367,0)),"",'Analysis backend'!$L$1)</f>
        <v/>
      </c>
      <c r="U367" t="str">
        <f>IF(T367='Analysis backend'!$L$1,IF(ISERROR(MATCH('Analysis backend'!$M$1,E367:I367,0)),"Dire","Radiant"),"")</f>
        <v/>
      </c>
    </row>
    <row r="368" spans="20:21" x14ac:dyDescent="0.3">
      <c r="T368" t="str">
        <f>IF(ISERROR(MATCH('Analysis backend'!$M$1,E368:N368,0)),"",'Analysis backend'!$L$1)</f>
        <v/>
      </c>
      <c r="U368" t="str">
        <f>IF(T368='Analysis backend'!$L$1,IF(ISERROR(MATCH('Analysis backend'!$M$1,E368:I368,0)),"Dire","Radiant"),"")</f>
        <v/>
      </c>
    </row>
    <row r="369" spans="20:21" x14ac:dyDescent="0.3">
      <c r="T369" t="str">
        <f>IF(ISERROR(MATCH('Analysis backend'!$M$1,E369:N369,0)),"",'Analysis backend'!$L$1)</f>
        <v/>
      </c>
      <c r="U369" t="str">
        <f>IF(T369='Analysis backend'!$L$1,IF(ISERROR(MATCH('Analysis backend'!$M$1,E369:I369,0)),"Dire","Radiant"),"")</f>
        <v/>
      </c>
    </row>
    <row r="370" spans="20:21" x14ac:dyDescent="0.3">
      <c r="T370" t="str">
        <f>IF(ISERROR(MATCH('Analysis backend'!$M$1,E370:N370,0)),"",'Analysis backend'!$L$1)</f>
        <v/>
      </c>
      <c r="U370" t="str">
        <f>IF(T370='Analysis backend'!$L$1,IF(ISERROR(MATCH('Analysis backend'!$M$1,E370:I370,0)),"Dire","Radiant"),"")</f>
        <v/>
      </c>
    </row>
    <row r="371" spans="20:21" x14ac:dyDescent="0.3">
      <c r="T371" t="str">
        <f>IF(ISERROR(MATCH('Analysis backend'!$M$1,E371:N371,0)),"",'Analysis backend'!$L$1)</f>
        <v/>
      </c>
      <c r="U371" t="str">
        <f>IF(T371='Analysis backend'!$L$1,IF(ISERROR(MATCH('Analysis backend'!$M$1,E371:I371,0)),"Dire","Radiant"),"")</f>
        <v/>
      </c>
    </row>
    <row r="372" spans="20:21" x14ac:dyDescent="0.3">
      <c r="T372" t="str">
        <f>IF(ISERROR(MATCH('Analysis backend'!$M$1,E372:N372,0)),"",'Analysis backend'!$L$1)</f>
        <v/>
      </c>
      <c r="U372" t="str">
        <f>IF(T372='Analysis backend'!$L$1,IF(ISERROR(MATCH('Analysis backend'!$M$1,E372:I372,0)),"Dire","Radiant"),"")</f>
        <v/>
      </c>
    </row>
    <row r="373" spans="20:21" x14ac:dyDescent="0.3">
      <c r="T373" t="str">
        <f>IF(ISERROR(MATCH('Analysis backend'!$M$1,E373:N373,0)),"",'Analysis backend'!$L$1)</f>
        <v/>
      </c>
      <c r="U373" t="str">
        <f>IF(T373='Analysis backend'!$L$1,IF(ISERROR(MATCH('Analysis backend'!$M$1,E373:I373,0)),"Dire","Radiant"),"")</f>
        <v/>
      </c>
    </row>
    <row r="374" spans="20:21" x14ac:dyDescent="0.3">
      <c r="T374" t="str">
        <f>IF(ISERROR(MATCH('Analysis backend'!$M$1,E374:N374,0)),"",'Analysis backend'!$L$1)</f>
        <v/>
      </c>
      <c r="U374" t="str">
        <f>IF(T374='Analysis backend'!$L$1,IF(ISERROR(MATCH('Analysis backend'!$M$1,E374:I374,0)),"Dire","Radiant"),"")</f>
        <v/>
      </c>
    </row>
    <row r="375" spans="20:21" x14ac:dyDescent="0.3">
      <c r="T375" t="str">
        <f>IF(ISERROR(MATCH('Analysis backend'!$M$1,E375:N375,0)),"",'Analysis backend'!$L$1)</f>
        <v/>
      </c>
      <c r="U375" t="str">
        <f>IF(T375='Analysis backend'!$L$1,IF(ISERROR(MATCH('Analysis backend'!$M$1,E375:I375,0)),"Dire","Radiant"),"")</f>
        <v/>
      </c>
    </row>
    <row r="376" spans="20:21" x14ac:dyDescent="0.3">
      <c r="T376" t="str">
        <f>IF(ISERROR(MATCH('Analysis backend'!$M$1,E376:N376,0)),"",'Analysis backend'!$L$1)</f>
        <v/>
      </c>
      <c r="U376" t="str">
        <f>IF(T376='Analysis backend'!$L$1,IF(ISERROR(MATCH('Analysis backend'!$M$1,E376:I376,0)),"Dire","Radiant"),"")</f>
        <v/>
      </c>
    </row>
    <row r="377" spans="20:21" x14ac:dyDescent="0.3">
      <c r="T377" t="str">
        <f>IF(ISERROR(MATCH('Analysis backend'!$M$1,E377:N377,0)),"",'Analysis backend'!$L$1)</f>
        <v/>
      </c>
      <c r="U377" t="str">
        <f>IF(T377='Analysis backend'!$L$1,IF(ISERROR(MATCH('Analysis backend'!$M$1,E377:I377,0)),"Dire","Radiant"),"")</f>
        <v/>
      </c>
    </row>
    <row r="378" spans="20:21" x14ac:dyDescent="0.3">
      <c r="T378" t="str">
        <f>IF(ISERROR(MATCH('Analysis backend'!$M$1,E378:N378,0)),"",'Analysis backend'!$L$1)</f>
        <v/>
      </c>
      <c r="U378" t="str">
        <f>IF(T378='Analysis backend'!$L$1,IF(ISERROR(MATCH('Analysis backend'!$M$1,E378:I378,0)),"Dire","Radiant"),"")</f>
        <v/>
      </c>
    </row>
    <row r="379" spans="20:21" x14ac:dyDescent="0.3">
      <c r="T379" t="str">
        <f>IF(ISERROR(MATCH('Analysis backend'!$M$1,E379:N379,0)),"",'Analysis backend'!$L$1)</f>
        <v/>
      </c>
      <c r="U379" t="str">
        <f>IF(T379='Analysis backend'!$L$1,IF(ISERROR(MATCH('Analysis backend'!$M$1,E379:I379,0)),"Dire","Radiant"),"")</f>
        <v/>
      </c>
    </row>
    <row r="380" spans="20:21" x14ac:dyDescent="0.3">
      <c r="T380" t="str">
        <f>IF(ISERROR(MATCH('Analysis backend'!$M$1,E380:N380,0)),"",'Analysis backend'!$L$1)</f>
        <v/>
      </c>
      <c r="U380" t="str">
        <f>IF(T380='Analysis backend'!$L$1,IF(ISERROR(MATCH('Analysis backend'!$M$1,E380:I380,0)),"Dire","Radiant"),"")</f>
        <v/>
      </c>
    </row>
    <row r="381" spans="20:21" x14ac:dyDescent="0.3">
      <c r="T381" t="str">
        <f>IF(ISERROR(MATCH('Analysis backend'!$M$1,E381:N381,0)),"",'Analysis backend'!$L$1)</f>
        <v/>
      </c>
      <c r="U381" t="str">
        <f>IF(T381='Analysis backend'!$L$1,IF(ISERROR(MATCH('Analysis backend'!$M$1,E381:I381,0)),"Dire","Radiant"),"")</f>
        <v/>
      </c>
    </row>
    <row r="382" spans="20:21" x14ac:dyDescent="0.3">
      <c r="T382" t="str">
        <f>IF(ISERROR(MATCH('Analysis backend'!$M$1,E382:N382,0)),"",'Analysis backend'!$L$1)</f>
        <v/>
      </c>
      <c r="U382" t="str">
        <f>IF(T382='Analysis backend'!$L$1,IF(ISERROR(MATCH('Analysis backend'!$M$1,E382:I382,0)),"Dire","Radiant"),"")</f>
        <v/>
      </c>
    </row>
    <row r="383" spans="20:21" x14ac:dyDescent="0.3">
      <c r="T383" t="str">
        <f>IF(ISERROR(MATCH('Analysis backend'!$M$1,E383:N383,0)),"",'Analysis backend'!$L$1)</f>
        <v/>
      </c>
      <c r="U383" t="str">
        <f>IF(T383='Analysis backend'!$L$1,IF(ISERROR(MATCH('Analysis backend'!$M$1,E383:I383,0)),"Dire","Radiant"),"")</f>
        <v/>
      </c>
    </row>
    <row r="384" spans="20:21" x14ac:dyDescent="0.3">
      <c r="T384" t="str">
        <f>IF(ISERROR(MATCH('Analysis backend'!$M$1,E384:N384,0)),"",'Analysis backend'!$L$1)</f>
        <v/>
      </c>
      <c r="U384" t="str">
        <f>IF(T384='Analysis backend'!$L$1,IF(ISERROR(MATCH('Analysis backend'!$M$1,E384:I384,0)),"Dire","Radiant"),"")</f>
        <v/>
      </c>
    </row>
    <row r="385" spans="20:21" x14ac:dyDescent="0.3">
      <c r="T385" t="str">
        <f>IF(ISERROR(MATCH('Analysis backend'!$M$1,E385:N385,0)),"",'Analysis backend'!$L$1)</f>
        <v/>
      </c>
      <c r="U385" t="str">
        <f>IF(T385='Analysis backend'!$L$1,IF(ISERROR(MATCH('Analysis backend'!$M$1,E385:I385,0)),"Dire","Radiant"),"")</f>
        <v/>
      </c>
    </row>
    <row r="386" spans="20:21" x14ac:dyDescent="0.3">
      <c r="T386" t="str">
        <f>IF(ISERROR(MATCH('Analysis backend'!$M$1,E386:N386,0)),"",'Analysis backend'!$L$1)</f>
        <v/>
      </c>
      <c r="U386" t="str">
        <f>IF(T386='Analysis backend'!$L$1,IF(ISERROR(MATCH('Analysis backend'!$M$1,E386:I386,0)),"Dire","Radiant"),"")</f>
        <v/>
      </c>
    </row>
    <row r="387" spans="20:21" x14ac:dyDescent="0.3">
      <c r="T387" t="str">
        <f>IF(ISERROR(MATCH('Analysis backend'!$M$1,E387:N387,0)),"",'Analysis backend'!$L$1)</f>
        <v/>
      </c>
      <c r="U387" t="str">
        <f>IF(T387='Analysis backend'!$L$1,IF(ISERROR(MATCH('Analysis backend'!$M$1,E387:I387,0)),"Dire","Radiant"),"")</f>
        <v/>
      </c>
    </row>
    <row r="388" spans="20:21" x14ac:dyDescent="0.3">
      <c r="T388" t="str">
        <f>IF(ISERROR(MATCH('Analysis backend'!$M$1,E388:N388,0)),"",'Analysis backend'!$L$1)</f>
        <v/>
      </c>
      <c r="U388" t="str">
        <f>IF(T388='Analysis backend'!$L$1,IF(ISERROR(MATCH('Analysis backend'!$M$1,E388:I388,0)),"Dire","Radiant"),"")</f>
        <v/>
      </c>
    </row>
    <row r="389" spans="20:21" x14ac:dyDescent="0.3">
      <c r="T389" t="str">
        <f>IF(ISERROR(MATCH('Analysis backend'!$M$1,E389:N389,0)),"",'Analysis backend'!$L$1)</f>
        <v/>
      </c>
      <c r="U389" t="str">
        <f>IF(T389='Analysis backend'!$L$1,IF(ISERROR(MATCH('Analysis backend'!$M$1,E389:I389,0)),"Dire","Radiant"),"")</f>
        <v/>
      </c>
    </row>
    <row r="390" spans="20:21" x14ac:dyDescent="0.3">
      <c r="T390" t="str">
        <f>IF(ISERROR(MATCH('Analysis backend'!$M$1,E390:N390,0)),"",'Analysis backend'!$L$1)</f>
        <v/>
      </c>
      <c r="U390" t="str">
        <f>IF(T390='Analysis backend'!$L$1,IF(ISERROR(MATCH('Analysis backend'!$M$1,E390:I390,0)),"Dire","Radiant"),"")</f>
        <v/>
      </c>
    </row>
    <row r="391" spans="20:21" x14ac:dyDescent="0.3">
      <c r="T391" t="str">
        <f>IF(ISERROR(MATCH('Analysis backend'!$M$1,E391:N391,0)),"",'Analysis backend'!$L$1)</f>
        <v/>
      </c>
      <c r="U391" t="str">
        <f>IF(T391='Analysis backend'!$L$1,IF(ISERROR(MATCH('Analysis backend'!$M$1,E391:I391,0)),"Dire","Radiant"),"")</f>
        <v/>
      </c>
    </row>
    <row r="392" spans="20:21" x14ac:dyDescent="0.3">
      <c r="T392" t="str">
        <f>IF(ISERROR(MATCH('Analysis backend'!$M$1,E392:N392,0)),"",'Analysis backend'!$L$1)</f>
        <v/>
      </c>
      <c r="U392" t="str">
        <f>IF(T392='Analysis backend'!$L$1,IF(ISERROR(MATCH('Analysis backend'!$M$1,E392:I392,0)),"Dire","Radiant"),"")</f>
        <v/>
      </c>
    </row>
    <row r="393" spans="20:21" x14ac:dyDescent="0.3">
      <c r="T393" t="str">
        <f>IF(ISERROR(MATCH('Analysis backend'!$M$1,E393:N393,0)),"",'Analysis backend'!$L$1)</f>
        <v/>
      </c>
      <c r="U393" t="str">
        <f>IF(T393='Analysis backend'!$L$1,IF(ISERROR(MATCH('Analysis backend'!$M$1,E393:I393,0)),"Dire","Radiant"),"")</f>
        <v/>
      </c>
    </row>
    <row r="394" spans="20:21" x14ac:dyDescent="0.3">
      <c r="T394" t="str">
        <f>IF(ISERROR(MATCH('Analysis backend'!$M$1,E394:N394,0)),"",'Analysis backend'!$L$1)</f>
        <v/>
      </c>
      <c r="U394" t="str">
        <f>IF(T394='Analysis backend'!$L$1,IF(ISERROR(MATCH('Analysis backend'!$M$1,E394:I394,0)),"Dire","Radiant"),"")</f>
        <v/>
      </c>
    </row>
    <row r="395" spans="20:21" x14ac:dyDescent="0.3">
      <c r="T395" t="str">
        <f>IF(ISERROR(MATCH('Analysis backend'!$M$1,E395:N395,0)),"",'Analysis backend'!$L$1)</f>
        <v/>
      </c>
      <c r="U395" t="str">
        <f>IF(T395='Analysis backend'!$L$1,IF(ISERROR(MATCH('Analysis backend'!$M$1,E395:I395,0)),"Dire","Radiant"),"")</f>
        <v/>
      </c>
    </row>
    <row r="396" spans="20:21" x14ac:dyDescent="0.3">
      <c r="T396" t="str">
        <f>IF(ISERROR(MATCH('Analysis backend'!$M$1,E396:N396,0)),"",'Analysis backend'!$L$1)</f>
        <v/>
      </c>
      <c r="U396" t="str">
        <f>IF(T396='Analysis backend'!$L$1,IF(ISERROR(MATCH('Analysis backend'!$M$1,E396:I396,0)),"Dire","Radiant"),"")</f>
        <v/>
      </c>
    </row>
    <row r="397" spans="20:21" x14ac:dyDescent="0.3">
      <c r="T397" t="str">
        <f>IF(ISERROR(MATCH('Analysis backend'!$M$1,E397:N397,0)),"",'Analysis backend'!$L$1)</f>
        <v/>
      </c>
      <c r="U397" t="str">
        <f>IF(T397='Analysis backend'!$L$1,IF(ISERROR(MATCH('Analysis backend'!$M$1,E397:I397,0)),"Dire","Radiant"),"")</f>
        <v/>
      </c>
    </row>
    <row r="398" spans="20:21" x14ac:dyDescent="0.3">
      <c r="T398" t="str">
        <f>IF(ISERROR(MATCH('Analysis backend'!$M$1,E398:N398,0)),"",'Analysis backend'!$L$1)</f>
        <v/>
      </c>
      <c r="U398" t="str">
        <f>IF(T398='Analysis backend'!$L$1,IF(ISERROR(MATCH('Analysis backend'!$M$1,E398:I398,0)),"Dire","Radiant"),"")</f>
        <v/>
      </c>
    </row>
    <row r="399" spans="20:21" x14ac:dyDescent="0.3">
      <c r="T399" t="str">
        <f>IF(ISERROR(MATCH('Analysis backend'!$M$1,E399:N399,0)),"",'Analysis backend'!$L$1)</f>
        <v/>
      </c>
      <c r="U399" t="str">
        <f>IF(T399='Analysis backend'!$L$1,IF(ISERROR(MATCH('Analysis backend'!$M$1,E399:I399,0)),"Dire","Radiant"),"")</f>
        <v/>
      </c>
    </row>
    <row r="400" spans="20:21" x14ac:dyDescent="0.3">
      <c r="T400" t="str">
        <f>IF(ISERROR(MATCH('Analysis backend'!$M$1,E400:N400,0)),"",'Analysis backend'!$L$1)</f>
        <v/>
      </c>
      <c r="U400" t="str">
        <f>IF(T400='Analysis backend'!$L$1,IF(ISERROR(MATCH('Analysis backend'!$M$1,E400:I400,0)),"Dire","Radiant"),"")</f>
        <v/>
      </c>
    </row>
    <row r="401" spans="20:21" x14ac:dyDescent="0.3">
      <c r="T401" t="str">
        <f>IF(ISERROR(MATCH('Analysis backend'!$M$1,E401:N401,0)),"",'Analysis backend'!$L$1)</f>
        <v/>
      </c>
      <c r="U401" t="str">
        <f>IF(T401='Analysis backend'!$L$1,IF(ISERROR(MATCH('Analysis backend'!$M$1,E401:I401,0)),"Dire","Radiant"),"")</f>
        <v/>
      </c>
    </row>
    <row r="402" spans="20:21" x14ac:dyDescent="0.3">
      <c r="T402" t="str">
        <f>IF(ISERROR(MATCH('Analysis backend'!$M$1,E402:N402,0)),"",'Analysis backend'!$L$1)</f>
        <v/>
      </c>
      <c r="U402" t="str">
        <f>IF(T402='Analysis backend'!$L$1,IF(ISERROR(MATCH('Analysis backend'!$M$1,E402:I402,0)),"Dire","Radiant"),"")</f>
        <v/>
      </c>
    </row>
    <row r="403" spans="20:21" x14ac:dyDescent="0.3">
      <c r="T403" t="str">
        <f>IF(ISERROR(MATCH('Analysis backend'!$M$1,E403:N403,0)),"",'Analysis backend'!$L$1)</f>
        <v/>
      </c>
      <c r="U403" t="str">
        <f>IF(T403='Analysis backend'!$L$1,IF(ISERROR(MATCH('Analysis backend'!$M$1,E403:I403,0)),"Dire","Radiant"),"")</f>
        <v/>
      </c>
    </row>
    <row r="404" spans="20:21" x14ac:dyDescent="0.3">
      <c r="T404" t="str">
        <f>IF(ISERROR(MATCH('Analysis backend'!$M$1,E404:N404,0)),"",'Analysis backend'!$L$1)</f>
        <v/>
      </c>
      <c r="U404" t="str">
        <f>IF(T404='Analysis backend'!$L$1,IF(ISERROR(MATCH('Analysis backend'!$M$1,E404:I404,0)),"Dire","Radiant"),"")</f>
        <v/>
      </c>
    </row>
    <row r="405" spans="20:21" x14ac:dyDescent="0.3">
      <c r="T405" t="str">
        <f>IF(ISERROR(MATCH('Analysis backend'!$M$1,E405:N405,0)),"",'Analysis backend'!$L$1)</f>
        <v/>
      </c>
      <c r="U405" t="str">
        <f>IF(T405='Analysis backend'!$L$1,IF(ISERROR(MATCH('Analysis backend'!$M$1,E405:I405,0)),"Dire","Radiant"),"")</f>
        <v/>
      </c>
    </row>
    <row r="406" spans="20:21" x14ac:dyDescent="0.3">
      <c r="T406" t="str">
        <f>IF(ISERROR(MATCH('Analysis backend'!$M$1,E406:N406,0)),"",'Analysis backend'!$L$1)</f>
        <v/>
      </c>
      <c r="U406" t="str">
        <f>IF(T406='Analysis backend'!$L$1,IF(ISERROR(MATCH('Analysis backend'!$M$1,E406:I406,0)),"Dire","Radiant"),"")</f>
        <v/>
      </c>
    </row>
    <row r="407" spans="20:21" x14ac:dyDescent="0.3">
      <c r="T407" t="str">
        <f>IF(ISERROR(MATCH('Analysis backend'!$M$1,E407:N407,0)),"",'Analysis backend'!$L$1)</f>
        <v/>
      </c>
      <c r="U407" t="str">
        <f>IF(T407='Analysis backend'!$L$1,IF(ISERROR(MATCH('Analysis backend'!$M$1,E407:I407,0)),"Dire","Radiant"),"")</f>
        <v/>
      </c>
    </row>
    <row r="408" spans="20:21" x14ac:dyDescent="0.3">
      <c r="T408" t="str">
        <f>IF(ISERROR(MATCH('Analysis backend'!$M$1,E408:N408,0)),"",'Analysis backend'!$L$1)</f>
        <v/>
      </c>
      <c r="U408" t="str">
        <f>IF(T408='Analysis backend'!$L$1,IF(ISERROR(MATCH('Analysis backend'!$M$1,E408:I408,0)),"Dire","Radiant"),"")</f>
        <v/>
      </c>
    </row>
    <row r="409" spans="20:21" x14ac:dyDescent="0.3">
      <c r="T409" t="str">
        <f>IF(ISERROR(MATCH('Analysis backend'!$M$1,E409:N409,0)),"",'Analysis backend'!$L$1)</f>
        <v/>
      </c>
      <c r="U409" t="str">
        <f>IF(T409='Analysis backend'!$L$1,IF(ISERROR(MATCH('Analysis backend'!$M$1,E409:I409,0)),"Dire","Radiant"),"")</f>
        <v/>
      </c>
    </row>
    <row r="410" spans="20:21" x14ac:dyDescent="0.3">
      <c r="T410" t="str">
        <f>IF(ISERROR(MATCH('Analysis backend'!$M$1,E410:N410,0)),"",'Analysis backend'!$L$1)</f>
        <v/>
      </c>
      <c r="U410" t="str">
        <f>IF(T410='Analysis backend'!$L$1,IF(ISERROR(MATCH('Analysis backend'!$M$1,E410:I410,0)),"Dire","Radiant"),"")</f>
        <v/>
      </c>
    </row>
    <row r="411" spans="20:21" x14ac:dyDescent="0.3">
      <c r="T411" t="str">
        <f>IF(ISERROR(MATCH('Analysis backend'!$M$1,E411:N411,0)),"",'Analysis backend'!$L$1)</f>
        <v/>
      </c>
      <c r="U411" t="str">
        <f>IF(T411='Analysis backend'!$L$1,IF(ISERROR(MATCH('Analysis backend'!$M$1,E411:I411,0)),"Dire","Radiant"),"")</f>
        <v/>
      </c>
    </row>
    <row r="412" spans="20:21" x14ac:dyDescent="0.3">
      <c r="T412" t="str">
        <f>IF(ISERROR(MATCH('Analysis backend'!$M$1,E412:N412,0)),"",'Analysis backend'!$L$1)</f>
        <v/>
      </c>
      <c r="U412" t="str">
        <f>IF(T412='Analysis backend'!$L$1,IF(ISERROR(MATCH('Analysis backend'!$M$1,E412:I412,0)),"Dire","Radiant"),"")</f>
        <v/>
      </c>
    </row>
    <row r="413" spans="20:21" x14ac:dyDescent="0.3">
      <c r="T413" t="str">
        <f>IF(ISERROR(MATCH('Analysis backend'!$M$1,E413:N413,0)),"",'Analysis backend'!$L$1)</f>
        <v/>
      </c>
      <c r="U413" t="str">
        <f>IF(T413='Analysis backend'!$L$1,IF(ISERROR(MATCH('Analysis backend'!$M$1,E413:I413,0)),"Dire","Radiant"),"")</f>
        <v/>
      </c>
    </row>
    <row r="414" spans="20:21" x14ac:dyDescent="0.3">
      <c r="T414" t="str">
        <f>IF(ISERROR(MATCH('Analysis backend'!$M$1,E414:N414,0)),"",'Analysis backend'!$L$1)</f>
        <v/>
      </c>
      <c r="U414" t="str">
        <f>IF(T414='Analysis backend'!$L$1,IF(ISERROR(MATCH('Analysis backend'!$M$1,E414:I414,0)),"Dire","Radiant"),"")</f>
        <v/>
      </c>
    </row>
    <row r="415" spans="20:21" x14ac:dyDescent="0.3">
      <c r="T415" t="str">
        <f>IF(ISERROR(MATCH('Analysis backend'!$M$1,E415:N415,0)),"",'Analysis backend'!$L$1)</f>
        <v/>
      </c>
      <c r="U415" t="str">
        <f>IF(T415='Analysis backend'!$L$1,IF(ISERROR(MATCH('Analysis backend'!$M$1,E415:I415,0)),"Dire","Radiant"),"")</f>
        <v/>
      </c>
    </row>
    <row r="416" spans="20:21" x14ac:dyDescent="0.3">
      <c r="T416" t="str">
        <f>IF(ISERROR(MATCH('Analysis backend'!$M$1,E416:N416,0)),"",'Analysis backend'!$L$1)</f>
        <v/>
      </c>
      <c r="U416" t="str">
        <f>IF(T416='Analysis backend'!$L$1,IF(ISERROR(MATCH('Analysis backend'!$M$1,E416:I416,0)),"Dire","Radiant"),"")</f>
        <v/>
      </c>
    </row>
    <row r="417" spans="20:21" x14ac:dyDescent="0.3">
      <c r="T417" t="str">
        <f>IF(ISERROR(MATCH('Analysis backend'!$M$1,E417:N417,0)),"",'Analysis backend'!$L$1)</f>
        <v/>
      </c>
      <c r="U417" t="str">
        <f>IF(T417='Analysis backend'!$L$1,IF(ISERROR(MATCH('Analysis backend'!$M$1,E417:I417,0)),"Dire","Radiant"),"")</f>
        <v/>
      </c>
    </row>
    <row r="418" spans="20:21" x14ac:dyDescent="0.3">
      <c r="T418" t="str">
        <f>IF(ISERROR(MATCH('Analysis backend'!$M$1,E418:N418,0)),"",'Analysis backend'!$L$1)</f>
        <v/>
      </c>
      <c r="U418" t="str">
        <f>IF(T418='Analysis backend'!$L$1,IF(ISERROR(MATCH('Analysis backend'!$M$1,E418:I418,0)),"Dire","Radiant"),"")</f>
        <v/>
      </c>
    </row>
    <row r="419" spans="20:21" x14ac:dyDescent="0.3">
      <c r="T419" t="str">
        <f>IF(ISERROR(MATCH('Analysis backend'!$M$1,E419:N419,0)),"",'Analysis backend'!$L$1)</f>
        <v/>
      </c>
      <c r="U419" t="str">
        <f>IF(T419='Analysis backend'!$L$1,IF(ISERROR(MATCH('Analysis backend'!$M$1,E419:I419,0)),"Dire","Radiant"),"")</f>
        <v/>
      </c>
    </row>
    <row r="420" spans="20:21" x14ac:dyDescent="0.3">
      <c r="T420" t="str">
        <f>IF(ISERROR(MATCH('Analysis backend'!$M$1,E420:N420,0)),"",'Analysis backend'!$L$1)</f>
        <v/>
      </c>
      <c r="U420" t="str">
        <f>IF(T420='Analysis backend'!$L$1,IF(ISERROR(MATCH('Analysis backend'!$M$1,E420:I420,0)),"Dire","Radiant"),"")</f>
        <v/>
      </c>
    </row>
    <row r="421" spans="20:21" x14ac:dyDescent="0.3">
      <c r="T421" t="str">
        <f>IF(ISERROR(MATCH('Analysis backend'!$M$1,E421:N421,0)),"",'Analysis backend'!$L$1)</f>
        <v/>
      </c>
      <c r="U421" t="str">
        <f>IF(T421='Analysis backend'!$L$1,IF(ISERROR(MATCH('Analysis backend'!$M$1,E421:I421,0)),"Dire","Radiant"),"")</f>
        <v/>
      </c>
    </row>
    <row r="422" spans="20:21" x14ac:dyDescent="0.3">
      <c r="T422" t="str">
        <f>IF(ISERROR(MATCH('Analysis backend'!$M$1,E422:N422,0)),"",'Analysis backend'!$L$1)</f>
        <v/>
      </c>
      <c r="U422" t="str">
        <f>IF(T422='Analysis backend'!$L$1,IF(ISERROR(MATCH('Analysis backend'!$M$1,E422:I422,0)),"Dire","Radiant"),"")</f>
        <v/>
      </c>
    </row>
    <row r="423" spans="20:21" x14ac:dyDescent="0.3">
      <c r="T423" t="str">
        <f>IF(ISERROR(MATCH('Analysis backend'!$M$1,E423:N423,0)),"",'Analysis backend'!$L$1)</f>
        <v/>
      </c>
      <c r="U423" t="str">
        <f>IF(T423='Analysis backend'!$L$1,IF(ISERROR(MATCH('Analysis backend'!$M$1,E423:I423,0)),"Dire","Radiant"),"")</f>
        <v/>
      </c>
    </row>
    <row r="424" spans="20:21" x14ac:dyDescent="0.3">
      <c r="T424" t="str">
        <f>IF(ISERROR(MATCH('Analysis backend'!$M$1,E424:N424,0)),"",'Analysis backend'!$L$1)</f>
        <v/>
      </c>
      <c r="U424" t="str">
        <f>IF(T424='Analysis backend'!$L$1,IF(ISERROR(MATCH('Analysis backend'!$M$1,E424:I424,0)),"Dire","Radiant"),"")</f>
        <v/>
      </c>
    </row>
    <row r="425" spans="20:21" x14ac:dyDescent="0.3">
      <c r="T425" t="str">
        <f>IF(ISERROR(MATCH('Analysis backend'!$M$1,E425:N425,0)),"",'Analysis backend'!$L$1)</f>
        <v/>
      </c>
      <c r="U425" t="str">
        <f>IF(T425='Analysis backend'!$L$1,IF(ISERROR(MATCH('Analysis backend'!$M$1,E425:I425,0)),"Dire","Radiant"),"")</f>
        <v/>
      </c>
    </row>
    <row r="426" spans="20:21" x14ac:dyDescent="0.3">
      <c r="T426" t="str">
        <f>IF(ISERROR(MATCH('Analysis backend'!$M$1,E426:N426,0)),"",'Analysis backend'!$L$1)</f>
        <v/>
      </c>
      <c r="U426" t="str">
        <f>IF(T426='Analysis backend'!$L$1,IF(ISERROR(MATCH('Analysis backend'!$M$1,E426:I426,0)),"Dire","Radiant"),"")</f>
        <v/>
      </c>
    </row>
    <row r="427" spans="20:21" x14ac:dyDescent="0.3">
      <c r="T427" t="str">
        <f>IF(ISERROR(MATCH('Analysis backend'!$M$1,E427:N427,0)),"",'Analysis backend'!$L$1)</f>
        <v/>
      </c>
      <c r="U427" t="str">
        <f>IF(T427='Analysis backend'!$L$1,IF(ISERROR(MATCH('Analysis backend'!$M$1,E427:I427,0)),"Dire","Radiant"),"")</f>
        <v/>
      </c>
    </row>
    <row r="428" spans="20:21" x14ac:dyDescent="0.3">
      <c r="T428" t="str">
        <f>IF(ISERROR(MATCH('Analysis backend'!$M$1,E428:N428,0)),"",'Analysis backend'!$L$1)</f>
        <v/>
      </c>
      <c r="U428" t="str">
        <f>IF(T428='Analysis backend'!$L$1,IF(ISERROR(MATCH('Analysis backend'!$M$1,E428:I428,0)),"Dire","Radiant"),"")</f>
        <v/>
      </c>
    </row>
    <row r="429" spans="20:21" x14ac:dyDescent="0.3">
      <c r="T429" t="str">
        <f>IF(ISERROR(MATCH('Analysis backend'!$M$1,E429:N429,0)),"",'Analysis backend'!$L$1)</f>
        <v/>
      </c>
      <c r="U429" t="str">
        <f>IF(T429='Analysis backend'!$L$1,IF(ISERROR(MATCH('Analysis backend'!$M$1,E429:I429,0)),"Dire","Radiant"),"")</f>
        <v/>
      </c>
    </row>
    <row r="430" spans="20:21" x14ac:dyDescent="0.3">
      <c r="T430" t="str">
        <f>IF(ISERROR(MATCH('Analysis backend'!$M$1,E430:N430,0)),"",'Analysis backend'!$L$1)</f>
        <v/>
      </c>
      <c r="U430" t="str">
        <f>IF(T430='Analysis backend'!$L$1,IF(ISERROR(MATCH('Analysis backend'!$M$1,E430:I430,0)),"Dire","Radiant"),"")</f>
        <v/>
      </c>
    </row>
    <row r="431" spans="20:21" x14ac:dyDescent="0.3">
      <c r="T431" t="str">
        <f>IF(ISERROR(MATCH('Analysis backend'!$M$1,E431:N431,0)),"",'Analysis backend'!$L$1)</f>
        <v/>
      </c>
      <c r="U431" t="str">
        <f>IF(T431='Analysis backend'!$L$1,IF(ISERROR(MATCH('Analysis backend'!$M$1,E431:I431,0)),"Dire","Radiant"),"")</f>
        <v/>
      </c>
    </row>
    <row r="432" spans="20:21" x14ac:dyDescent="0.3">
      <c r="T432" t="str">
        <f>IF(ISERROR(MATCH('Analysis backend'!$M$1,E432:N432,0)),"",'Analysis backend'!$L$1)</f>
        <v/>
      </c>
      <c r="U432" t="str">
        <f>IF(T432='Analysis backend'!$L$1,IF(ISERROR(MATCH('Analysis backend'!$M$1,E432:I432,0)),"Dire","Radiant"),"")</f>
        <v/>
      </c>
    </row>
    <row r="433" spans="20:21" x14ac:dyDescent="0.3">
      <c r="T433" t="str">
        <f>IF(ISERROR(MATCH('Analysis backend'!$M$1,E433:N433,0)),"",'Analysis backend'!$L$1)</f>
        <v/>
      </c>
      <c r="U433" t="str">
        <f>IF(T433='Analysis backend'!$L$1,IF(ISERROR(MATCH('Analysis backend'!$M$1,E433:I433,0)),"Dire","Radiant"),"")</f>
        <v/>
      </c>
    </row>
    <row r="434" spans="20:21" x14ac:dyDescent="0.3">
      <c r="T434" t="str">
        <f>IF(ISERROR(MATCH('Analysis backend'!$M$1,E434:N434,0)),"",'Analysis backend'!$L$1)</f>
        <v/>
      </c>
      <c r="U434" t="str">
        <f>IF(T434='Analysis backend'!$L$1,IF(ISERROR(MATCH('Analysis backend'!$M$1,E434:I434,0)),"Dire","Radiant"),"")</f>
        <v/>
      </c>
    </row>
    <row r="435" spans="20:21" x14ac:dyDescent="0.3">
      <c r="T435" t="str">
        <f>IF(ISERROR(MATCH('Analysis backend'!$M$1,E435:N435,0)),"",'Analysis backend'!$L$1)</f>
        <v/>
      </c>
      <c r="U435" t="str">
        <f>IF(T435='Analysis backend'!$L$1,IF(ISERROR(MATCH('Analysis backend'!$M$1,E435:I435,0)),"Dire","Radiant"),"")</f>
        <v/>
      </c>
    </row>
    <row r="436" spans="20:21" x14ac:dyDescent="0.3">
      <c r="T436" t="str">
        <f>IF(ISERROR(MATCH('Analysis backend'!$M$1,E436:N436,0)),"",'Analysis backend'!$L$1)</f>
        <v/>
      </c>
      <c r="U436" t="str">
        <f>IF(T436='Analysis backend'!$L$1,IF(ISERROR(MATCH('Analysis backend'!$M$1,E436:I436,0)),"Dire","Radiant"),"")</f>
        <v/>
      </c>
    </row>
    <row r="437" spans="20:21" x14ac:dyDescent="0.3">
      <c r="T437" t="str">
        <f>IF(ISERROR(MATCH('Analysis backend'!$M$1,E437:N437,0)),"",'Analysis backend'!$L$1)</f>
        <v/>
      </c>
      <c r="U437" t="str">
        <f>IF(T437='Analysis backend'!$L$1,IF(ISERROR(MATCH('Analysis backend'!$M$1,E437:I437,0)),"Dire","Radiant"),"")</f>
        <v/>
      </c>
    </row>
    <row r="438" spans="20:21" x14ac:dyDescent="0.3">
      <c r="T438" t="str">
        <f>IF(ISERROR(MATCH('Analysis backend'!$M$1,E438:N438,0)),"",'Analysis backend'!$L$1)</f>
        <v/>
      </c>
      <c r="U438" t="str">
        <f>IF(T438='Analysis backend'!$L$1,IF(ISERROR(MATCH('Analysis backend'!$M$1,E438:I438,0)),"Dire","Radiant"),"")</f>
        <v/>
      </c>
    </row>
    <row r="439" spans="20:21" x14ac:dyDescent="0.3">
      <c r="T439" t="str">
        <f>IF(ISERROR(MATCH('Analysis backend'!$M$1,E439:N439,0)),"",'Analysis backend'!$L$1)</f>
        <v/>
      </c>
      <c r="U439" t="str">
        <f>IF(T439='Analysis backend'!$L$1,IF(ISERROR(MATCH('Analysis backend'!$M$1,E439:I439,0)),"Dire","Radiant"),"")</f>
        <v/>
      </c>
    </row>
    <row r="440" spans="20:21" x14ac:dyDescent="0.3">
      <c r="T440" t="str">
        <f>IF(ISERROR(MATCH('Analysis backend'!$M$1,E440:N440,0)),"",'Analysis backend'!$L$1)</f>
        <v/>
      </c>
      <c r="U440" t="str">
        <f>IF(T440='Analysis backend'!$L$1,IF(ISERROR(MATCH('Analysis backend'!$M$1,E440:I440,0)),"Dire","Radiant"),"")</f>
        <v/>
      </c>
    </row>
    <row r="441" spans="20:21" x14ac:dyDescent="0.3">
      <c r="T441" t="str">
        <f>IF(ISERROR(MATCH('Analysis backend'!$M$1,E441:N441,0)),"",'Analysis backend'!$L$1)</f>
        <v/>
      </c>
      <c r="U441" t="str">
        <f>IF(T441='Analysis backend'!$L$1,IF(ISERROR(MATCH('Analysis backend'!$M$1,E441:I441,0)),"Dire","Radiant"),"")</f>
        <v/>
      </c>
    </row>
    <row r="442" spans="20:21" x14ac:dyDescent="0.3">
      <c r="T442" t="str">
        <f>IF(ISERROR(MATCH('Analysis backend'!$M$1,E442:N442,0)),"",'Analysis backend'!$L$1)</f>
        <v/>
      </c>
      <c r="U442" t="str">
        <f>IF(T442='Analysis backend'!$L$1,IF(ISERROR(MATCH('Analysis backend'!$M$1,E442:I442,0)),"Dire","Radiant"),"")</f>
        <v/>
      </c>
    </row>
    <row r="443" spans="20:21" x14ac:dyDescent="0.3">
      <c r="T443" t="str">
        <f>IF(ISERROR(MATCH('Analysis backend'!$M$1,E443:N443,0)),"",'Analysis backend'!$L$1)</f>
        <v/>
      </c>
      <c r="U443" t="str">
        <f>IF(T443='Analysis backend'!$L$1,IF(ISERROR(MATCH('Analysis backend'!$M$1,E443:I443,0)),"Dire","Radiant"),"")</f>
        <v/>
      </c>
    </row>
    <row r="444" spans="20:21" x14ac:dyDescent="0.3">
      <c r="T444" t="str">
        <f>IF(ISERROR(MATCH('Analysis backend'!$M$1,E444:N444,0)),"",'Analysis backend'!$L$1)</f>
        <v/>
      </c>
      <c r="U444" t="str">
        <f>IF(T444='Analysis backend'!$L$1,IF(ISERROR(MATCH('Analysis backend'!$M$1,E444:I444,0)),"Dire","Radiant"),"")</f>
        <v/>
      </c>
    </row>
    <row r="445" spans="20:21" x14ac:dyDescent="0.3">
      <c r="T445" t="str">
        <f>IF(ISERROR(MATCH('Analysis backend'!$M$1,E445:N445,0)),"",'Analysis backend'!$L$1)</f>
        <v/>
      </c>
      <c r="U445" t="str">
        <f>IF(T445='Analysis backend'!$L$1,IF(ISERROR(MATCH('Analysis backend'!$M$1,E445:I445,0)),"Dire","Radiant"),"")</f>
        <v/>
      </c>
    </row>
    <row r="446" spans="20:21" x14ac:dyDescent="0.3">
      <c r="T446" t="str">
        <f>IF(ISERROR(MATCH('Analysis backend'!$M$1,E446:N446,0)),"",'Analysis backend'!$L$1)</f>
        <v/>
      </c>
      <c r="U446" t="str">
        <f>IF(T446='Analysis backend'!$L$1,IF(ISERROR(MATCH('Analysis backend'!$M$1,E446:I446,0)),"Dire","Radiant"),"")</f>
        <v/>
      </c>
    </row>
    <row r="447" spans="20:21" x14ac:dyDescent="0.3">
      <c r="T447" t="str">
        <f>IF(ISERROR(MATCH('Analysis backend'!$M$1,E447:N447,0)),"",'Analysis backend'!$L$1)</f>
        <v/>
      </c>
      <c r="U447" t="str">
        <f>IF(T447='Analysis backend'!$L$1,IF(ISERROR(MATCH('Analysis backend'!$M$1,E447:I447,0)),"Dire","Radiant"),"")</f>
        <v/>
      </c>
    </row>
    <row r="448" spans="20:21" x14ac:dyDescent="0.3">
      <c r="T448" t="str">
        <f>IF(ISERROR(MATCH('Analysis backend'!$M$1,E448:N448,0)),"",'Analysis backend'!$L$1)</f>
        <v/>
      </c>
      <c r="U448" t="str">
        <f>IF(T448='Analysis backend'!$L$1,IF(ISERROR(MATCH('Analysis backend'!$M$1,E448:I448,0)),"Dire","Radiant"),"")</f>
        <v/>
      </c>
    </row>
    <row r="449" spans="20:21" x14ac:dyDescent="0.3">
      <c r="T449" t="str">
        <f>IF(ISERROR(MATCH('Analysis backend'!$M$1,E449:N449,0)),"",'Analysis backend'!$L$1)</f>
        <v/>
      </c>
      <c r="U449" t="str">
        <f>IF(T449='Analysis backend'!$L$1,IF(ISERROR(MATCH('Analysis backend'!$M$1,E449:I449,0)),"Dire","Radiant"),"")</f>
        <v/>
      </c>
    </row>
    <row r="450" spans="20:21" x14ac:dyDescent="0.3">
      <c r="T450" t="str">
        <f>IF(ISERROR(MATCH('Analysis backend'!$M$1,E450:N450,0)),"",'Analysis backend'!$L$1)</f>
        <v/>
      </c>
      <c r="U450" t="str">
        <f>IF(T450='Analysis backend'!$L$1,IF(ISERROR(MATCH('Analysis backend'!$M$1,E450:I450,0)),"Dire","Radiant"),"")</f>
        <v/>
      </c>
    </row>
    <row r="451" spans="20:21" x14ac:dyDescent="0.3">
      <c r="T451" t="str">
        <f>IF(ISERROR(MATCH('Analysis backend'!$M$1,E451:N451,0)),"",'Analysis backend'!$L$1)</f>
        <v/>
      </c>
      <c r="U451" t="str">
        <f>IF(T451='Analysis backend'!$L$1,IF(ISERROR(MATCH('Analysis backend'!$M$1,E451:I451,0)),"Dire","Radiant"),"")</f>
        <v/>
      </c>
    </row>
    <row r="452" spans="20:21" x14ac:dyDescent="0.3">
      <c r="T452" t="str">
        <f>IF(ISERROR(MATCH('Analysis backend'!$M$1,E452:N452,0)),"",'Analysis backend'!$L$1)</f>
        <v/>
      </c>
      <c r="U452" t="str">
        <f>IF(T452='Analysis backend'!$L$1,IF(ISERROR(MATCH('Analysis backend'!$M$1,E452:I452,0)),"Dire","Radiant"),"")</f>
        <v/>
      </c>
    </row>
    <row r="453" spans="20:21" x14ac:dyDescent="0.3">
      <c r="T453" t="str">
        <f>IF(ISERROR(MATCH('Analysis backend'!$M$1,E453:N453,0)),"",'Analysis backend'!$L$1)</f>
        <v/>
      </c>
      <c r="U453" t="str">
        <f>IF(T453='Analysis backend'!$L$1,IF(ISERROR(MATCH('Analysis backend'!$M$1,E453:I453,0)),"Dire","Radiant"),"")</f>
        <v/>
      </c>
    </row>
    <row r="454" spans="20:21" x14ac:dyDescent="0.3">
      <c r="T454" t="str">
        <f>IF(ISERROR(MATCH('Analysis backend'!$M$1,E454:N454,0)),"",'Analysis backend'!$L$1)</f>
        <v/>
      </c>
      <c r="U454" t="str">
        <f>IF(T454='Analysis backend'!$L$1,IF(ISERROR(MATCH('Analysis backend'!$M$1,E454:I454,0)),"Dire","Radiant"),"")</f>
        <v/>
      </c>
    </row>
    <row r="455" spans="20:21" x14ac:dyDescent="0.3">
      <c r="T455" t="str">
        <f>IF(ISERROR(MATCH('Analysis backend'!$M$1,E455:N455,0)),"",'Analysis backend'!$L$1)</f>
        <v/>
      </c>
      <c r="U455" t="str">
        <f>IF(T455='Analysis backend'!$L$1,IF(ISERROR(MATCH('Analysis backend'!$M$1,E455:I455,0)),"Dire","Radiant"),"")</f>
        <v/>
      </c>
    </row>
    <row r="456" spans="20:21" x14ac:dyDescent="0.3">
      <c r="T456" t="str">
        <f>IF(ISERROR(MATCH('Analysis backend'!$M$1,E456:N456,0)),"",'Analysis backend'!$L$1)</f>
        <v/>
      </c>
      <c r="U456" t="str">
        <f>IF(T456='Analysis backend'!$L$1,IF(ISERROR(MATCH('Analysis backend'!$M$1,E456:I456,0)),"Dire","Radiant"),"")</f>
        <v/>
      </c>
    </row>
    <row r="457" spans="20:21" x14ac:dyDescent="0.3">
      <c r="T457" t="str">
        <f>IF(ISERROR(MATCH('Analysis backend'!$M$1,E457:N457,0)),"",'Analysis backend'!$L$1)</f>
        <v/>
      </c>
      <c r="U457" t="str">
        <f>IF(T457='Analysis backend'!$L$1,IF(ISERROR(MATCH('Analysis backend'!$M$1,E457:I457,0)),"Dire","Radiant"),"")</f>
        <v/>
      </c>
    </row>
    <row r="458" spans="20:21" x14ac:dyDescent="0.3">
      <c r="T458" t="str">
        <f>IF(ISERROR(MATCH('Analysis backend'!$M$1,E458:N458,0)),"",'Analysis backend'!$L$1)</f>
        <v/>
      </c>
      <c r="U458" t="str">
        <f>IF(T458='Analysis backend'!$L$1,IF(ISERROR(MATCH('Analysis backend'!$M$1,E458:I458,0)),"Dire","Radiant"),"")</f>
        <v/>
      </c>
    </row>
    <row r="459" spans="20:21" x14ac:dyDescent="0.3">
      <c r="T459" t="str">
        <f>IF(ISERROR(MATCH('Analysis backend'!$M$1,E459:N459,0)),"",'Analysis backend'!$L$1)</f>
        <v/>
      </c>
      <c r="U459" t="str">
        <f>IF(T459='Analysis backend'!$L$1,IF(ISERROR(MATCH('Analysis backend'!$M$1,E459:I459,0)),"Dire","Radiant"),"")</f>
        <v/>
      </c>
    </row>
    <row r="460" spans="20:21" x14ac:dyDescent="0.3">
      <c r="T460" t="str">
        <f>IF(ISERROR(MATCH('Analysis backend'!$M$1,E460:N460,0)),"",'Analysis backend'!$L$1)</f>
        <v/>
      </c>
      <c r="U460" t="str">
        <f>IF(T460='Analysis backend'!$L$1,IF(ISERROR(MATCH('Analysis backend'!$M$1,E460:I460,0)),"Dire","Radiant"),"")</f>
        <v/>
      </c>
    </row>
    <row r="461" spans="20:21" x14ac:dyDescent="0.3">
      <c r="T461" t="str">
        <f>IF(ISERROR(MATCH('Analysis backend'!$M$1,E461:N461,0)),"",'Analysis backend'!$L$1)</f>
        <v/>
      </c>
      <c r="U461" t="str">
        <f>IF(T461='Analysis backend'!$L$1,IF(ISERROR(MATCH('Analysis backend'!$M$1,E461:I461,0)),"Dire","Radiant"),"")</f>
        <v/>
      </c>
    </row>
    <row r="462" spans="20:21" x14ac:dyDescent="0.3">
      <c r="T462" t="str">
        <f>IF(ISERROR(MATCH('Analysis backend'!$M$1,E462:N462,0)),"",'Analysis backend'!$L$1)</f>
        <v/>
      </c>
      <c r="U462" t="str">
        <f>IF(T462='Analysis backend'!$L$1,IF(ISERROR(MATCH('Analysis backend'!$M$1,E462:I462,0)),"Dire","Radiant"),"")</f>
        <v/>
      </c>
    </row>
    <row r="463" spans="20:21" x14ac:dyDescent="0.3">
      <c r="T463" t="str">
        <f>IF(ISERROR(MATCH('Analysis backend'!$M$1,E463:N463,0)),"",'Analysis backend'!$L$1)</f>
        <v/>
      </c>
      <c r="U463" t="str">
        <f>IF(T463='Analysis backend'!$L$1,IF(ISERROR(MATCH('Analysis backend'!$M$1,E463:I463,0)),"Dire","Radiant"),"")</f>
        <v/>
      </c>
    </row>
    <row r="464" spans="20:21" x14ac:dyDescent="0.3">
      <c r="T464" t="str">
        <f>IF(ISERROR(MATCH('Analysis backend'!$M$1,E464:N464,0)),"",'Analysis backend'!$L$1)</f>
        <v/>
      </c>
      <c r="U464" t="str">
        <f>IF(T464='Analysis backend'!$L$1,IF(ISERROR(MATCH('Analysis backend'!$M$1,E464:I464,0)),"Dire","Radiant"),"")</f>
        <v/>
      </c>
    </row>
    <row r="465" spans="20:21" x14ac:dyDescent="0.3">
      <c r="T465" t="str">
        <f>IF(ISERROR(MATCH('Analysis backend'!$M$1,E465:N465,0)),"",'Analysis backend'!$L$1)</f>
        <v/>
      </c>
      <c r="U465" t="str">
        <f>IF(T465='Analysis backend'!$L$1,IF(ISERROR(MATCH('Analysis backend'!$M$1,E465:I465,0)),"Dire","Radiant"),"")</f>
        <v/>
      </c>
    </row>
    <row r="466" spans="20:21" x14ac:dyDescent="0.3">
      <c r="T466" t="str">
        <f>IF(ISERROR(MATCH('Analysis backend'!$M$1,E466:N466,0)),"",'Analysis backend'!$L$1)</f>
        <v/>
      </c>
      <c r="U466" t="str">
        <f>IF(T466='Analysis backend'!$L$1,IF(ISERROR(MATCH('Analysis backend'!$M$1,E466:I466,0)),"Dire","Radiant"),"")</f>
        <v/>
      </c>
    </row>
    <row r="467" spans="20:21" x14ac:dyDescent="0.3">
      <c r="T467" t="str">
        <f>IF(ISERROR(MATCH('Analysis backend'!$M$1,E467:N467,0)),"",'Analysis backend'!$L$1)</f>
        <v/>
      </c>
      <c r="U467" t="str">
        <f>IF(T467='Analysis backend'!$L$1,IF(ISERROR(MATCH('Analysis backend'!$M$1,E467:I467,0)),"Dire","Radiant"),"")</f>
        <v/>
      </c>
    </row>
    <row r="468" spans="20:21" x14ac:dyDescent="0.3">
      <c r="T468" t="str">
        <f>IF(ISERROR(MATCH('Analysis backend'!$M$1,E468:N468,0)),"",'Analysis backend'!$L$1)</f>
        <v/>
      </c>
      <c r="U468" t="str">
        <f>IF(T468='Analysis backend'!$L$1,IF(ISERROR(MATCH('Analysis backend'!$M$1,E468:I468,0)),"Dire","Radiant"),"")</f>
        <v/>
      </c>
    </row>
    <row r="469" spans="20:21" x14ac:dyDescent="0.3">
      <c r="T469" t="str">
        <f>IF(ISERROR(MATCH('Analysis backend'!$M$1,E469:N469,0)),"",'Analysis backend'!$L$1)</f>
        <v/>
      </c>
      <c r="U469" t="str">
        <f>IF(T469='Analysis backend'!$L$1,IF(ISERROR(MATCH('Analysis backend'!$M$1,E469:I469,0)),"Dire","Radiant"),"")</f>
        <v/>
      </c>
    </row>
    <row r="470" spans="20:21" x14ac:dyDescent="0.3">
      <c r="T470" t="str">
        <f>IF(ISERROR(MATCH('Analysis backend'!$M$1,E470:N470,0)),"",'Analysis backend'!$L$1)</f>
        <v/>
      </c>
      <c r="U470" t="str">
        <f>IF(T470='Analysis backend'!$L$1,IF(ISERROR(MATCH('Analysis backend'!$M$1,E470:I470,0)),"Dire","Radiant"),"")</f>
        <v/>
      </c>
    </row>
    <row r="471" spans="20:21" x14ac:dyDescent="0.3">
      <c r="T471" t="str">
        <f>IF(ISERROR(MATCH('Analysis backend'!$M$1,E471:N471,0)),"",'Analysis backend'!$L$1)</f>
        <v/>
      </c>
      <c r="U471" t="str">
        <f>IF(T471='Analysis backend'!$L$1,IF(ISERROR(MATCH('Analysis backend'!$M$1,E471:I471,0)),"Dire","Radiant"),"")</f>
        <v/>
      </c>
    </row>
    <row r="472" spans="20:21" x14ac:dyDescent="0.3">
      <c r="T472" t="str">
        <f>IF(ISERROR(MATCH('Analysis backend'!$M$1,E472:N472,0)),"",'Analysis backend'!$L$1)</f>
        <v/>
      </c>
      <c r="U472" t="str">
        <f>IF(T472='Analysis backend'!$L$1,IF(ISERROR(MATCH('Analysis backend'!$M$1,E472:I472,0)),"Dire","Radiant"),"")</f>
        <v/>
      </c>
    </row>
    <row r="473" spans="20:21" x14ac:dyDescent="0.3">
      <c r="T473" t="str">
        <f>IF(ISERROR(MATCH('Analysis backend'!$M$1,E473:N473,0)),"",'Analysis backend'!$L$1)</f>
        <v/>
      </c>
      <c r="U473" t="str">
        <f>IF(T473='Analysis backend'!$L$1,IF(ISERROR(MATCH('Analysis backend'!$M$1,E473:I473,0)),"Dire","Radiant"),"")</f>
        <v/>
      </c>
    </row>
    <row r="474" spans="20:21" x14ac:dyDescent="0.3">
      <c r="T474" t="str">
        <f>IF(ISERROR(MATCH('Analysis backend'!$M$1,E474:N474,0)),"",'Analysis backend'!$L$1)</f>
        <v/>
      </c>
      <c r="U474" t="str">
        <f>IF(T474='Analysis backend'!$L$1,IF(ISERROR(MATCH('Analysis backend'!$M$1,E474:I474,0)),"Dire","Radiant"),"")</f>
        <v/>
      </c>
    </row>
    <row r="475" spans="20:21" x14ac:dyDescent="0.3">
      <c r="T475" t="str">
        <f>IF(ISERROR(MATCH('Analysis backend'!$M$1,E475:N475,0)),"",'Analysis backend'!$L$1)</f>
        <v/>
      </c>
      <c r="U475" t="str">
        <f>IF(T475='Analysis backend'!$L$1,IF(ISERROR(MATCH('Analysis backend'!$M$1,E475:I475,0)),"Dire","Radiant"),"")</f>
        <v/>
      </c>
    </row>
    <row r="476" spans="20:21" x14ac:dyDescent="0.3">
      <c r="T476" t="str">
        <f>IF(ISERROR(MATCH('Analysis backend'!$M$1,E476:N476,0)),"",'Analysis backend'!$L$1)</f>
        <v/>
      </c>
      <c r="U476" t="str">
        <f>IF(T476='Analysis backend'!$L$1,IF(ISERROR(MATCH('Analysis backend'!$M$1,E476:I476,0)),"Dire","Radiant"),"")</f>
        <v/>
      </c>
    </row>
    <row r="477" spans="20:21" x14ac:dyDescent="0.3">
      <c r="T477" t="str">
        <f>IF(ISERROR(MATCH('Analysis backend'!$M$1,E477:N477,0)),"",'Analysis backend'!$L$1)</f>
        <v/>
      </c>
      <c r="U477" t="str">
        <f>IF(T477='Analysis backend'!$L$1,IF(ISERROR(MATCH('Analysis backend'!$M$1,E477:I477,0)),"Dire","Radiant"),"")</f>
        <v/>
      </c>
    </row>
    <row r="478" spans="20:21" x14ac:dyDescent="0.3">
      <c r="T478" t="str">
        <f>IF(ISERROR(MATCH('Analysis backend'!$M$1,E478:N478,0)),"",'Analysis backend'!$L$1)</f>
        <v/>
      </c>
      <c r="U478" t="str">
        <f>IF(T478='Analysis backend'!$L$1,IF(ISERROR(MATCH('Analysis backend'!$M$1,E478:I478,0)),"Dire","Radiant"),"")</f>
        <v/>
      </c>
    </row>
    <row r="479" spans="20:21" x14ac:dyDescent="0.3">
      <c r="T479" t="str">
        <f>IF(ISERROR(MATCH('Analysis backend'!$M$1,E479:N479,0)),"",'Analysis backend'!$L$1)</f>
        <v/>
      </c>
      <c r="U479" t="str">
        <f>IF(T479='Analysis backend'!$L$1,IF(ISERROR(MATCH('Analysis backend'!$M$1,E479:I479,0)),"Dire","Radiant"),"")</f>
        <v/>
      </c>
    </row>
    <row r="480" spans="20:21" x14ac:dyDescent="0.3">
      <c r="T480" t="str">
        <f>IF(ISERROR(MATCH('Analysis backend'!$M$1,E480:N480,0)),"",'Analysis backend'!$L$1)</f>
        <v/>
      </c>
      <c r="U480" t="str">
        <f>IF(T480='Analysis backend'!$L$1,IF(ISERROR(MATCH('Analysis backend'!$M$1,E480:I480,0)),"Dire","Radiant"),"")</f>
        <v/>
      </c>
    </row>
    <row r="481" spans="20:21" x14ac:dyDescent="0.3">
      <c r="T481" t="str">
        <f>IF(ISERROR(MATCH('Analysis backend'!$M$1,E481:N481,0)),"",'Analysis backend'!$L$1)</f>
        <v/>
      </c>
      <c r="U481" t="str">
        <f>IF(T481='Analysis backend'!$L$1,IF(ISERROR(MATCH('Analysis backend'!$M$1,E481:I481,0)),"Dire","Radiant"),"")</f>
        <v/>
      </c>
    </row>
    <row r="482" spans="20:21" x14ac:dyDescent="0.3">
      <c r="T482" t="str">
        <f>IF(ISERROR(MATCH('Analysis backend'!$M$1,E482:N482,0)),"",'Analysis backend'!$L$1)</f>
        <v/>
      </c>
      <c r="U482" t="str">
        <f>IF(T482='Analysis backend'!$L$1,IF(ISERROR(MATCH('Analysis backend'!$M$1,E482:I482,0)),"Dire","Radiant"),"")</f>
        <v/>
      </c>
    </row>
    <row r="483" spans="20:21" x14ac:dyDescent="0.3">
      <c r="T483" t="str">
        <f>IF(ISERROR(MATCH('Analysis backend'!$M$1,E483:N483,0)),"",'Analysis backend'!$L$1)</f>
        <v/>
      </c>
      <c r="U483" t="str">
        <f>IF(T483='Analysis backend'!$L$1,IF(ISERROR(MATCH('Analysis backend'!$M$1,E483:I483,0)),"Dire","Radiant"),"")</f>
        <v/>
      </c>
    </row>
    <row r="484" spans="20:21" x14ac:dyDescent="0.3">
      <c r="T484" t="str">
        <f>IF(ISERROR(MATCH('Analysis backend'!$M$1,E484:N484,0)),"",'Analysis backend'!$L$1)</f>
        <v/>
      </c>
      <c r="U484" t="str">
        <f>IF(T484='Analysis backend'!$L$1,IF(ISERROR(MATCH('Analysis backend'!$M$1,E484:I484,0)),"Dire","Radiant"),"")</f>
        <v/>
      </c>
    </row>
    <row r="485" spans="20:21" x14ac:dyDescent="0.3">
      <c r="T485" t="str">
        <f>IF(ISERROR(MATCH('Analysis backend'!$M$1,E485:N485,0)),"",'Analysis backend'!$L$1)</f>
        <v/>
      </c>
      <c r="U485" t="str">
        <f>IF(T485='Analysis backend'!$L$1,IF(ISERROR(MATCH('Analysis backend'!$M$1,E485:I485,0)),"Dire","Radiant"),"")</f>
        <v/>
      </c>
    </row>
    <row r="486" spans="20:21" x14ac:dyDescent="0.3">
      <c r="T486" t="str">
        <f>IF(ISERROR(MATCH('Analysis backend'!$M$1,E486:N486,0)),"",'Analysis backend'!$L$1)</f>
        <v/>
      </c>
      <c r="U486" t="str">
        <f>IF(T486='Analysis backend'!$L$1,IF(ISERROR(MATCH('Analysis backend'!$M$1,E486:I486,0)),"Dire","Radiant"),"")</f>
        <v/>
      </c>
    </row>
    <row r="487" spans="20:21" x14ac:dyDescent="0.3">
      <c r="T487" t="str">
        <f>IF(ISERROR(MATCH('Analysis backend'!$M$1,E487:N487,0)),"",'Analysis backend'!$L$1)</f>
        <v/>
      </c>
      <c r="U487" t="str">
        <f>IF(T487='Analysis backend'!$L$1,IF(ISERROR(MATCH('Analysis backend'!$M$1,E487:I487,0)),"Dire","Radiant"),"")</f>
        <v/>
      </c>
    </row>
    <row r="488" spans="20:21" x14ac:dyDescent="0.3">
      <c r="T488" t="str">
        <f>IF(ISERROR(MATCH('Analysis backend'!$M$1,E488:N488,0)),"",'Analysis backend'!$L$1)</f>
        <v/>
      </c>
      <c r="U488" t="str">
        <f>IF(T488='Analysis backend'!$L$1,IF(ISERROR(MATCH('Analysis backend'!$M$1,E488:I488,0)),"Dire","Radiant"),"")</f>
        <v/>
      </c>
    </row>
    <row r="489" spans="20:21" x14ac:dyDescent="0.3">
      <c r="T489" t="str">
        <f>IF(ISERROR(MATCH('Analysis backend'!$M$1,E489:N489,0)),"",'Analysis backend'!$L$1)</f>
        <v/>
      </c>
      <c r="U489" t="str">
        <f>IF(T489='Analysis backend'!$L$1,IF(ISERROR(MATCH('Analysis backend'!$M$1,E489:I489,0)),"Dire","Radiant"),"")</f>
        <v/>
      </c>
    </row>
    <row r="490" spans="20:21" x14ac:dyDescent="0.3">
      <c r="T490" t="str">
        <f>IF(ISERROR(MATCH('Analysis backend'!$M$1,E490:N490,0)),"",'Analysis backend'!$L$1)</f>
        <v/>
      </c>
      <c r="U490" t="str">
        <f>IF(T490='Analysis backend'!$L$1,IF(ISERROR(MATCH('Analysis backend'!$M$1,E490:I490,0)),"Dire","Radiant"),"")</f>
        <v/>
      </c>
    </row>
    <row r="491" spans="20:21" x14ac:dyDescent="0.3">
      <c r="T491" t="str">
        <f>IF(ISERROR(MATCH('Analysis backend'!$M$1,E491:N491,0)),"",'Analysis backend'!$L$1)</f>
        <v/>
      </c>
      <c r="U491" t="str">
        <f>IF(T491='Analysis backend'!$L$1,IF(ISERROR(MATCH('Analysis backend'!$M$1,E491:I491,0)),"Dire","Radiant"),"")</f>
        <v/>
      </c>
    </row>
    <row r="492" spans="20:21" x14ac:dyDescent="0.3">
      <c r="T492" t="str">
        <f>IF(ISERROR(MATCH('Analysis backend'!$M$1,E492:N492,0)),"",'Analysis backend'!$L$1)</f>
        <v/>
      </c>
      <c r="U492" t="str">
        <f>IF(T492='Analysis backend'!$L$1,IF(ISERROR(MATCH('Analysis backend'!$M$1,E492:I492,0)),"Dire","Radiant"),"")</f>
        <v/>
      </c>
    </row>
    <row r="493" spans="20:21" x14ac:dyDescent="0.3">
      <c r="T493" t="str">
        <f>IF(ISERROR(MATCH('Analysis backend'!$M$1,E493:N493,0)),"",'Analysis backend'!$L$1)</f>
        <v/>
      </c>
      <c r="U493" t="str">
        <f>IF(T493='Analysis backend'!$L$1,IF(ISERROR(MATCH('Analysis backend'!$M$1,E493:I493,0)),"Dire","Radiant"),"")</f>
        <v/>
      </c>
    </row>
    <row r="494" spans="20:21" x14ac:dyDescent="0.3">
      <c r="T494" t="str">
        <f>IF(ISERROR(MATCH('Analysis backend'!$M$1,E494:N494,0)),"",'Analysis backend'!$L$1)</f>
        <v/>
      </c>
      <c r="U494" t="str">
        <f>IF(T494='Analysis backend'!$L$1,IF(ISERROR(MATCH('Analysis backend'!$M$1,E494:I494,0)),"Dire","Radiant"),"")</f>
        <v/>
      </c>
    </row>
    <row r="495" spans="20:21" x14ac:dyDescent="0.3">
      <c r="T495" t="str">
        <f>IF(ISERROR(MATCH('Analysis backend'!$M$1,E495:N495,0)),"",'Analysis backend'!$L$1)</f>
        <v/>
      </c>
      <c r="U495" t="str">
        <f>IF(T495='Analysis backend'!$L$1,IF(ISERROR(MATCH('Analysis backend'!$M$1,E495:I495,0)),"Dire","Radiant"),"")</f>
        <v/>
      </c>
    </row>
    <row r="496" spans="20:21" x14ac:dyDescent="0.3">
      <c r="T496" t="str">
        <f>IF(ISERROR(MATCH('Analysis backend'!$M$1,E496:N496,0)),"",'Analysis backend'!$L$1)</f>
        <v/>
      </c>
      <c r="U496" t="str">
        <f>IF(T496='Analysis backend'!$L$1,IF(ISERROR(MATCH('Analysis backend'!$M$1,E496:I496,0)),"Dire","Radiant"),"")</f>
        <v/>
      </c>
    </row>
    <row r="497" spans="20:21" x14ac:dyDescent="0.3">
      <c r="T497" t="str">
        <f>IF(ISERROR(MATCH('Analysis backend'!$M$1,E497:N497,0)),"",'Analysis backend'!$L$1)</f>
        <v/>
      </c>
      <c r="U497" t="str">
        <f>IF(T497='Analysis backend'!$L$1,IF(ISERROR(MATCH('Analysis backend'!$M$1,E497:I497,0)),"Dire","Radiant"),"")</f>
        <v/>
      </c>
    </row>
    <row r="498" spans="20:21" x14ac:dyDescent="0.3">
      <c r="T498" t="str">
        <f>IF(ISERROR(MATCH('Analysis backend'!$M$1,E498:N498,0)),"",'Analysis backend'!$L$1)</f>
        <v/>
      </c>
      <c r="U498" t="str">
        <f>IF(T498='Analysis backend'!$L$1,IF(ISERROR(MATCH('Analysis backend'!$M$1,E498:I498,0)),"Dire","Radiant"),"")</f>
        <v/>
      </c>
    </row>
    <row r="499" spans="20:21" x14ac:dyDescent="0.3">
      <c r="T499" t="str">
        <f>IF(ISERROR(MATCH('Analysis backend'!$M$1,E499:N499,0)),"",'Analysis backend'!$L$1)</f>
        <v/>
      </c>
      <c r="U499" t="str">
        <f>IF(T499='Analysis backend'!$L$1,IF(ISERROR(MATCH('Analysis backend'!$M$1,E499:I499,0)),"Dire","Radiant"),"")</f>
        <v/>
      </c>
    </row>
    <row r="500" spans="20:21" x14ac:dyDescent="0.3">
      <c r="T500" t="str">
        <f>IF(ISERROR(MATCH('Analysis backend'!$M$1,E500:N500,0)),"",'Analysis backend'!$L$1)</f>
        <v/>
      </c>
      <c r="U500" t="str">
        <f>IF(T500='Analysis backend'!$L$1,IF(ISERROR(MATCH('Analysis backend'!$M$1,E500:I500,0)),"Dire","Radiant"),"")</f>
        <v/>
      </c>
    </row>
    <row r="501" spans="20:21" x14ac:dyDescent="0.3">
      <c r="T501" t="str">
        <f>IF(ISERROR(MATCH('Analysis backend'!$M$1,E501:N501,0)),"",'Analysis backend'!$L$1)</f>
        <v/>
      </c>
      <c r="U501" t="str">
        <f>IF(T501='Analysis backend'!$L$1,IF(ISERROR(MATCH('Analysis backend'!$M$1,E501:I501,0)),"Dire","Radiant"),"")</f>
        <v/>
      </c>
    </row>
    <row r="502" spans="20:21" x14ac:dyDescent="0.3">
      <c r="T502" t="str">
        <f>IF(ISERROR(MATCH('Analysis backend'!$M$1,E502:N502,0)),"",'Analysis backend'!$L$1)</f>
        <v/>
      </c>
      <c r="U502" t="str">
        <f>IF(T502='Analysis backend'!$L$1,IF(ISERROR(MATCH('Analysis backend'!$M$1,E502:I502,0)),"Dire","Radiant"),"")</f>
        <v/>
      </c>
    </row>
    <row r="503" spans="20:21" x14ac:dyDescent="0.3">
      <c r="T503" t="str">
        <f>IF(ISERROR(MATCH('Analysis backend'!$M$1,E503:N503,0)),"",'Analysis backend'!$L$1)</f>
        <v/>
      </c>
      <c r="U503" t="str">
        <f>IF(T503='Analysis backend'!$L$1,IF(ISERROR(MATCH('Analysis backend'!$M$1,E503:I503,0)),"Dire","Radiant"),"")</f>
        <v/>
      </c>
    </row>
    <row r="504" spans="20:21" x14ac:dyDescent="0.3">
      <c r="T504" t="str">
        <f>IF(ISERROR(MATCH('Analysis backend'!$M$1,E504:N504,0)),"",'Analysis backend'!$L$1)</f>
        <v/>
      </c>
      <c r="U504" t="str">
        <f>IF(T504='Analysis backend'!$L$1,IF(ISERROR(MATCH('Analysis backend'!$M$1,E504:I504,0)),"Dire","Radiant"),"")</f>
        <v/>
      </c>
    </row>
    <row r="505" spans="20:21" x14ac:dyDescent="0.3">
      <c r="T505" t="str">
        <f>IF(ISERROR(MATCH('Analysis backend'!$M$1,E505:N505,0)),"",'Analysis backend'!$L$1)</f>
        <v/>
      </c>
      <c r="U505" t="str">
        <f>IF(T505='Analysis backend'!$L$1,IF(ISERROR(MATCH('Analysis backend'!$M$1,E505:I505,0)),"Dire","Radiant"),"")</f>
        <v/>
      </c>
    </row>
    <row r="506" spans="20:21" x14ac:dyDescent="0.3">
      <c r="T506" t="str">
        <f>IF(ISERROR(MATCH('Analysis backend'!$M$1,E506:N506,0)),"",'Analysis backend'!$L$1)</f>
        <v/>
      </c>
      <c r="U506" t="str">
        <f>IF(T506='Analysis backend'!$L$1,IF(ISERROR(MATCH('Analysis backend'!$M$1,E506:I506,0)),"Dire","Radiant"),"")</f>
        <v/>
      </c>
    </row>
    <row r="507" spans="20:21" x14ac:dyDescent="0.3">
      <c r="T507" t="str">
        <f>IF(ISERROR(MATCH('Analysis backend'!$M$1,E507:N507,0)),"",'Analysis backend'!$L$1)</f>
        <v/>
      </c>
      <c r="U507" t="str">
        <f>IF(T507='Analysis backend'!$L$1,IF(ISERROR(MATCH('Analysis backend'!$M$1,E507:I507,0)),"Dire","Radiant"),"")</f>
        <v/>
      </c>
    </row>
    <row r="508" spans="20:21" x14ac:dyDescent="0.3">
      <c r="T508" t="str">
        <f>IF(ISERROR(MATCH('Analysis backend'!$M$1,E508:N508,0)),"",'Analysis backend'!$L$1)</f>
        <v/>
      </c>
      <c r="U508" t="str">
        <f>IF(T508='Analysis backend'!$L$1,IF(ISERROR(MATCH('Analysis backend'!$M$1,E508:I508,0)),"Dire","Radiant"),"")</f>
        <v/>
      </c>
    </row>
    <row r="509" spans="20:21" x14ac:dyDescent="0.3">
      <c r="T509" t="str">
        <f>IF(ISERROR(MATCH('Analysis backend'!$M$1,E509:N509,0)),"",'Analysis backend'!$L$1)</f>
        <v/>
      </c>
      <c r="U509" t="str">
        <f>IF(T509='Analysis backend'!$L$1,IF(ISERROR(MATCH('Analysis backend'!$M$1,E509:I509,0)),"Dire","Radiant"),"")</f>
        <v/>
      </c>
    </row>
    <row r="510" spans="20:21" x14ac:dyDescent="0.3">
      <c r="T510" t="str">
        <f>IF(ISERROR(MATCH('Analysis backend'!$M$1,E510:N510,0)),"",'Analysis backend'!$L$1)</f>
        <v/>
      </c>
      <c r="U510" t="str">
        <f>IF(T510='Analysis backend'!$L$1,IF(ISERROR(MATCH('Analysis backend'!$M$1,E510:I510,0)),"Dire","Radiant"),"")</f>
        <v/>
      </c>
    </row>
    <row r="511" spans="20:21" x14ac:dyDescent="0.3">
      <c r="T511" t="str">
        <f>IF(ISERROR(MATCH('Analysis backend'!$M$1,E511:N511,0)),"",'Analysis backend'!$L$1)</f>
        <v/>
      </c>
      <c r="U511" t="str">
        <f>IF(T511='Analysis backend'!$L$1,IF(ISERROR(MATCH('Analysis backend'!$M$1,E511:I511,0)),"Dire","Radiant"),"")</f>
        <v/>
      </c>
    </row>
    <row r="512" spans="20:21" x14ac:dyDescent="0.3">
      <c r="T512" t="str">
        <f>IF(ISERROR(MATCH('Analysis backend'!$M$1,E512:N512,0)),"",'Analysis backend'!$L$1)</f>
        <v/>
      </c>
      <c r="U512" t="str">
        <f>IF(T512='Analysis backend'!$L$1,IF(ISERROR(MATCH('Analysis backend'!$M$1,E512:I512,0)),"Dire","Radiant"),"")</f>
        <v/>
      </c>
    </row>
    <row r="513" spans="20:21" x14ac:dyDescent="0.3">
      <c r="T513" t="str">
        <f>IF(ISERROR(MATCH('Analysis backend'!$M$1,E513:N513,0)),"",'Analysis backend'!$L$1)</f>
        <v/>
      </c>
      <c r="U513" t="str">
        <f>IF(T513='Analysis backend'!$L$1,IF(ISERROR(MATCH('Analysis backend'!$M$1,E513:I513,0)),"Dire","Radiant"),"")</f>
        <v/>
      </c>
    </row>
    <row r="514" spans="20:21" x14ac:dyDescent="0.3">
      <c r="T514" t="str">
        <f>IF(ISERROR(MATCH('Analysis backend'!$M$1,E514:N514,0)),"",'Analysis backend'!$L$1)</f>
        <v/>
      </c>
      <c r="U514" t="str">
        <f>IF(T514='Analysis backend'!$L$1,IF(ISERROR(MATCH('Analysis backend'!$M$1,E514:I514,0)),"Dire","Radiant"),"")</f>
        <v/>
      </c>
    </row>
    <row r="515" spans="20:21" x14ac:dyDescent="0.3">
      <c r="T515" t="str">
        <f>IF(ISERROR(MATCH('Analysis backend'!$M$1,E515:N515,0)),"",'Analysis backend'!$L$1)</f>
        <v/>
      </c>
      <c r="U515" t="str">
        <f>IF(T515='Analysis backend'!$L$1,IF(ISERROR(MATCH('Analysis backend'!$M$1,E515:I515,0)),"Dire","Radiant"),"")</f>
        <v/>
      </c>
    </row>
    <row r="516" spans="20:21" x14ac:dyDescent="0.3">
      <c r="T516" t="str">
        <f>IF(ISERROR(MATCH('Analysis backend'!$M$1,E516:N516,0)),"",'Analysis backend'!$L$1)</f>
        <v/>
      </c>
      <c r="U516" t="str">
        <f>IF(T516='Analysis backend'!$L$1,IF(ISERROR(MATCH('Analysis backend'!$M$1,E516:I516,0)),"Dire","Radiant"),"")</f>
        <v/>
      </c>
    </row>
    <row r="517" spans="20:21" x14ac:dyDescent="0.3">
      <c r="T517" t="str">
        <f>IF(ISERROR(MATCH('Analysis backend'!$M$1,E517:N517,0)),"",'Analysis backend'!$L$1)</f>
        <v/>
      </c>
      <c r="U517" t="str">
        <f>IF(T517='Analysis backend'!$L$1,IF(ISERROR(MATCH('Analysis backend'!$M$1,E517:I517,0)),"Dire","Radiant"),"")</f>
        <v/>
      </c>
    </row>
    <row r="518" spans="20:21" x14ac:dyDescent="0.3">
      <c r="T518" t="str">
        <f>IF(ISERROR(MATCH('Analysis backend'!$M$1,E518:N518,0)),"",'Analysis backend'!$L$1)</f>
        <v/>
      </c>
      <c r="U518" t="str">
        <f>IF(T518='Analysis backend'!$L$1,IF(ISERROR(MATCH('Analysis backend'!$M$1,E518:I518,0)),"Dire","Radiant"),"")</f>
        <v/>
      </c>
    </row>
    <row r="519" spans="20:21" x14ac:dyDescent="0.3">
      <c r="T519" t="str">
        <f>IF(ISERROR(MATCH('Analysis backend'!$M$1,E519:N519,0)),"",'Analysis backend'!$L$1)</f>
        <v/>
      </c>
      <c r="U519" t="str">
        <f>IF(T519='Analysis backend'!$L$1,IF(ISERROR(MATCH('Analysis backend'!$M$1,E519:I519,0)),"Dire","Radiant"),"")</f>
        <v/>
      </c>
    </row>
    <row r="520" spans="20:21" x14ac:dyDescent="0.3">
      <c r="T520" t="str">
        <f>IF(ISERROR(MATCH('Analysis backend'!$M$1,E520:N520,0)),"",'Analysis backend'!$L$1)</f>
        <v/>
      </c>
      <c r="U520" t="str">
        <f>IF(T520='Analysis backend'!$L$1,IF(ISERROR(MATCH('Analysis backend'!$M$1,E520:I520,0)),"Dire","Radiant"),"")</f>
        <v/>
      </c>
    </row>
    <row r="521" spans="20:21" x14ac:dyDescent="0.3">
      <c r="T521" t="str">
        <f>IF(ISERROR(MATCH('Analysis backend'!$M$1,E521:N521,0)),"",'Analysis backend'!$L$1)</f>
        <v/>
      </c>
      <c r="U521" t="str">
        <f>IF(T521='Analysis backend'!$L$1,IF(ISERROR(MATCH('Analysis backend'!$M$1,E521:I521,0)),"Dire","Radiant"),"")</f>
        <v/>
      </c>
    </row>
    <row r="522" spans="20:21" x14ac:dyDescent="0.3">
      <c r="T522" t="str">
        <f>IF(ISERROR(MATCH('Analysis backend'!$M$1,E522:N522,0)),"",'Analysis backend'!$L$1)</f>
        <v/>
      </c>
      <c r="U522" t="str">
        <f>IF(T522='Analysis backend'!$L$1,IF(ISERROR(MATCH('Analysis backend'!$M$1,E522:I522,0)),"Dire","Radiant"),"")</f>
        <v/>
      </c>
    </row>
    <row r="523" spans="20:21" x14ac:dyDescent="0.3">
      <c r="T523" t="str">
        <f>IF(ISERROR(MATCH('Analysis backend'!$M$1,E523:N523,0)),"",'Analysis backend'!$L$1)</f>
        <v/>
      </c>
      <c r="U523" t="str">
        <f>IF(T523='Analysis backend'!$L$1,IF(ISERROR(MATCH('Analysis backend'!$M$1,E523:I523,0)),"Dire","Radiant"),"")</f>
        <v/>
      </c>
    </row>
    <row r="524" spans="20:21" x14ac:dyDescent="0.3">
      <c r="T524" t="str">
        <f>IF(ISERROR(MATCH('Analysis backend'!$M$1,E524:N524,0)),"",'Analysis backend'!$L$1)</f>
        <v/>
      </c>
      <c r="U524" t="str">
        <f>IF(T524='Analysis backend'!$L$1,IF(ISERROR(MATCH('Analysis backend'!$M$1,E524:I524,0)),"Dire","Radiant"),"")</f>
        <v/>
      </c>
    </row>
    <row r="525" spans="20:21" x14ac:dyDescent="0.3">
      <c r="T525" t="str">
        <f>IF(ISERROR(MATCH('Analysis backend'!$M$1,E525:N525,0)),"",'Analysis backend'!$L$1)</f>
        <v/>
      </c>
      <c r="U525" t="str">
        <f>IF(T525='Analysis backend'!$L$1,IF(ISERROR(MATCH('Analysis backend'!$M$1,E525:I525,0)),"Dire","Radiant"),"")</f>
        <v/>
      </c>
    </row>
    <row r="526" spans="20:21" x14ac:dyDescent="0.3">
      <c r="T526" t="str">
        <f>IF(ISERROR(MATCH('Analysis backend'!$M$1,E526:N526,0)),"",'Analysis backend'!$L$1)</f>
        <v/>
      </c>
      <c r="U526" t="str">
        <f>IF(T526='Analysis backend'!$L$1,IF(ISERROR(MATCH('Analysis backend'!$M$1,E526:I526,0)),"Dire","Radiant"),"")</f>
        <v/>
      </c>
    </row>
    <row r="527" spans="20:21" x14ac:dyDescent="0.3">
      <c r="T527" t="str">
        <f>IF(ISERROR(MATCH('Analysis backend'!$M$1,E527:N527,0)),"",'Analysis backend'!$L$1)</f>
        <v/>
      </c>
      <c r="U527" t="str">
        <f>IF(T527='Analysis backend'!$L$1,IF(ISERROR(MATCH('Analysis backend'!$M$1,E527:I527,0)),"Dire","Radiant"),"")</f>
        <v/>
      </c>
    </row>
    <row r="528" spans="20:21" x14ac:dyDescent="0.3">
      <c r="T528" t="str">
        <f>IF(ISERROR(MATCH('Analysis backend'!$M$1,E528:N528,0)),"",'Analysis backend'!$L$1)</f>
        <v/>
      </c>
      <c r="U528" t="str">
        <f>IF(T528='Analysis backend'!$L$1,IF(ISERROR(MATCH('Analysis backend'!$M$1,E528:I528,0)),"Dire","Radiant"),"")</f>
        <v/>
      </c>
    </row>
    <row r="529" spans="20:21" x14ac:dyDescent="0.3">
      <c r="T529" t="str">
        <f>IF(ISERROR(MATCH('Analysis backend'!$M$1,E529:N529,0)),"",'Analysis backend'!$L$1)</f>
        <v/>
      </c>
      <c r="U529" t="str">
        <f>IF(T529='Analysis backend'!$L$1,IF(ISERROR(MATCH('Analysis backend'!$M$1,E529:I529,0)),"Dire","Radiant"),"")</f>
        <v/>
      </c>
    </row>
    <row r="530" spans="20:21" x14ac:dyDescent="0.3">
      <c r="T530" t="str">
        <f>IF(ISERROR(MATCH('Analysis backend'!$M$1,E530:N530,0)),"",'Analysis backend'!$L$1)</f>
        <v/>
      </c>
      <c r="U530" t="str">
        <f>IF(T530='Analysis backend'!$L$1,IF(ISERROR(MATCH('Analysis backend'!$M$1,E530:I530,0)),"Dire","Radiant"),"")</f>
        <v/>
      </c>
    </row>
    <row r="531" spans="20:21" x14ac:dyDescent="0.3">
      <c r="T531" t="str">
        <f>IF(ISERROR(MATCH('Analysis backend'!$M$1,E531:N531,0)),"",'Analysis backend'!$L$1)</f>
        <v/>
      </c>
      <c r="U531" t="str">
        <f>IF(T531='Analysis backend'!$L$1,IF(ISERROR(MATCH('Analysis backend'!$M$1,E531:I531,0)),"Dire","Radiant"),"")</f>
        <v/>
      </c>
    </row>
    <row r="532" spans="20:21" x14ac:dyDescent="0.3">
      <c r="T532" t="str">
        <f>IF(ISERROR(MATCH('Analysis backend'!$M$1,E532:N532,0)),"",'Analysis backend'!$L$1)</f>
        <v/>
      </c>
      <c r="U532" t="str">
        <f>IF(T532='Analysis backend'!$L$1,IF(ISERROR(MATCH('Analysis backend'!$M$1,E532:I532,0)),"Dire","Radiant"),"")</f>
        <v/>
      </c>
    </row>
    <row r="533" spans="20:21" x14ac:dyDescent="0.3">
      <c r="T533" t="str">
        <f>IF(ISERROR(MATCH('Analysis backend'!$M$1,E533:N533,0)),"",'Analysis backend'!$L$1)</f>
        <v/>
      </c>
      <c r="U533" t="str">
        <f>IF(T533='Analysis backend'!$L$1,IF(ISERROR(MATCH('Analysis backend'!$M$1,E533:I533,0)),"Dire","Radiant"),"")</f>
        <v/>
      </c>
    </row>
    <row r="534" spans="20:21" x14ac:dyDescent="0.3">
      <c r="T534" t="str">
        <f>IF(ISERROR(MATCH('Analysis backend'!$M$1,E534:N534,0)),"",'Analysis backend'!$L$1)</f>
        <v/>
      </c>
      <c r="U534" t="str">
        <f>IF(T534='Analysis backend'!$L$1,IF(ISERROR(MATCH('Analysis backend'!$M$1,E534:I534,0)),"Dire","Radiant"),"")</f>
        <v/>
      </c>
    </row>
    <row r="535" spans="20:21" x14ac:dyDescent="0.3">
      <c r="T535" t="str">
        <f>IF(ISERROR(MATCH('Analysis backend'!$M$1,E535:N535,0)),"",'Analysis backend'!$L$1)</f>
        <v/>
      </c>
      <c r="U535" t="str">
        <f>IF(T535='Analysis backend'!$L$1,IF(ISERROR(MATCH('Analysis backend'!$M$1,E535:I535,0)),"Dire","Radiant"),"")</f>
        <v/>
      </c>
    </row>
    <row r="536" spans="20:21" x14ac:dyDescent="0.3">
      <c r="T536" t="str">
        <f>IF(ISERROR(MATCH('Analysis backend'!$M$1,E536:N536,0)),"",'Analysis backend'!$L$1)</f>
        <v/>
      </c>
      <c r="U536" t="str">
        <f>IF(T536='Analysis backend'!$L$1,IF(ISERROR(MATCH('Analysis backend'!$M$1,E536:I536,0)),"Dire","Radiant"),"")</f>
        <v/>
      </c>
    </row>
    <row r="537" spans="20:21" x14ac:dyDescent="0.3">
      <c r="T537" t="str">
        <f>IF(ISERROR(MATCH('Analysis backend'!$M$1,E537:N537,0)),"",'Analysis backend'!$L$1)</f>
        <v/>
      </c>
      <c r="U537" t="str">
        <f>IF(T537='Analysis backend'!$L$1,IF(ISERROR(MATCH('Analysis backend'!$M$1,E537:I537,0)),"Dire","Radiant"),"")</f>
        <v/>
      </c>
    </row>
    <row r="538" spans="20:21" x14ac:dyDescent="0.3">
      <c r="T538" t="str">
        <f>IF(ISERROR(MATCH('Analysis backend'!$M$1,E538:N538,0)),"",'Analysis backend'!$L$1)</f>
        <v/>
      </c>
      <c r="U538" t="str">
        <f>IF(T538='Analysis backend'!$L$1,IF(ISERROR(MATCH('Analysis backend'!$M$1,E538:I538,0)),"Dire","Radiant"),"")</f>
        <v/>
      </c>
    </row>
    <row r="539" spans="20:21" x14ac:dyDescent="0.3">
      <c r="T539" t="str">
        <f>IF(ISERROR(MATCH('Analysis backend'!$M$1,E539:N539,0)),"",'Analysis backend'!$L$1)</f>
        <v/>
      </c>
      <c r="U539" t="str">
        <f>IF(T539='Analysis backend'!$L$1,IF(ISERROR(MATCH('Analysis backend'!$M$1,E539:I539,0)),"Dire","Radiant"),"")</f>
        <v/>
      </c>
    </row>
    <row r="540" spans="20:21" x14ac:dyDescent="0.3">
      <c r="T540" t="str">
        <f>IF(ISERROR(MATCH('Analysis backend'!$M$1,E540:N540,0)),"",'Analysis backend'!$L$1)</f>
        <v/>
      </c>
      <c r="U540" t="str">
        <f>IF(T540='Analysis backend'!$L$1,IF(ISERROR(MATCH('Analysis backend'!$M$1,E540:I540,0)),"Dire","Radiant"),"")</f>
        <v/>
      </c>
    </row>
    <row r="541" spans="20:21" x14ac:dyDescent="0.3">
      <c r="T541" t="str">
        <f>IF(ISERROR(MATCH('Analysis backend'!$M$1,E541:N541,0)),"",'Analysis backend'!$L$1)</f>
        <v/>
      </c>
      <c r="U541" t="str">
        <f>IF(T541='Analysis backend'!$L$1,IF(ISERROR(MATCH('Analysis backend'!$M$1,E541:I541,0)),"Dire","Radiant"),"")</f>
        <v/>
      </c>
    </row>
    <row r="542" spans="20:21" x14ac:dyDescent="0.3">
      <c r="T542" t="str">
        <f>IF(ISERROR(MATCH('Analysis backend'!$M$1,E542:N542,0)),"",'Analysis backend'!$L$1)</f>
        <v/>
      </c>
      <c r="U542" t="str">
        <f>IF(T542='Analysis backend'!$L$1,IF(ISERROR(MATCH('Analysis backend'!$M$1,E542:I542,0)),"Dire","Radiant"),"")</f>
        <v/>
      </c>
    </row>
    <row r="543" spans="20:21" x14ac:dyDescent="0.3">
      <c r="T543" t="str">
        <f>IF(ISERROR(MATCH('Analysis backend'!$M$1,E543:N543,0)),"",'Analysis backend'!$L$1)</f>
        <v/>
      </c>
      <c r="U543" t="str">
        <f>IF(T543='Analysis backend'!$L$1,IF(ISERROR(MATCH('Analysis backend'!$M$1,E543:I543,0)),"Dire","Radiant"),"")</f>
        <v/>
      </c>
    </row>
    <row r="544" spans="20:21" x14ac:dyDescent="0.3">
      <c r="T544" t="str">
        <f>IF(ISERROR(MATCH('Analysis backend'!$M$1,E544:N544,0)),"",'Analysis backend'!$L$1)</f>
        <v/>
      </c>
      <c r="U544" t="str">
        <f>IF(T544='Analysis backend'!$L$1,IF(ISERROR(MATCH('Analysis backend'!$M$1,E544:I544,0)),"Dire","Radiant"),"")</f>
        <v/>
      </c>
    </row>
    <row r="545" spans="20:21" x14ac:dyDescent="0.3">
      <c r="T545" t="str">
        <f>IF(ISERROR(MATCH('Analysis backend'!$M$1,E545:N545,0)),"",'Analysis backend'!$L$1)</f>
        <v/>
      </c>
      <c r="U545" t="str">
        <f>IF(T545='Analysis backend'!$L$1,IF(ISERROR(MATCH('Analysis backend'!$M$1,E545:I545,0)),"Dire","Radiant"),"")</f>
        <v/>
      </c>
    </row>
    <row r="546" spans="20:21" x14ac:dyDescent="0.3">
      <c r="T546" t="str">
        <f>IF(ISERROR(MATCH('Analysis backend'!$M$1,E546:N546,0)),"",'Analysis backend'!$L$1)</f>
        <v/>
      </c>
      <c r="U546" t="str">
        <f>IF(T546='Analysis backend'!$L$1,IF(ISERROR(MATCH('Analysis backend'!$M$1,E546:I546,0)),"Dire","Radiant"),"")</f>
        <v/>
      </c>
    </row>
    <row r="547" spans="20:21" x14ac:dyDescent="0.3">
      <c r="T547" t="str">
        <f>IF(ISERROR(MATCH('Analysis backend'!$M$1,E547:N547,0)),"",'Analysis backend'!$L$1)</f>
        <v/>
      </c>
      <c r="U547" t="str">
        <f>IF(T547='Analysis backend'!$L$1,IF(ISERROR(MATCH('Analysis backend'!$M$1,E547:I547,0)),"Dire","Radiant"),"")</f>
        <v/>
      </c>
    </row>
    <row r="548" spans="20:21" x14ac:dyDescent="0.3">
      <c r="T548" t="str">
        <f>IF(ISERROR(MATCH('Analysis backend'!$M$1,E548:N548,0)),"",'Analysis backend'!$L$1)</f>
        <v/>
      </c>
      <c r="U548" t="str">
        <f>IF(T548='Analysis backend'!$L$1,IF(ISERROR(MATCH('Analysis backend'!$M$1,E548:I548,0)),"Dire","Radiant"),"")</f>
        <v/>
      </c>
    </row>
    <row r="549" spans="20:21" x14ac:dyDescent="0.3">
      <c r="T549" t="str">
        <f>IF(ISERROR(MATCH('Analysis backend'!$M$1,E549:N549,0)),"",'Analysis backend'!$L$1)</f>
        <v/>
      </c>
      <c r="U549" t="str">
        <f>IF(T549='Analysis backend'!$L$1,IF(ISERROR(MATCH('Analysis backend'!$M$1,E549:I549,0)),"Dire","Radiant"),"")</f>
        <v/>
      </c>
    </row>
    <row r="550" spans="20:21" x14ac:dyDescent="0.3">
      <c r="T550" t="str">
        <f>IF(ISERROR(MATCH('Analysis backend'!$M$1,E550:N550,0)),"",'Analysis backend'!$L$1)</f>
        <v/>
      </c>
      <c r="U550" t="str">
        <f>IF(T550='Analysis backend'!$L$1,IF(ISERROR(MATCH('Analysis backend'!$M$1,E550:I550,0)),"Dire","Radiant"),"")</f>
        <v/>
      </c>
    </row>
    <row r="551" spans="20:21" x14ac:dyDescent="0.3">
      <c r="T551" t="str">
        <f>IF(ISERROR(MATCH('Analysis backend'!$M$1,E551:N551,0)),"",'Analysis backend'!$L$1)</f>
        <v/>
      </c>
      <c r="U551" t="str">
        <f>IF(T551='Analysis backend'!$L$1,IF(ISERROR(MATCH('Analysis backend'!$M$1,E551:I551,0)),"Dire","Radiant"),"")</f>
        <v/>
      </c>
    </row>
    <row r="552" spans="20:21" x14ac:dyDescent="0.3">
      <c r="T552" t="str">
        <f>IF(ISERROR(MATCH('Analysis backend'!$M$1,E552:N552,0)),"",'Analysis backend'!$L$1)</f>
        <v/>
      </c>
      <c r="U552" t="str">
        <f>IF(T552='Analysis backend'!$L$1,IF(ISERROR(MATCH('Analysis backend'!$M$1,E552:I552,0)),"Dire","Radiant"),"")</f>
        <v/>
      </c>
    </row>
    <row r="553" spans="20:21" x14ac:dyDescent="0.3">
      <c r="T553" t="str">
        <f>IF(ISERROR(MATCH('Analysis backend'!$M$1,E553:N553,0)),"",'Analysis backend'!$L$1)</f>
        <v/>
      </c>
      <c r="U553" t="str">
        <f>IF(T553='Analysis backend'!$L$1,IF(ISERROR(MATCH('Analysis backend'!$M$1,E553:I553,0)),"Dire","Radiant"),"")</f>
        <v/>
      </c>
    </row>
    <row r="554" spans="20:21" x14ac:dyDescent="0.3">
      <c r="T554" t="str">
        <f>IF(ISERROR(MATCH('Analysis backend'!$M$1,E554:N554,0)),"",'Analysis backend'!$L$1)</f>
        <v/>
      </c>
      <c r="U554" t="str">
        <f>IF(T554='Analysis backend'!$L$1,IF(ISERROR(MATCH('Analysis backend'!$M$1,E554:I554,0)),"Dire","Radiant"),"")</f>
        <v/>
      </c>
    </row>
    <row r="555" spans="20:21" x14ac:dyDescent="0.3">
      <c r="T555" t="str">
        <f>IF(ISERROR(MATCH('Analysis backend'!$M$1,E555:N555,0)),"",'Analysis backend'!$L$1)</f>
        <v/>
      </c>
      <c r="U555" t="str">
        <f>IF(T555='Analysis backend'!$L$1,IF(ISERROR(MATCH('Analysis backend'!$M$1,E555:I555,0)),"Dire","Radiant"),"")</f>
        <v/>
      </c>
    </row>
    <row r="556" spans="20:21" x14ac:dyDescent="0.3">
      <c r="T556" t="str">
        <f>IF(ISERROR(MATCH('Analysis backend'!$M$1,E556:N556,0)),"",'Analysis backend'!$L$1)</f>
        <v/>
      </c>
      <c r="U556" t="str">
        <f>IF(T556='Analysis backend'!$L$1,IF(ISERROR(MATCH('Analysis backend'!$M$1,E556:I556,0)),"Dire","Radiant"),"")</f>
        <v/>
      </c>
    </row>
    <row r="557" spans="20:21" x14ac:dyDescent="0.3">
      <c r="T557" t="str">
        <f>IF(ISERROR(MATCH('Analysis backend'!$M$1,E557:N557,0)),"",'Analysis backend'!$L$1)</f>
        <v/>
      </c>
      <c r="U557" t="str">
        <f>IF(T557='Analysis backend'!$L$1,IF(ISERROR(MATCH('Analysis backend'!$M$1,E557:I557,0)),"Dire","Radiant"),"")</f>
        <v/>
      </c>
    </row>
    <row r="558" spans="20:21" x14ac:dyDescent="0.3">
      <c r="T558" t="str">
        <f>IF(ISERROR(MATCH('Analysis backend'!$M$1,E558:N558,0)),"",'Analysis backend'!$L$1)</f>
        <v/>
      </c>
      <c r="U558" t="str">
        <f>IF(T558='Analysis backend'!$L$1,IF(ISERROR(MATCH('Analysis backend'!$M$1,E558:I558,0)),"Dire","Radiant"),"")</f>
        <v/>
      </c>
    </row>
    <row r="559" spans="20:21" x14ac:dyDescent="0.3">
      <c r="T559" t="str">
        <f>IF(ISERROR(MATCH('Analysis backend'!$M$1,E559:N559,0)),"",'Analysis backend'!$L$1)</f>
        <v/>
      </c>
      <c r="U559" t="str">
        <f>IF(T559='Analysis backend'!$L$1,IF(ISERROR(MATCH('Analysis backend'!$M$1,E559:I559,0)),"Dire","Radiant"),"")</f>
        <v/>
      </c>
    </row>
    <row r="560" spans="20:21" x14ac:dyDescent="0.3">
      <c r="T560" t="str">
        <f>IF(ISERROR(MATCH('Analysis backend'!$M$1,E560:N560,0)),"",'Analysis backend'!$L$1)</f>
        <v/>
      </c>
      <c r="U560" t="str">
        <f>IF(T560='Analysis backend'!$L$1,IF(ISERROR(MATCH('Analysis backend'!$M$1,E560:I560,0)),"Dire","Radiant"),"")</f>
        <v/>
      </c>
    </row>
    <row r="561" spans="20:21" x14ac:dyDescent="0.3">
      <c r="T561" t="str">
        <f>IF(ISERROR(MATCH('Analysis backend'!$M$1,E561:N561,0)),"",'Analysis backend'!$L$1)</f>
        <v/>
      </c>
      <c r="U561" t="str">
        <f>IF(T561='Analysis backend'!$L$1,IF(ISERROR(MATCH('Analysis backend'!$M$1,E561:I561,0)),"Dire","Radiant"),"")</f>
        <v/>
      </c>
    </row>
    <row r="562" spans="20:21" x14ac:dyDescent="0.3">
      <c r="T562" t="str">
        <f>IF(ISERROR(MATCH('Analysis backend'!$M$1,E562:N562,0)),"",'Analysis backend'!$L$1)</f>
        <v/>
      </c>
      <c r="U562" t="str">
        <f>IF(T562='Analysis backend'!$L$1,IF(ISERROR(MATCH('Analysis backend'!$M$1,E562:I562,0)),"Dire","Radiant"),"")</f>
        <v/>
      </c>
    </row>
    <row r="563" spans="20:21" x14ac:dyDescent="0.3">
      <c r="T563" t="str">
        <f>IF(ISERROR(MATCH('Analysis backend'!$M$1,E563:N563,0)),"",'Analysis backend'!$L$1)</f>
        <v/>
      </c>
      <c r="U563" t="str">
        <f>IF(T563='Analysis backend'!$L$1,IF(ISERROR(MATCH('Analysis backend'!$M$1,E563:I563,0)),"Dire","Radiant"),"")</f>
        <v/>
      </c>
    </row>
    <row r="564" spans="20:21" x14ac:dyDescent="0.3">
      <c r="T564" t="str">
        <f>IF(ISERROR(MATCH('Analysis backend'!$M$1,E564:N564,0)),"",'Analysis backend'!$L$1)</f>
        <v/>
      </c>
      <c r="U564" t="str">
        <f>IF(T564='Analysis backend'!$L$1,IF(ISERROR(MATCH('Analysis backend'!$M$1,E564:I564,0)),"Dire","Radiant"),"")</f>
        <v/>
      </c>
    </row>
    <row r="565" spans="20:21" x14ac:dyDescent="0.3">
      <c r="T565" t="str">
        <f>IF(ISERROR(MATCH('Analysis backend'!$M$1,E565:N565,0)),"",'Analysis backend'!$L$1)</f>
        <v/>
      </c>
      <c r="U565" t="str">
        <f>IF(T565='Analysis backend'!$L$1,IF(ISERROR(MATCH('Analysis backend'!$M$1,E565:I565,0)),"Dire","Radiant"),"")</f>
        <v/>
      </c>
    </row>
    <row r="566" spans="20:21" x14ac:dyDescent="0.3">
      <c r="T566" t="str">
        <f>IF(ISERROR(MATCH('Analysis backend'!$M$1,E566:N566,0)),"",'Analysis backend'!$L$1)</f>
        <v/>
      </c>
      <c r="U566" t="str">
        <f>IF(T566='Analysis backend'!$L$1,IF(ISERROR(MATCH('Analysis backend'!$M$1,E566:I566,0)),"Dire","Radiant"),"")</f>
        <v/>
      </c>
    </row>
    <row r="567" spans="20:21" x14ac:dyDescent="0.3">
      <c r="T567" t="str">
        <f>IF(ISERROR(MATCH('Analysis backend'!$M$1,E567:N567,0)),"",'Analysis backend'!$L$1)</f>
        <v/>
      </c>
      <c r="U567" t="str">
        <f>IF(T567='Analysis backend'!$L$1,IF(ISERROR(MATCH('Analysis backend'!$M$1,E567:I567,0)),"Dire","Radiant"),"")</f>
        <v/>
      </c>
    </row>
    <row r="568" spans="20:21" x14ac:dyDescent="0.3">
      <c r="T568" t="str">
        <f>IF(ISERROR(MATCH('Analysis backend'!$M$1,E568:N568,0)),"",'Analysis backend'!$L$1)</f>
        <v/>
      </c>
      <c r="U568" t="str">
        <f>IF(T568='Analysis backend'!$L$1,IF(ISERROR(MATCH('Analysis backend'!$M$1,E568:I568,0)),"Dire","Radiant"),"")</f>
        <v/>
      </c>
    </row>
    <row r="569" spans="20:21" x14ac:dyDescent="0.3">
      <c r="T569" t="str">
        <f>IF(ISERROR(MATCH('Analysis backend'!$M$1,E569:N569,0)),"",'Analysis backend'!$L$1)</f>
        <v/>
      </c>
      <c r="U569" t="str">
        <f>IF(T569='Analysis backend'!$L$1,IF(ISERROR(MATCH('Analysis backend'!$M$1,E569:I569,0)),"Dire","Radiant"),"")</f>
        <v/>
      </c>
    </row>
    <row r="570" spans="20:21" x14ac:dyDescent="0.3">
      <c r="T570" t="str">
        <f>IF(ISERROR(MATCH('Analysis backend'!$M$1,E570:N570,0)),"",'Analysis backend'!$L$1)</f>
        <v/>
      </c>
      <c r="U570" t="str">
        <f>IF(T570='Analysis backend'!$L$1,IF(ISERROR(MATCH('Analysis backend'!$M$1,E570:I570,0)),"Dire","Radiant"),"")</f>
        <v/>
      </c>
    </row>
    <row r="571" spans="20:21" x14ac:dyDescent="0.3">
      <c r="T571" t="str">
        <f>IF(ISERROR(MATCH('Analysis backend'!$M$1,E571:N571,0)),"",'Analysis backend'!$L$1)</f>
        <v/>
      </c>
      <c r="U571" t="str">
        <f>IF(T571='Analysis backend'!$L$1,IF(ISERROR(MATCH('Analysis backend'!$M$1,E571:I571,0)),"Dire","Radiant"),"")</f>
        <v/>
      </c>
    </row>
    <row r="572" spans="20:21" x14ac:dyDescent="0.3">
      <c r="T572" t="str">
        <f>IF(ISERROR(MATCH('Analysis backend'!$M$1,E572:N572,0)),"",'Analysis backend'!$L$1)</f>
        <v/>
      </c>
      <c r="U572" t="str">
        <f>IF(T572='Analysis backend'!$L$1,IF(ISERROR(MATCH('Analysis backend'!$M$1,E572:I572,0)),"Dire","Radiant"),"")</f>
        <v/>
      </c>
    </row>
    <row r="573" spans="20:21" x14ac:dyDescent="0.3">
      <c r="T573" t="str">
        <f>IF(ISERROR(MATCH('Analysis backend'!$M$1,E573:N573,0)),"",'Analysis backend'!$L$1)</f>
        <v/>
      </c>
      <c r="U573" t="str">
        <f>IF(T573='Analysis backend'!$L$1,IF(ISERROR(MATCH('Analysis backend'!$M$1,E573:I573,0)),"Dire","Radiant"),"")</f>
        <v/>
      </c>
    </row>
    <row r="574" spans="20:21" x14ac:dyDescent="0.3">
      <c r="T574" t="str">
        <f>IF(ISERROR(MATCH('Analysis backend'!$M$1,E574:N574,0)),"",'Analysis backend'!$L$1)</f>
        <v/>
      </c>
      <c r="U574" t="str">
        <f>IF(T574='Analysis backend'!$L$1,IF(ISERROR(MATCH('Analysis backend'!$M$1,E574:I574,0)),"Dire","Radiant"),"")</f>
        <v/>
      </c>
    </row>
    <row r="575" spans="20:21" x14ac:dyDescent="0.3">
      <c r="T575" t="str">
        <f>IF(ISERROR(MATCH('Analysis backend'!$M$1,E575:N575,0)),"",'Analysis backend'!$L$1)</f>
        <v/>
      </c>
      <c r="U575" t="str">
        <f>IF(T575='Analysis backend'!$L$1,IF(ISERROR(MATCH('Analysis backend'!$M$1,E575:I575,0)),"Dire","Radiant"),"")</f>
        <v/>
      </c>
    </row>
    <row r="576" spans="20:21" x14ac:dyDescent="0.3">
      <c r="T576" t="str">
        <f>IF(ISERROR(MATCH('Analysis backend'!$M$1,E576:N576,0)),"",'Analysis backend'!$L$1)</f>
        <v/>
      </c>
      <c r="U576" t="str">
        <f>IF(T576='Analysis backend'!$L$1,IF(ISERROR(MATCH('Analysis backend'!$M$1,E576:I576,0)),"Dire","Radiant"),"")</f>
        <v/>
      </c>
    </row>
    <row r="577" spans="20:21" x14ac:dyDescent="0.3">
      <c r="T577" t="str">
        <f>IF(ISERROR(MATCH('Analysis backend'!$M$1,E577:N577,0)),"",'Analysis backend'!$L$1)</f>
        <v/>
      </c>
      <c r="U577" t="str">
        <f>IF(T577='Analysis backend'!$L$1,IF(ISERROR(MATCH('Analysis backend'!$M$1,E577:I577,0)),"Dire","Radiant"),"")</f>
        <v/>
      </c>
    </row>
    <row r="578" spans="20:21" x14ac:dyDescent="0.3">
      <c r="T578" t="str">
        <f>IF(ISERROR(MATCH('Analysis backend'!$M$1,E578:N578,0)),"",'Analysis backend'!$L$1)</f>
        <v/>
      </c>
      <c r="U578" t="str">
        <f>IF(T578='Analysis backend'!$L$1,IF(ISERROR(MATCH('Analysis backend'!$M$1,E578:I578,0)),"Dire","Radiant"),"")</f>
        <v/>
      </c>
    </row>
    <row r="579" spans="20:21" x14ac:dyDescent="0.3">
      <c r="T579" t="str">
        <f>IF(ISERROR(MATCH('Analysis backend'!$M$1,E579:N579,0)),"",'Analysis backend'!$L$1)</f>
        <v/>
      </c>
      <c r="U579" t="str">
        <f>IF(T579='Analysis backend'!$L$1,IF(ISERROR(MATCH('Analysis backend'!$M$1,E579:I579,0)),"Dire","Radiant"),"")</f>
        <v/>
      </c>
    </row>
    <row r="580" spans="20:21" x14ac:dyDescent="0.3">
      <c r="T580" t="str">
        <f>IF(ISERROR(MATCH('Analysis backend'!$M$1,E580:N580,0)),"",'Analysis backend'!$L$1)</f>
        <v/>
      </c>
      <c r="U580" t="str">
        <f>IF(T580='Analysis backend'!$L$1,IF(ISERROR(MATCH('Analysis backend'!$M$1,E580:I580,0)),"Dire","Radiant"),"")</f>
        <v/>
      </c>
    </row>
    <row r="581" spans="20:21" x14ac:dyDescent="0.3">
      <c r="T581" t="str">
        <f>IF(ISERROR(MATCH('Analysis backend'!$M$1,E581:N581,0)),"",'Analysis backend'!$L$1)</f>
        <v/>
      </c>
      <c r="U581" t="str">
        <f>IF(T581='Analysis backend'!$L$1,IF(ISERROR(MATCH('Analysis backend'!$M$1,E581:I581,0)),"Dire","Radiant"),"")</f>
        <v/>
      </c>
    </row>
    <row r="582" spans="20:21" x14ac:dyDescent="0.3">
      <c r="T582" t="str">
        <f>IF(ISERROR(MATCH('Analysis backend'!$M$1,E582:N582,0)),"",'Analysis backend'!$L$1)</f>
        <v/>
      </c>
      <c r="U582" t="str">
        <f>IF(T582='Analysis backend'!$L$1,IF(ISERROR(MATCH('Analysis backend'!$M$1,E582:I582,0)),"Dire","Radiant"),"")</f>
        <v/>
      </c>
    </row>
    <row r="583" spans="20:21" x14ac:dyDescent="0.3">
      <c r="T583" t="str">
        <f>IF(ISERROR(MATCH('Analysis backend'!$M$1,E583:N583,0)),"",'Analysis backend'!$L$1)</f>
        <v/>
      </c>
      <c r="U583" t="str">
        <f>IF(T583='Analysis backend'!$L$1,IF(ISERROR(MATCH('Analysis backend'!$M$1,E583:I583,0)),"Dire","Radiant"),"")</f>
        <v/>
      </c>
    </row>
    <row r="584" spans="20:21" x14ac:dyDescent="0.3">
      <c r="T584" t="str">
        <f>IF(ISERROR(MATCH('Analysis backend'!$M$1,E584:N584,0)),"",'Analysis backend'!$L$1)</f>
        <v/>
      </c>
      <c r="U584" t="str">
        <f>IF(T584='Analysis backend'!$L$1,IF(ISERROR(MATCH('Analysis backend'!$M$1,E584:I584,0)),"Dire","Radiant"),"")</f>
        <v/>
      </c>
    </row>
    <row r="585" spans="20:21" x14ac:dyDescent="0.3">
      <c r="T585" t="str">
        <f>IF(ISERROR(MATCH('Analysis backend'!$M$1,E585:N585,0)),"",'Analysis backend'!$L$1)</f>
        <v/>
      </c>
      <c r="U585" t="str">
        <f>IF(T585='Analysis backend'!$L$1,IF(ISERROR(MATCH('Analysis backend'!$M$1,E585:I585,0)),"Dire","Radiant"),"")</f>
        <v/>
      </c>
    </row>
    <row r="586" spans="20:21" x14ac:dyDescent="0.3">
      <c r="T586" t="str">
        <f>IF(ISERROR(MATCH('Analysis backend'!$M$1,E586:N586,0)),"",'Analysis backend'!$L$1)</f>
        <v/>
      </c>
      <c r="U586" t="str">
        <f>IF(T586='Analysis backend'!$L$1,IF(ISERROR(MATCH('Analysis backend'!$M$1,E586:I586,0)),"Dire","Radiant"),"")</f>
        <v/>
      </c>
    </row>
    <row r="587" spans="20:21" x14ac:dyDescent="0.3">
      <c r="T587" t="str">
        <f>IF(ISERROR(MATCH('Analysis backend'!$M$1,E587:N587,0)),"",'Analysis backend'!$L$1)</f>
        <v/>
      </c>
      <c r="U587" t="str">
        <f>IF(T587='Analysis backend'!$L$1,IF(ISERROR(MATCH('Analysis backend'!$M$1,E587:I587,0)),"Dire","Radiant"),"")</f>
        <v/>
      </c>
    </row>
    <row r="588" spans="20:21" x14ac:dyDescent="0.3">
      <c r="T588" t="str">
        <f>IF(ISERROR(MATCH('Analysis backend'!$M$1,E588:N588,0)),"",'Analysis backend'!$L$1)</f>
        <v/>
      </c>
      <c r="U588" t="str">
        <f>IF(T588='Analysis backend'!$L$1,IF(ISERROR(MATCH('Analysis backend'!$M$1,E588:I588,0)),"Dire","Radiant"),"")</f>
        <v/>
      </c>
    </row>
    <row r="589" spans="20:21" x14ac:dyDescent="0.3">
      <c r="T589" t="str">
        <f>IF(ISERROR(MATCH('Analysis backend'!$M$1,E589:N589,0)),"",'Analysis backend'!$L$1)</f>
        <v/>
      </c>
      <c r="U589" t="str">
        <f>IF(T589='Analysis backend'!$L$1,IF(ISERROR(MATCH('Analysis backend'!$M$1,E589:I589,0)),"Dire","Radiant"),"")</f>
        <v/>
      </c>
    </row>
    <row r="590" spans="20:21" x14ac:dyDescent="0.3">
      <c r="T590" t="str">
        <f>IF(ISERROR(MATCH('Analysis backend'!$M$1,E590:N590,0)),"",'Analysis backend'!$L$1)</f>
        <v/>
      </c>
      <c r="U590" t="str">
        <f>IF(T590='Analysis backend'!$L$1,IF(ISERROR(MATCH('Analysis backend'!$M$1,E590:I590,0)),"Dire","Radiant"),"")</f>
        <v/>
      </c>
    </row>
    <row r="591" spans="20:21" x14ac:dyDescent="0.3">
      <c r="T591" t="str">
        <f>IF(ISERROR(MATCH('Analysis backend'!$M$1,E591:N591,0)),"",'Analysis backend'!$L$1)</f>
        <v/>
      </c>
      <c r="U591" t="str">
        <f>IF(T591='Analysis backend'!$L$1,IF(ISERROR(MATCH('Analysis backend'!$M$1,E591:I591,0)),"Dire","Radiant"),"")</f>
        <v/>
      </c>
    </row>
    <row r="592" spans="20:21" x14ac:dyDescent="0.3">
      <c r="T592" t="str">
        <f>IF(ISERROR(MATCH('Analysis backend'!$M$1,E592:N592,0)),"",'Analysis backend'!$L$1)</f>
        <v/>
      </c>
      <c r="U592" t="str">
        <f>IF(T592='Analysis backend'!$L$1,IF(ISERROR(MATCH('Analysis backend'!$M$1,E592:I592,0)),"Dire","Radiant"),"")</f>
        <v/>
      </c>
    </row>
    <row r="593" spans="20:21" x14ac:dyDescent="0.3">
      <c r="T593" t="str">
        <f>IF(ISERROR(MATCH('Analysis backend'!$M$1,E593:N593,0)),"",'Analysis backend'!$L$1)</f>
        <v/>
      </c>
      <c r="U593" t="str">
        <f>IF(T593='Analysis backend'!$L$1,IF(ISERROR(MATCH('Analysis backend'!$M$1,E593:I593,0)),"Dire","Radiant"),"")</f>
        <v/>
      </c>
    </row>
    <row r="594" spans="20:21" x14ac:dyDescent="0.3">
      <c r="T594" t="str">
        <f>IF(ISERROR(MATCH('Analysis backend'!$M$1,E594:N594,0)),"",'Analysis backend'!$L$1)</f>
        <v/>
      </c>
      <c r="U594" t="str">
        <f>IF(T594='Analysis backend'!$L$1,IF(ISERROR(MATCH('Analysis backend'!$M$1,E594:I594,0)),"Dire","Radiant"),"")</f>
        <v/>
      </c>
    </row>
    <row r="595" spans="20:21" x14ac:dyDescent="0.3">
      <c r="T595" t="str">
        <f>IF(ISERROR(MATCH('Analysis backend'!$M$1,E595:N595,0)),"",'Analysis backend'!$L$1)</f>
        <v/>
      </c>
      <c r="U595" t="str">
        <f>IF(T595='Analysis backend'!$L$1,IF(ISERROR(MATCH('Analysis backend'!$M$1,E595:I595,0)),"Dire","Radiant"),"")</f>
        <v/>
      </c>
    </row>
    <row r="596" spans="20:21" x14ac:dyDescent="0.3">
      <c r="T596" t="str">
        <f>IF(ISERROR(MATCH('Analysis backend'!$M$1,E596:N596,0)),"",'Analysis backend'!$L$1)</f>
        <v/>
      </c>
      <c r="U596" t="str">
        <f>IF(T596='Analysis backend'!$L$1,IF(ISERROR(MATCH('Analysis backend'!$M$1,E596:I596,0)),"Dire","Radiant"),"")</f>
        <v/>
      </c>
    </row>
    <row r="597" spans="20:21" x14ac:dyDescent="0.3">
      <c r="T597" t="str">
        <f>IF(ISERROR(MATCH('Analysis backend'!$M$1,E597:N597,0)),"",'Analysis backend'!$L$1)</f>
        <v/>
      </c>
      <c r="U597" t="str">
        <f>IF(T597='Analysis backend'!$L$1,IF(ISERROR(MATCH('Analysis backend'!$M$1,E597:I597,0)),"Dire","Radiant"),"")</f>
        <v/>
      </c>
    </row>
    <row r="598" spans="20:21" x14ac:dyDescent="0.3">
      <c r="T598" t="str">
        <f>IF(ISERROR(MATCH('Analysis backend'!$M$1,E598:N598,0)),"",'Analysis backend'!$L$1)</f>
        <v/>
      </c>
      <c r="U598" t="str">
        <f>IF(T598='Analysis backend'!$L$1,IF(ISERROR(MATCH('Analysis backend'!$M$1,E598:I598,0)),"Dire","Radiant"),"")</f>
        <v/>
      </c>
    </row>
    <row r="599" spans="20:21" x14ac:dyDescent="0.3">
      <c r="T599" t="str">
        <f>IF(ISERROR(MATCH('Analysis backend'!$M$1,E599:N599,0)),"",'Analysis backend'!$L$1)</f>
        <v/>
      </c>
      <c r="U599" t="str">
        <f>IF(T599='Analysis backend'!$L$1,IF(ISERROR(MATCH('Analysis backend'!$M$1,E599:I599,0)),"Dire","Radiant"),"")</f>
        <v/>
      </c>
    </row>
    <row r="600" spans="20:21" x14ac:dyDescent="0.3">
      <c r="T600" t="str">
        <f>IF(ISERROR(MATCH('Analysis backend'!$M$1,E600:N600,0)),"",'Analysis backend'!$L$1)</f>
        <v/>
      </c>
      <c r="U600" t="str">
        <f>IF(T600='Analysis backend'!$L$1,IF(ISERROR(MATCH('Analysis backend'!$M$1,E600:I600,0)),"Dire","Radiant"),"")</f>
        <v/>
      </c>
    </row>
    <row r="601" spans="20:21" x14ac:dyDescent="0.3">
      <c r="T601" t="str">
        <f>IF(ISERROR(MATCH('Analysis backend'!$M$1,E601:N601,0)),"",'Analysis backend'!$L$1)</f>
        <v/>
      </c>
      <c r="U601" t="str">
        <f>IF(T601='Analysis backend'!$L$1,IF(ISERROR(MATCH('Analysis backend'!$M$1,E601:I601,0)),"Dire","Radiant"),"")</f>
        <v/>
      </c>
    </row>
    <row r="602" spans="20:21" x14ac:dyDescent="0.3">
      <c r="T602" t="str">
        <f>IF(ISERROR(MATCH('Analysis backend'!$M$1,E602:N602,0)),"",'Analysis backend'!$L$1)</f>
        <v/>
      </c>
      <c r="U602" t="str">
        <f>IF(T602='Analysis backend'!$L$1,IF(ISERROR(MATCH('Analysis backend'!$M$1,E602:I602,0)),"Dire","Radiant"),"")</f>
        <v/>
      </c>
    </row>
    <row r="603" spans="20:21" x14ac:dyDescent="0.3">
      <c r="T603" t="str">
        <f>IF(ISERROR(MATCH('Analysis backend'!$M$1,E603:N603,0)),"",'Analysis backend'!$L$1)</f>
        <v/>
      </c>
      <c r="U603" t="str">
        <f>IF(T603='Analysis backend'!$L$1,IF(ISERROR(MATCH('Analysis backend'!$M$1,E603:I603,0)),"Dire","Radiant"),"")</f>
        <v/>
      </c>
    </row>
    <row r="604" spans="20:21" x14ac:dyDescent="0.3">
      <c r="T604" t="str">
        <f>IF(ISERROR(MATCH('Analysis backend'!$M$1,E604:N604,0)),"",'Analysis backend'!$L$1)</f>
        <v/>
      </c>
      <c r="U604" t="str">
        <f>IF(T604='Analysis backend'!$L$1,IF(ISERROR(MATCH('Analysis backend'!$M$1,E604:I604,0)),"Dire","Radiant"),"")</f>
        <v/>
      </c>
    </row>
    <row r="605" spans="20:21" x14ac:dyDescent="0.3">
      <c r="T605" t="str">
        <f>IF(ISERROR(MATCH('Analysis backend'!$M$1,E605:N605,0)),"",'Analysis backend'!$L$1)</f>
        <v/>
      </c>
      <c r="U605" t="str">
        <f>IF(T605='Analysis backend'!$L$1,IF(ISERROR(MATCH('Analysis backend'!$M$1,E605:I605,0)),"Dire","Radiant"),"")</f>
        <v/>
      </c>
    </row>
    <row r="606" spans="20:21" x14ac:dyDescent="0.3">
      <c r="T606" t="str">
        <f>IF(ISERROR(MATCH('Analysis backend'!$M$1,E606:N606,0)),"",'Analysis backend'!$L$1)</f>
        <v/>
      </c>
      <c r="U606" t="str">
        <f>IF(T606='Analysis backend'!$L$1,IF(ISERROR(MATCH('Analysis backend'!$M$1,E606:I606,0)),"Dire","Radiant"),"")</f>
        <v/>
      </c>
    </row>
    <row r="607" spans="20:21" x14ac:dyDescent="0.3">
      <c r="T607" t="str">
        <f>IF(ISERROR(MATCH('Analysis backend'!$M$1,E607:N607,0)),"",'Analysis backend'!$L$1)</f>
        <v/>
      </c>
      <c r="U607" t="str">
        <f>IF(T607='Analysis backend'!$L$1,IF(ISERROR(MATCH('Analysis backend'!$M$1,E607:I607,0)),"Dire","Radiant"),"")</f>
        <v/>
      </c>
    </row>
    <row r="608" spans="20:21" x14ac:dyDescent="0.3">
      <c r="T608" t="str">
        <f>IF(ISERROR(MATCH('Analysis backend'!$M$1,E608:N608,0)),"",'Analysis backend'!$L$1)</f>
        <v/>
      </c>
      <c r="U608" t="str">
        <f>IF(T608='Analysis backend'!$L$1,IF(ISERROR(MATCH('Analysis backend'!$M$1,E608:I608,0)),"Dire","Radiant"),"")</f>
        <v/>
      </c>
    </row>
    <row r="609" spans="20:21" x14ac:dyDescent="0.3">
      <c r="T609" t="str">
        <f>IF(ISERROR(MATCH('Analysis backend'!$M$1,E609:N609,0)),"",'Analysis backend'!$L$1)</f>
        <v/>
      </c>
      <c r="U609" t="str">
        <f>IF(T609='Analysis backend'!$L$1,IF(ISERROR(MATCH('Analysis backend'!$M$1,E609:I609,0)),"Dire","Radiant"),"")</f>
        <v/>
      </c>
    </row>
    <row r="610" spans="20:21" x14ac:dyDescent="0.3">
      <c r="T610" t="str">
        <f>IF(ISERROR(MATCH('Analysis backend'!$M$1,E610:N610,0)),"",'Analysis backend'!$L$1)</f>
        <v/>
      </c>
      <c r="U610" t="str">
        <f>IF(T610='Analysis backend'!$L$1,IF(ISERROR(MATCH('Analysis backend'!$M$1,E610:I610,0)),"Dire","Radiant"),"")</f>
        <v/>
      </c>
    </row>
    <row r="611" spans="20:21" x14ac:dyDescent="0.3">
      <c r="T611" t="str">
        <f>IF(ISERROR(MATCH('Analysis backend'!$M$1,E611:N611,0)),"",'Analysis backend'!$L$1)</f>
        <v/>
      </c>
      <c r="U611" t="str">
        <f>IF(T611='Analysis backend'!$L$1,IF(ISERROR(MATCH('Analysis backend'!$M$1,E611:I611,0)),"Dire","Radiant"),"")</f>
        <v/>
      </c>
    </row>
    <row r="612" spans="20:21" x14ac:dyDescent="0.3">
      <c r="T612" t="str">
        <f>IF(ISERROR(MATCH('Analysis backend'!$M$1,E612:N612,0)),"",'Analysis backend'!$L$1)</f>
        <v/>
      </c>
      <c r="U612" t="str">
        <f>IF(T612='Analysis backend'!$L$1,IF(ISERROR(MATCH('Analysis backend'!$M$1,E612:I612,0)),"Dire","Radiant"),"")</f>
        <v/>
      </c>
    </row>
    <row r="613" spans="20:21" x14ac:dyDescent="0.3">
      <c r="T613" t="str">
        <f>IF(ISERROR(MATCH('Analysis backend'!$M$1,E613:N613,0)),"",'Analysis backend'!$L$1)</f>
        <v/>
      </c>
      <c r="U613" t="str">
        <f>IF(T613='Analysis backend'!$L$1,IF(ISERROR(MATCH('Analysis backend'!$M$1,E613:I613,0)),"Dire","Radiant"),"")</f>
        <v/>
      </c>
    </row>
    <row r="614" spans="20:21" x14ac:dyDescent="0.3">
      <c r="T614" t="str">
        <f>IF(ISERROR(MATCH('Analysis backend'!$M$1,E614:N614,0)),"",'Analysis backend'!$L$1)</f>
        <v/>
      </c>
      <c r="U614" t="str">
        <f>IF(T614='Analysis backend'!$L$1,IF(ISERROR(MATCH('Analysis backend'!$M$1,E614:I614,0)),"Dire","Radiant"),"")</f>
        <v/>
      </c>
    </row>
    <row r="615" spans="20:21" x14ac:dyDescent="0.3">
      <c r="T615" t="str">
        <f>IF(ISERROR(MATCH('Analysis backend'!$M$1,E615:N615,0)),"",'Analysis backend'!$L$1)</f>
        <v/>
      </c>
      <c r="U615" t="str">
        <f>IF(T615='Analysis backend'!$L$1,IF(ISERROR(MATCH('Analysis backend'!$M$1,E615:I615,0)),"Dire","Radiant"),"")</f>
        <v/>
      </c>
    </row>
    <row r="616" spans="20:21" x14ac:dyDescent="0.3">
      <c r="T616" t="str">
        <f>IF(ISERROR(MATCH('Analysis backend'!$M$1,E616:N616,0)),"",'Analysis backend'!$L$1)</f>
        <v/>
      </c>
      <c r="U616" t="str">
        <f>IF(T616='Analysis backend'!$L$1,IF(ISERROR(MATCH('Analysis backend'!$M$1,E616:I616,0)),"Dire","Radiant"),"")</f>
        <v/>
      </c>
    </row>
    <row r="617" spans="20:21" x14ac:dyDescent="0.3">
      <c r="T617" t="str">
        <f>IF(ISERROR(MATCH('Analysis backend'!$M$1,E617:N617,0)),"",'Analysis backend'!$L$1)</f>
        <v/>
      </c>
      <c r="U617" t="str">
        <f>IF(T617='Analysis backend'!$L$1,IF(ISERROR(MATCH('Analysis backend'!$M$1,E617:I617,0)),"Dire","Radiant"),"")</f>
        <v/>
      </c>
    </row>
    <row r="618" spans="20:21" x14ac:dyDescent="0.3">
      <c r="T618" t="str">
        <f>IF(ISERROR(MATCH('Analysis backend'!$M$1,E618:N618,0)),"",'Analysis backend'!$L$1)</f>
        <v/>
      </c>
      <c r="U618" t="str">
        <f>IF(T618='Analysis backend'!$L$1,IF(ISERROR(MATCH('Analysis backend'!$M$1,E618:I618,0)),"Dire","Radiant"),"")</f>
        <v/>
      </c>
    </row>
    <row r="619" spans="20:21" x14ac:dyDescent="0.3">
      <c r="T619" t="str">
        <f>IF(ISERROR(MATCH('Analysis backend'!$M$1,E619:N619,0)),"",'Analysis backend'!$L$1)</f>
        <v/>
      </c>
      <c r="U619" t="str">
        <f>IF(T619='Analysis backend'!$L$1,IF(ISERROR(MATCH('Analysis backend'!$M$1,E619:I619,0)),"Dire","Radiant"),"")</f>
        <v/>
      </c>
    </row>
    <row r="620" spans="20:21" x14ac:dyDescent="0.3">
      <c r="T620" t="str">
        <f>IF(ISERROR(MATCH('Analysis backend'!$M$1,E620:N620,0)),"",'Analysis backend'!$L$1)</f>
        <v/>
      </c>
      <c r="U620" t="str">
        <f>IF(T620='Analysis backend'!$L$1,IF(ISERROR(MATCH('Analysis backend'!$M$1,E620:I620,0)),"Dire","Radiant"),"")</f>
        <v/>
      </c>
    </row>
    <row r="621" spans="20:21" x14ac:dyDescent="0.3">
      <c r="T621" t="str">
        <f>IF(ISERROR(MATCH('Analysis backend'!$M$1,E621:N621,0)),"",'Analysis backend'!$L$1)</f>
        <v/>
      </c>
      <c r="U621" t="str">
        <f>IF(T621='Analysis backend'!$L$1,IF(ISERROR(MATCH('Analysis backend'!$M$1,E621:I621,0)),"Dire","Radiant"),"")</f>
        <v/>
      </c>
    </row>
    <row r="622" spans="20:21" x14ac:dyDescent="0.3">
      <c r="T622" t="str">
        <f>IF(ISERROR(MATCH('Analysis backend'!$M$1,E622:N622,0)),"",'Analysis backend'!$L$1)</f>
        <v/>
      </c>
      <c r="U622" t="str">
        <f>IF(T622='Analysis backend'!$L$1,IF(ISERROR(MATCH('Analysis backend'!$M$1,E622:I622,0)),"Dire","Radiant"),"")</f>
        <v/>
      </c>
    </row>
    <row r="623" spans="20:21" x14ac:dyDescent="0.3">
      <c r="T623" t="str">
        <f>IF(ISERROR(MATCH('Analysis backend'!$M$1,E623:N623,0)),"",'Analysis backend'!$L$1)</f>
        <v/>
      </c>
      <c r="U623" t="str">
        <f>IF(T623='Analysis backend'!$L$1,IF(ISERROR(MATCH('Analysis backend'!$M$1,E623:I623,0)),"Dire","Radiant"),"")</f>
        <v/>
      </c>
    </row>
    <row r="624" spans="20:21" x14ac:dyDescent="0.3">
      <c r="T624" t="str">
        <f>IF(ISERROR(MATCH('Analysis backend'!$M$1,E624:N624,0)),"",'Analysis backend'!$L$1)</f>
        <v/>
      </c>
      <c r="U624" t="str">
        <f>IF(T624='Analysis backend'!$L$1,IF(ISERROR(MATCH('Analysis backend'!$M$1,E624:I624,0)),"Dire","Radiant"),"")</f>
        <v/>
      </c>
    </row>
    <row r="625" spans="20:21" x14ac:dyDescent="0.3">
      <c r="T625" t="str">
        <f>IF(ISERROR(MATCH('Analysis backend'!$M$1,E625:N625,0)),"",'Analysis backend'!$L$1)</f>
        <v/>
      </c>
      <c r="U625" t="str">
        <f>IF(T625='Analysis backend'!$L$1,IF(ISERROR(MATCH('Analysis backend'!$M$1,E625:I625,0)),"Dire","Radiant"),"")</f>
        <v/>
      </c>
    </row>
    <row r="626" spans="20:21" x14ac:dyDescent="0.3">
      <c r="T626" t="str">
        <f>IF(ISERROR(MATCH('Analysis backend'!$M$1,E626:N626,0)),"",'Analysis backend'!$L$1)</f>
        <v/>
      </c>
      <c r="U626" t="str">
        <f>IF(T626='Analysis backend'!$L$1,IF(ISERROR(MATCH('Analysis backend'!$M$1,E626:I626,0)),"Dire","Radiant"),"")</f>
        <v/>
      </c>
    </row>
    <row r="627" spans="20:21" x14ac:dyDescent="0.3">
      <c r="T627" t="str">
        <f>IF(ISERROR(MATCH('Analysis backend'!$M$1,E627:N627,0)),"",'Analysis backend'!$L$1)</f>
        <v/>
      </c>
      <c r="U627" t="str">
        <f>IF(T627='Analysis backend'!$L$1,IF(ISERROR(MATCH('Analysis backend'!$M$1,E627:I627,0)),"Dire","Radiant"),"")</f>
        <v/>
      </c>
    </row>
    <row r="628" spans="20:21" x14ac:dyDescent="0.3">
      <c r="T628" t="str">
        <f>IF(ISERROR(MATCH('Analysis backend'!$M$1,E628:N628,0)),"",'Analysis backend'!$L$1)</f>
        <v/>
      </c>
      <c r="U628" t="str">
        <f>IF(T628='Analysis backend'!$L$1,IF(ISERROR(MATCH('Analysis backend'!$M$1,E628:I628,0)),"Dire","Radiant"),"")</f>
        <v/>
      </c>
    </row>
    <row r="629" spans="20:21" x14ac:dyDescent="0.3">
      <c r="T629" t="str">
        <f>IF(ISERROR(MATCH('Analysis backend'!$M$1,E629:N629,0)),"",'Analysis backend'!$L$1)</f>
        <v/>
      </c>
      <c r="U629" t="str">
        <f>IF(T629='Analysis backend'!$L$1,IF(ISERROR(MATCH('Analysis backend'!$M$1,E629:I629,0)),"Dire","Radiant"),"")</f>
        <v/>
      </c>
    </row>
    <row r="630" spans="20:21" x14ac:dyDescent="0.3">
      <c r="T630" t="str">
        <f>IF(ISERROR(MATCH('Analysis backend'!$M$1,E630:N630,0)),"",'Analysis backend'!$L$1)</f>
        <v/>
      </c>
      <c r="U630" t="str">
        <f>IF(T630='Analysis backend'!$L$1,IF(ISERROR(MATCH('Analysis backend'!$M$1,E630:I630,0)),"Dire","Radiant"),"")</f>
        <v/>
      </c>
    </row>
    <row r="631" spans="20:21" x14ac:dyDescent="0.3">
      <c r="T631" t="str">
        <f>IF(ISERROR(MATCH('Analysis backend'!$M$1,E631:N631,0)),"",'Analysis backend'!$L$1)</f>
        <v/>
      </c>
      <c r="U631" t="str">
        <f>IF(T631='Analysis backend'!$L$1,IF(ISERROR(MATCH('Analysis backend'!$M$1,E631:I631,0)),"Dire","Radiant"),"")</f>
        <v/>
      </c>
    </row>
    <row r="632" spans="20:21" x14ac:dyDescent="0.3">
      <c r="T632" t="str">
        <f>IF(ISERROR(MATCH('Analysis backend'!$M$1,E632:N632,0)),"",'Analysis backend'!$L$1)</f>
        <v/>
      </c>
      <c r="U632" t="str">
        <f>IF(T632='Analysis backend'!$L$1,IF(ISERROR(MATCH('Analysis backend'!$M$1,E632:I632,0)),"Dire","Radiant"),"")</f>
        <v/>
      </c>
    </row>
    <row r="633" spans="20:21" x14ac:dyDescent="0.3">
      <c r="T633" t="str">
        <f>IF(ISERROR(MATCH('Analysis backend'!$M$1,E633:N633,0)),"",'Analysis backend'!$L$1)</f>
        <v/>
      </c>
      <c r="U633" t="str">
        <f>IF(T633='Analysis backend'!$L$1,IF(ISERROR(MATCH('Analysis backend'!$M$1,E633:I633,0)),"Dire","Radiant"),"")</f>
        <v/>
      </c>
    </row>
    <row r="634" spans="20:21" x14ac:dyDescent="0.3">
      <c r="T634" t="str">
        <f>IF(ISERROR(MATCH('Analysis backend'!$M$1,E634:N634,0)),"",'Analysis backend'!$L$1)</f>
        <v/>
      </c>
      <c r="U634" t="str">
        <f>IF(T634='Analysis backend'!$L$1,IF(ISERROR(MATCH('Analysis backend'!$M$1,E634:I634,0)),"Dire","Radiant"),"")</f>
        <v/>
      </c>
    </row>
    <row r="635" spans="20:21" x14ac:dyDescent="0.3">
      <c r="T635" t="str">
        <f>IF(ISERROR(MATCH('Analysis backend'!$M$1,E635:N635,0)),"",'Analysis backend'!$L$1)</f>
        <v/>
      </c>
      <c r="U635" t="str">
        <f>IF(T635='Analysis backend'!$L$1,IF(ISERROR(MATCH('Analysis backend'!$M$1,E635:I635,0)),"Dire","Radiant"),"")</f>
        <v/>
      </c>
    </row>
    <row r="636" spans="20:21" x14ac:dyDescent="0.3">
      <c r="T636" t="str">
        <f>IF(ISERROR(MATCH('Analysis backend'!$M$1,E636:N636,0)),"",'Analysis backend'!$L$1)</f>
        <v/>
      </c>
      <c r="U636" t="str">
        <f>IF(T636='Analysis backend'!$L$1,IF(ISERROR(MATCH('Analysis backend'!$M$1,E636:I636,0)),"Dire","Radiant"),"")</f>
        <v/>
      </c>
    </row>
    <row r="637" spans="20:21" x14ac:dyDescent="0.3">
      <c r="T637" t="str">
        <f>IF(ISERROR(MATCH('Analysis backend'!$M$1,E637:N637,0)),"",'Analysis backend'!$L$1)</f>
        <v/>
      </c>
      <c r="U637" t="str">
        <f>IF(T637='Analysis backend'!$L$1,IF(ISERROR(MATCH('Analysis backend'!$M$1,E637:I637,0)),"Dire","Radiant"),"")</f>
        <v/>
      </c>
    </row>
    <row r="638" spans="20:21" x14ac:dyDescent="0.3">
      <c r="T638" t="str">
        <f>IF(ISERROR(MATCH('Analysis backend'!$M$1,E638:N638,0)),"",'Analysis backend'!$L$1)</f>
        <v/>
      </c>
      <c r="U638" t="str">
        <f>IF(T638='Analysis backend'!$L$1,IF(ISERROR(MATCH('Analysis backend'!$M$1,E638:I638,0)),"Dire","Radiant"),"")</f>
        <v/>
      </c>
    </row>
    <row r="639" spans="20:21" x14ac:dyDescent="0.3">
      <c r="T639" t="str">
        <f>IF(ISERROR(MATCH('Analysis backend'!$M$1,E639:N639,0)),"",'Analysis backend'!$L$1)</f>
        <v/>
      </c>
      <c r="U639" t="str">
        <f>IF(T639='Analysis backend'!$L$1,IF(ISERROR(MATCH('Analysis backend'!$M$1,E639:I639,0)),"Dire","Radiant"),"")</f>
        <v/>
      </c>
    </row>
    <row r="640" spans="20:21" x14ac:dyDescent="0.3">
      <c r="T640" t="str">
        <f>IF(ISERROR(MATCH('Analysis backend'!$M$1,E640:N640,0)),"",'Analysis backend'!$L$1)</f>
        <v/>
      </c>
      <c r="U640" t="str">
        <f>IF(T640='Analysis backend'!$L$1,IF(ISERROR(MATCH('Analysis backend'!$M$1,E640:I640,0)),"Dire","Radiant"),"")</f>
        <v/>
      </c>
    </row>
    <row r="641" spans="20:21" x14ac:dyDescent="0.3">
      <c r="T641" t="str">
        <f>IF(ISERROR(MATCH('Analysis backend'!$M$1,E641:N641,0)),"",'Analysis backend'!$L$1)</f>
        <v/>
      </c>
      <c r="U641" t="str">
        <f>IF(T641='Analysis backend'!$L$1,IF(ISERROR(MATCH('Analysis backend'!$M$1,E641:I641,0)),"Dire","Radiant"),"")</f>
        <v/>
      </c>
    </row>
    <row r="642" spans="20:21" x14ac:dyDescent="0.3">
      <c r="T642" t="str">
        <f>IF(ISERROR(MATCH('Analysis backend'!$M$1,E642:N642,0)),"",'Analysis backend'!$L$1)</f>
        <v/>
      </c>
      <c r="U642" t="str">
        <f>IF(T642='Analysis backend'!$L$1,IF(ISERROR(MATCH('Analysis backend'!$M$1,E642:I642,0)),"Dire","Radiant"),"")</f>
        <v/>
      </c>
    </row>
    <row r="643" spans="20:21" x14ac:dyDescent="0.3">
      <c r="T643" t="str">
        <f>IF(ISERROR(MATCH('Analysis backend'!$M$1,E643:N643,0)),"",'Analysis backend'!$L$1)</f>
        <v/>
      </c>
      <c r="U643" t="str">
        <f>IF(T643='Analysis backend'!$L$1,IF(ISERROR(MATCH('Analysis backend'!$M$1,E643:I643,0)),"Dire","Radiant"),"")</f>
        <v/>
      </c>
    </row>
    <row r="644" spans="20:21" x14ac:dyDescent="0.3">
      <c r="T644" t="str">
        <f>IF(ISERROR(MATCH('Analysis backend'!$M$1,E644:N644,0)),"",'Analysis backend'!$L$1)</f>
        <v/>
      </c>
      <c r="U644" t="str">
        <f>IF(T644='Analysis backend'!$L$1,IF(ISERROR(MATCH('Analysis backend'!$M$1,E644:I644,0)),"Dire","Radiant"),"")</f>
        <v/>
      </c>
    </row>
    <row r="645" spans="20:21" x14ac:dyDescent="0.3">
      <c r="T645" t="str">
        <f>IF(ISERROR(MATCH('Analysis backend'!$M$1,E645:N645,0)),"",'Analysis backend'!$L$1)</f>
        <v/>
      </c>
      <c r="U645" t="str">
        <f>IF(T645='Analysis backend'!$L$1,IF(ISERROR(MATCH('Analysis backend'!$M$1,E645:I645,0)),"Dire","Radiant"),"")</f>
        <v/>
      </c>
    </row>
    <row r="646" spans="20:21" x14ac:dyDescent="0.3">
      <c r="T646" t="str">
        <f>IF(ISERROR(MATCH('Analysis backend'!$M$1,E646:N646,0)),"",'Analysis backend'!$L$1)</f>
        <v/>
      </c>
      <c r="U646" t="str">
        <f>IF(T646='Analysis backend'!$L$1,IF(ISERROR(MATCH('Analysis backend'!$M$1,E646:I646,0)),"Dire","Radiant"),"")</f>
        <v/>
      </c>
    </row>
    <row r="647" spans="20:21" x14ac:dyDescent="0.3">
      <c r="T647" t="str">
        <f>IF(ISERROR(MATCH('Analysis backend'!$M$1,E647:N647,0)),"",'Analysis backend'!$L$1)</f>
        <v/>
      </c>
      <c r="U647" t="str">
        <f>IF(T647='Analysis backend'!$L$1,IF(ISERROR(MATCH('Analysis backend'!$M$1,E647:I647,0)),"Dire","Radiant"),"")</f>
        <v/>
      </c>
    </row>
    <row r="648" spans="20:21" x14ac:dyDescent="0.3">
      <c r="T648" t="str">
        <f>IF(ISERROR(MATCH('Analysis backend'!$M$1,E648:N648,0)),"",'Analysis backend'!$L$1)</f>
        <v/>
      </c>
      <c r="U648" t="str">
        <f>IF(T648='Analysis backend'!$L$1,IF(ISERROR(MATCH('Analysis backend'!$M$1,E648:I648,0)),"Dire","Radiant"),"")</f>
        <v/>
      </c>
    </row>
    <row r="649" spans="20:21" x14ac:dyDescent="0.3">
      <c r="T649" t="str">
        <f>IF(ISERROR(MATCH('Analysis backend'!$M$1,E649:N649,0)),"",'Analysis backend'!$L$1)</f>
        <v/>
      </c>
      <c r="U649" t="str">
        <f>IF(T649='Analysis backend'!$L$1,IF(ISERROR(MATCH('Analysis backend'!$M$1,E649:I649,0)),"Dire","Radiant"),"")</f>
        <v/>
      </c>
    </row>
    <row r="650" spans="20:21" x14ac:dyDescent="0.3">
      <c r="T650" t="str">
        <f>IF(ISERROR(MATCH('Analysis backend'!$M$1,E650:N650,0)),"",'Analysis backend'!$L$1)</f>
        <v/>
      </c>
      <c r="U650" t="str">
        <f>IF(T650='Analysis backend'!$L$1,IF(ISERROR(MATCH('Analysis backend'!$M$1,E650:I650,0)),"Dire","Radiant"),"")</f>
        <v/>
      </c>
    </row>
    <row r="651" spans="20:21" x14ac:dyDescent="0.3">
      <c r="T651" t="str">
        <f>IF(ISERROR(MATCH('Analysis backend'!$M$1,E651:N651,0)),"",'Analysis backend'!$L$1)</f>
        <v/>
      </c>
      <c r="U651" t="str">
        <f>IF(T651='Analysis backend'!$L$1,IF(ISERROR(MATCH('Analysis backend'!$M$1,E651:I651,0)),"Dire","Radiant"),"")</f>
        <v/>
      </c>
    </row>
    <row r="652" spans="20:21" x14ac:dyDescent="0.3">
      <c r="T652" t="str">
        <f>IF(ISERROR(MATCH('Analysis backend'!$M$1,E652:N652,0)),"",'Analysis backend'!$L$1)</f>
        <v/>
      </c>
      <c r="U652" t="str">
        <f>IF(T652='Analysis backend'!$L$1,IF(ISERROR(MATCH('Analysis backend'!$M$1,E652:I652,0)),"Dire","Radiant"),"")</f>
        <v/>
      </c>
    </row>
    <row r="653" spans="20:21" x14ac:dyDescent="0.3">
      <c r="T653" t="str">
        <f>IF(ISERROR(MATCH('Analysis backend'!$M$1,E653:N653,0)),"",'Analysis backend'!$L$1)</f>
        <v/>
      </c>
      <c r="U653" t="str">
        <f>IF(T653='Analysis backend'!$L$1,IF(ISERROR(MATCH('Analysis backend'!$M$1,E653:I653,0)),"Dire","Radiant"),"")</f>
        <v/>
      </c>
    </row>
    <row r="654" spans="20:21" x14ac:dyDescent="0.3">
      <c r="T654" t="str">
        <f>IF(ISERROR(MATCH('Analysis backend'!$M$1,E654:N654,0)),"",'Analysis backend'!$L$1)</f>
        <v/>
      </c>
      <c r="U654" t="str">
        <f>IF(T654='Analysis backend'!$L$1,IF(ISERROR(MATCH('Analysis backend'!$M$1,E654:I654,0)),"Dire","Radiant"),"")</f>
        <v/>
      </c>
    </row>
    <row r="655" spans="20:21" x14ac:dyDescent="0.3">
      <c r="T655" t="str">
        <f>IF(ISERROR(MATCH('Analysis backend'!$M$1,E655:N655,0)),"",'Analysis backend'!$L$1)</f>
        <v/>
      </c>
      <c r="U655" t="str">
        <f>IF(T655='Analysis backend'!$L$1,IF(ISERROR(MATCH('Analysis backend'!$M$1,E655:I655,0)),"Dire","Radiant"),"")</f>
        <v/>
      </c>
    </row>
    <row r="656" spans="20:21" x14ac:dyDescent="0.3">
      <c r="T656" t="str">
        <f>IF(ISERROR(MATCH('Analysis backend'!$M$1,E656:N656,0)),"",'Analysis backend'!$L$1)</f>
        <v/>
      </c>
      <c r="U656" t="str">
        <f>IF(T656='Analysis backend'!$L$1,IF(ISERROR(MATCH('Analysis backend'!$M$1,E656:I656,0)),"Dire","Radiant"),"")</f>
        <v/>
      </c>
    </row>
    <row r="657" spans="20:21" x14ac:dyDescent="0.3">
      <c r="T657" t="str">
        <f>IF(ISERROR(MATCH('Analysis backend'!$M$1,E657:N657,0)),"",'Analysis backend'!$L$1)</f>
        <v/>
      </c>
      <c r="U657" t="str">
        <f>IF(T657='Analysis backend'!$L$1,IF(ISERROR(MATCH('Analysis backend'!$M$1,E657:I657,0)),"Dire","Radiant"),"")</f>
        <v/>
      </c>
    </row>
    <row r="658" spans="20:21" x14ac:dyDescent="0.3">
      <c r="T658" t="str">
        <f>IF(ISERROR(MATCH('Analysis backend'!$M$1,E658:N658,0)),"",'Analysis backend'!$L$1)</f>
        <v/>
      </c>
      <c r="U658" t="str">
        <f>IF(T658='Analysis backend'!$L$1,IF(ISERROR(MATCH('Analysis backend'!$M$1,E658:I658,0)),"Dire","Radiant"),"")</f>
        <v/>
      </c>
    </row>
    <row r="659" spans="20:21" x14ac:dyDescent="0.3">
      <c r="T659" t="str">
        <f>IF(ISERROR(MATCH('Analysis backend'!$M$1,E659:N659,0)),"",'Analysis backend'!$L$1)</f>
        <v/>
      </c>
      <c r="U659" t="str">
        <f>IF(T659='Analysis backend'!$L$1,IF(ISERROR(MATCH('Analysis backend'!$M$1,E659:I659,0)),"Dire","Radiant"),"")</f>
        <v/>
      </c>
    </row>
    <row r="660" spans="20:21" x14ac:dyDescent="0.3">
      <c r="T660" t="str">
        <f>IF(ISERROR(MATCH('Analysis backend'!$M$1,E660:N660,0)),"",'Analysis backend'!$L$1)</f>
        <v/>
      </c>
      <c r="U660" t="str">
        <f>IF(T660='Analysis backend'!$L$1,IF(ISERROR(MATCH('Analysis backend'!$M$1,E660:I660,0)),"Dire","Radiant"),"")</f>
        <v/>
      </c>
    </row>
    <row r="661" spans="20:21" x14ac:dyDescent="0.3">
      <c r="T661" t="str">
        <f>IF(ISERROR(MATCH('Analysis backend'!$M$1,E661:N661,0)),"",'Analysis backend'!$L$1)</f>
        <v/>
      </c>
      <c r="U661" t="str">
        <f>IF(T661='Analysis backend'!$L$1,IF(ISERROR(MATCH('Analysis backend'!$M$1,E661:I661,0)),"Dire","Radiant"),"")</f>
        <v/>
      </c>
    </row>
    <row r="662" spans="20:21" x14ac:dyDescent="0.3">
      <c r="T662" t="str">
        <f>IF(ISERROR(MATCH('Analysis backend'!$M$1,E662:N662,0)),"",'Analysis backend'!$L$1)</f>
        <v/>
      </c>
      <c r="U662" t="str">
        <f>IF(T662='Analysis backend'!$L$1,IF(ISERROR(MATCH('Analysis backend'!$M$1,E662:I662,0)),"Dire","Radiant"),"")</f>
        <v/>
      </c>
    </row>
    <row r="663" spans="20:21" x14ac:dyDescent="0.3">
      <c r="T663" t="str">
        <f>IF(ISERROR(MATCH('Analysis backend'!$M$1,E663:N663,0)),"",'Analysis backend'!$L$1)</f>
        <v/>
      </c>
      <c r="U663" t="str">
        <f>IF(T663='Analysis backend'!$L$1,IF(ISERROR(MATCH('Analysis backend'!$M$1,E663:I663,0)),"Dire","Radiant"),"")</f>
        <v/>
      </c>
    </row>
    <row r="664" spans="20:21" x14ac:dyDescent="0.3">
      <c r="T664" t="str">
        <f>IF(ISERROR(MATCH('Analysis backend'!$M$1,E664:N664,0)),"",'Analysis backend'!$L$1)</f>
        <v/>
      </c>
      <c r="U664" t="str">
        <f>IF(T664='Analysis backend'!$L$1,IF(ISERROR(MATCH('Analysis backend'!$M$1,E664:I664,0)),"Dire","Radiant"),"")</f>
        <v/>
      </c>
    </row>
    <row r="665" spans="20:21" x14ac:dyDescent="0.3">
      <c r="T665" t="str">
        <f>IF(ISERROR(MATCH('Analysis backend'!$M$1,E665:N665,0)),"",'Analysis backend'!$L$1)</f>
        <v/>
      </c>
      <c r="U665" t="str">
        <f>IF(T665='Analysis backend'!$L$1,IF(ISERROR(MATCH('Analysis backend'!$M$1,E665:I665,0)),"Dire","Radiant"),"")</f>
        <v/>
      </c>
    </row>
    <row r="666" spans="20:21" x14ac:dyDescent="0.3">
      <c r="T666" t="str">
        <f>IF(ISERROR(MATCH('Analysis backend'!$M$1,E666:N666,0)),"",'Analysis backend'!$L$1)</f>
        <v/>
      </c>
      <c r="U666" t="str">
        <f>IF(T666='Analysis backend'!$L$1,IF(ISERROR(MATCH('Analysis backend'!$M$1,E666:I666,0)),"Dire","Radiant"),"")</f>
        <v/>
      </c>
    </row>
    <row r="667" spans="20:21" x14ac:dyDescent="0.3">
      <c r="T667" t="str">
        <f>IF(ISERROR(MATCH('Analysis backend'!$M$1,E667:N667,0)),"",'Analysis backend'!$L$1)</f>
        <v/>
      </c>
      <c r="U667" t="str">
        <f>IF(T667='Analysis backend'!$L$1,IF(ISERROR(MATCH('Analysis backend'!$M$1,E667:I667,0)),"Dire","Radiant"),"")</f>
        <v/>
      </c>
    </row>
    <row r="668" spans="20:21" x14ac:dyDescent="0.3">
      <c r="T668" t="str">
        <f>IF(ISERROR(MATCH('Analysis backend'!$M$1,E668:N668,0)),"",'Analysis backend'!$L$1)</f>
        <v/>
      </c>
      <c r="U668" t="str">
        <f>IF(T668='Analysis backend'!$L$1,IF(ISERROR(MATCH('Analysis backend'!$M$1,E668:I668,0)),"Dire","Radiant"),"")</f>
        <v/>
      </c>
    </row>
    <row r="669" spans="20:21" x14ac:dyDescent="0.3">
      <c r="T669" t="str">
        <f>IF(ISERROR(MATCH('Analysis backend'!$M$1,E669:N669,0)),"",'Analysis backend'!$L$1)</f>
        <v/>
      </c>
      <c r="U669" t="str">
        <f>IF(T669='Analysis backend'!$L$1,IF(ISERROR(MATCH('Analysis backend'!$M$1,E669:I669,0)),"Dire","Radiant"),"")</f>
        <v/>
      </c>
    </row>
    <row r="670" spans="20:21" x14ac:dyDescent="0.3">
      <c r="T670" t="str">
        <f>IF(ISERROR(MATCH('Analysis backend'!$M$1,E670:N670,0)),"",'Analysis backend'!$L$1)</f>
        <v/>
      </c>
      <c r="U670" t="str">
        <f>IF(T670='Analysis backend'!$L$1,IF(ISERROR(MATCH('Analysis backend'!$M$1,E670:I670,0)),"Dire","Radiant"),"")</f>
        <v/>
      </c>
    </row>
    <row r="671" spans="20:21" x14ac:dyDescent="0.3">
      <c r="T671" t="str">
        <f>IF(ISERROR(MATCH('Analysis backend'!$M$1,E671:N671,0)),"",'Analysis backend'!$L$1)</f>
        <v/>
      </c>
      <c r="U671" t="str">
        <f>IF(T671='Analysis backend'!$L$1,IF(ISERROR(MATCH('Analysis backend'!$M$1,E671:I671,0)),"Dire","Radiant"),"")</f>
        <v/>
      </c>
    </row>
    <row r="672" spans="20:21" x14ac:dyDescent="0.3">
      <c r="T672" t="str">
        <f>IF(ISERROR(MATCH('Analysis backend'!$M$1,E672:N672,0)),"",'Analysis backend'!$L$1)</f>
        <v/>
      </c>
      <c r="U672" t="str">
        <f>IF(T672='Analysis backend'!$L$1,IF(ISERROR(MATCH('Analysis backend'!$M$1,E672:I672,0)),"Dire","Radiant"),"")</f>
        <v/>
      </c>
    </row>
    <row r="673" spans="20:21" x14ac:dyDescent="0.3">
      <c r="T673" t="str">
        <f>IF(ISERROR(MATCH('Analysis backend'!$M$1,E673:N673,0)),"",'Analysis backend'!$L$1)</f>
        <v/>
      </c>
      <c r="U673" t="str">
        <f>IF(T673='Analysis backend'!$L$1,IF(ISERROR(MATCH('Analysis backend'!$M$1,E673:I673,0)),"Dire","Radiant"),"")</f>
        <v/>
      </c>
    </row>
    <row r="674" spans="20:21" x14ac:dyDescent="0.3">
      <c r="T674" t="str">
        <f>IF(ISERROR(MATCH('Analysis backend'!$M$1,E674:N674,0)),"",'Analysis backend'!$L$1)</f>
        <v/>
      </c>
      <c r="U674" t="str">
        <f>IF(T674='Analysis backend'!$L$1,IF(ISERROR(MATCH('Analysis backend'!$M$1,E674:I674,0)),"Dire","Radiant"),"")</f>
        <v/>
      </c>
    </row>
    <row r="675" spans="20:21" x14ac:dyDescent="0.3">
      <c r="T675" t="str">
        <f>IF(ISERROR(MATCH('Analysis backend'!$M$1,E675:N675,0)),"",'Analysis backend'!$L$1)</f>
        <v/>
      </c>
      <c r="U675" t="str">
        <f>IF(T675='Analysis backend'!$L$1,IF(ISERROR(MATCH('Analysis backend'!$M$1,E675:I675,0)),"Dire","Radiant"),"")</f>
        <v/>
      </c>
    </row>
    <row r="676" spans="20:21" x14ac:dyDescent="0.3">
      <c r="T676" t="str">
        <f>IF(ISERROR(MATCH('Analysis backend'!$M$1,E676:N676,0)),"",'Analysis backend'!$L$1)</f>
        <v/>
      </c>
      <c r="U676" t="str">
        <f>IF(T676='Analysis backend'!$L$1,IF(ISERROR(MATCH('Analysis backend'!$M$1,E676:I676,0)),"Dire","Radiant"),"")</f>
        <v/>
      </c>
    </row>
    <row r="677" spans="20:21" x14ac:dyDescent="0.3">
      <c r="T677" t="str">
        <f>IF(ISERROR(MATCH('Analysis backend'!$M$1,E677:N677,0)),"",'Analysis backend'!$L$1)</f>
        <v/>
      </c>
      <c r="U677" t="str">
        <f>IF(T677='Analysis backend'!$L$1,IF(ISERROR(MATCH('Analysis backend'!$M$1,E677:I677,0)),"Dire","Radiant"),"")</f>
        <v/>
      </c>
    </row>
    <row r="678" spans="20:21" x14ac:dyDescent="0.3">
      <c r="T678" t="str">
        <f>IF(ISERROR(MATCH('Analysis backend'!$M$1,E678:N678,0)),"",'Analysis backend'!$L$1)</f>
        <v/>
      </c>
      <c r="U678" t="str">
        <f>IF(T678='Analysis backend'!$L$1,IF(ISERROR(MATCH('Analysis backend'!$M$1,E678:I678,0)),"Dire","Radiant"),"")</f>
        <v/>
      </c>
    </row>
    <row r="679" spans="20:21" x14ac:dyDescent="0.3">
      <c r="T679" t="str">
        <f>IF(ISERROR(MATCH('Analysis backend'!$M$1,E679:N679,0)),"",'Analysis backend'!$L$1)</f>
        <v/>
      </c>
      <c r="U679" t="str">
        <f>IF(T679='Analysis backend'!$L$1,IF(ISERROR(MATCH('Analysis backend'!$M$1,E679:I679,0)),"Dire","Radiant"),"")</f>
        <v/>
      </c>
    </row>
    <row r="680" spans="20:21" x14ac:dyDescent="0.3">
      <c r="T680" t="str">
        <f>IF(ISERROR(MATCH('Analysis backend'!$M$1,E680:N680,0)),"",'Analysis backend'!$L$1)</f>
        <v/>
      </c>
      <c r="U680" t="str">
        <f>IF(T680='Analysis backend'!$L$1,IF(ISERROR(MATCH('Analysis backend'!$M$1,E680:I680,0)),"Dire","Radiant"),"")</f>
        <v/>
      </c>
    </row>
    <row r="681" spans="20:21" x14ac:dyDescent="0.3">
      <c r="T681" t="str">
        <f>IF(ISERROR(MATCH('Analysis backend'!$M$1,E681:N681,0)),"",'Analysis backend'!$L$1)</f>
        <v/>
      </c>
      <c r="U681" t="str">
        <f>IF(T681='Analysis backend'!$L$1,IF(ISERROR(MATCH('Analysis backend'!$M$1,E681:I681,0)),"Dire","Radiant"),"")</f>
        <v/>
      </c>
    </row>
    <row r="682" spans="20:21" x14ac:dyDescent="0.3">
      <c r="T682" t="str">
        <f>IF(ISERROR(MATCH('Analysis backend'!$M$1,E682:N682,0)),"",'Analysis backend'!$L$1)</f>
        <v/>
      </c>
      <c r="U682" t="str">
        <f>IF(T682='Analysis backend'!$L$1,IF(ISERROR(MATCH('Analysis backend'!$M$1,E682:I682,0)),"Dire","Radiant"),"")</f>
        <v/>
      </c>
    </row>
    <row r="683" spans="20:21" x14ac:dyDescent="0.3">
      <c r="T683" t="str">
        <f>IF(ISERROR(MATCH('Analysis backend'!$M$1,E683:N683,0)),"",'Analysis backend'!$L$1)</f>
        <v/>
      </c>
      <c r="U683" t="str">
        <f>IF(T683='Analysis backend'!$L$1,IF(ISERROR(MATCH('Analysis backend'!$M$1,E683:I683,0)),"Dire","Radiant"),"")</f>
        <v/>
      </c>
    </row>
    <row r="684" spans="20:21" x14ac:dyDescent="0.3">
      <c r="T684" t="str">
        <f>IF(ISERROR(MATCH('Analysis backend'!$M$1,E684:N684,0)),"",'Analysis backend'!$L$1)</f>
        <v/>
      </c>
      <c r="U684" t="str">
        <f>IF(T684='Analysis backend'!$L$1,IF(ISERROR(MATCH('Analysis backend'!$M$1,E684:I684,0)),"Dire","Radiant"),"")</f>
        <v/>
      </c>
    </row>
    <row r="685" spans="20:21" x14ac:dyDescent="0.3">
      <c r="T685" t="str">
        <f>IF(ISERROR(MATCH('Analysis backend'!$M$1,E685:N685,0)),"",'Analysis backend'!$L$1)</f>
        <v/>
      </c>
      <c r="U685" t="str">
        <f>IF(T685='Analysis backend'!$L$1,IF(ISERROR(MATCH('Analysis backend'!$M$1,E685:I685,0)),"Dire","Radiant"),"")</f>
        <v/>
      </c>
    </row>
    <row r="686" spans="20:21" x14ac:dyDescent="0.3">
      <c r="T686" t="str">
        <f>IF(ISERROR(MATCH('Analysis backend'!$M$1,E686:N686,0)),"",'Analysis backend'!$L$1)</f>
        <v/>
      </c>
      <c r="U686" t="str">
        <f>IF(T686='Analysis backend'!$L$1,IF(ISERROR(MATCH('Analysis backend'!$M$1,E686:I686,0)),"Dire","Radiant"),"")</f>
        <v/>
      </c>
    </row>
    <row r="687" spans="20:21" x14ac:dyDescent="0.3">
      <c r="T687" t="str">
        <f>IF(ISERROR(MATCH('Analysis backend'!$M$1,E687:N687,0)),"",'Analysis backend'!$L$1)</f>
        <v/>
      </c>
      <c r="U687" t="str">
        <f>IF(T687='Analysis backend'!$L$1,IF(ISERROR(MATCH('Analysis backend'!$M$1,E687:I687,0)),"Dire","Radiant"),"")</f>
        <v/>
      </c>
    </row>
    <row r="688" spans="20:21" x14ac:dyDescent="0.3">
      <c r="T688" t="str">
        <f>IF(ISERROR(MATCH('Analysis backend'!$M$1,E688:N688,0)),"",'Analysis backend'!$L$1)</f>
        <v/>
      </c>
      <c r="U688" t="str">
        <f>IF(T688='Analysis backend'!$L$1,IF(ISERROR(MATCH('Analysis backend'!$M$1,E688:I688,0)),"Dire","Radiant"),"")</f>
        <v/>
      </c>
    </row>
    <row r="689" spans="20:21" x14ac:dyDescent="0.3">
      <c r="T689" t="str">
        <f>IF(ISERROR(MATCH('Analysis backend'!$M$1,E689:N689,0)),"",'Analysis backend'!$L$1)</f>
        <v/>
      </c>
      <c r="U689" t="str">
        <f>IF(T689='Analysis backend'!$L$1,IF(ISERROR(MATCH('Analysis backend'!$M$1,E689:I689,0)),"Dire","Radiant"),"")</f>
        <v/>
      </c>
    </row>
    <row r="690" spans="20:21" x14ac:dyDescent="0.3">
      <c r="T690" t="str">
        <f>IF(ISERROR(MATCH('Analysis backend'!$M$1,E690:N690,0)),"",'Analysis backend'!$L$1)</f>
        <v/>
      </c>
      <c r="U690" t="str">
        <f>IF(T690='Analysis backend'!$L$1,IF(ISERROR(MATCH('Analysis backend'!$M$1,E690:I690,0)),"Dire","Radiant"),"")</f>
        <v/>
      </c>
    </row>
    <row r="691" spans="20:21" x14ac:dyDescent="0.3">
      <c r="T691" t="str">
        <f>IF(ISERROR(MATCH('Analysis backend'!$M$1,E691:N691,0)),"",'Analysis backend'!$L$1)</f>
        <v/>
      </c>
      <c r="U691" t="str">
        <f>IF(T691='Analysis backend'!$L$1,IF(ISERROR(MATCH('Analysis backend'!$M$1,E691:I691,0)),"Dire","Radiant"),"")</f>
        <v/>
      </c>
    </row>
    <row r="692" spans="20:21" x14ac:dyDescent="0.3">
      <c r="T692" t="str">
        <f>IF(ISERROR(MATCH('Analysis backend'!$M$1,E692:N692,0)),"",'Analysis backend'!$L$1)</f>
        <v/>
      </c>
      <c r="U692" t="str">
        <f>IF(T692='Analysis backend'!$L$1,IF(ISERROR(MATCH('Analysis backend'!$M$1,E692:I692,0)),"Dire","Radiant"),"")</f>
        <v/>
      </c>
    </row>
    <row r="693" spans="20:21" x14ac:dyDescent="0.3">
      <c r="T693" t="str">
        <f>IF(ISERROR(MATCH('Analysis backend'!$M$1,E693:N693,0)),"",'Analysis backend'!$L$1)</f>
        <v/>
      </c>
      <c r="U693" t="str">
        <f>IF(T693='Analysis backend'!$L$1,IF(ISERROR(MATCH('Analysis backend'!$M$1,E693:I693,0)),"Dire","Radiant"),"")</f>
        <v/>
      </c>
    </row>
    <row r="694" spans="20:21" x14ac:dyDescent="0.3">
      <c r="T694" t="str">
        <f>IF(ISERROR(MATCH('Analysis backend'!$M$1,E694:N694,0)),"",'Analysis backend'!$L$1)</f>
        <v/>
      </c>
      <c r="U694" t="str">
        <f>IF(T694='Analysis backend'!$L$1,IF(ISERROR(MATCH('Analysis backend'!$M$1,E694:I694,0)),"Dire","Radiant"),"")</f>
        <v/>
      </c>
    </row>
    <row r="695" spans="20:21" x14ac:dyDescent="0.3">
      <c r="T695" t="str">
        <f>IF(ISERROR(MATCH('Analysis backend'!$M$1,E695:N695,0)),"",'Analysis backend'!$L$1)</f>
        <v/>
      </c>
      <c r="U695" t="str">
        <f>IF(T695='Analysis backend'!$L$1,IF(ISERROR(MATCH('Analysis backend'!$M$1,E695:I695,0)),"Dire","Radiant"),"")</f>
        <v/>
      </c>
    </row>
    <row r="696" spans="20:21" x14ac:dyDescent="0.3">
      <c r="T696" t="str">
        <f>IF(ISERROR(MATCH('Analysis backend'!$M$1,E696:N696,0)),"",'Analysis backend'!$L$1)</f>
        <v/>
      </c>
      <c r="U696" t="str">
        <f>IF(T696='Analysis backend'!$L$1,IF(ISERROR(MATCH('Analysis backend'!$M$1,E696:I696,0)),"Dire","Radiant"),"")</f>
        <v/>
      </c>
    </row>
    <row r="697" spans="20:21" x14ac:dyDescent="0.3">
      <c r="T697" t="str">
        <f>IF(ISERROR(MATCH('Analysis backend'!$M$1,E697:N697,0)),"",'Analysis backend'!$L$1)</f>
        <v/>
      </c>
      <c r="U697" t="str">
        <f>IF(T697='Analysis backend'!$L$1,IF(ISERROR(MATCH('Analysis backend'!$M$1,E697:I697,0)),"Dire","Radiant"),"")</f>
        <v/>
      </c>
    </row>
    <row r="698" spans="20:21" x14ac:dyDescent="0.3">
      <c r="T698" t="str">
        <f>IF(ISERROR(MATCH('Analysis backend'!$M$1,E698:N698,0)),"",'Analysis backend'!$L$1)</f>
        <v/>
      </c>
      <c r="U698" t="str">
        <f>IF(T698='Analysis backend'!$L$1,IF(ISERROR(MATCH('Analysis backend'!$M$1,E698:I698,0)),"Dire","Radiant"),"")</f>
        <v/>
      </c>
    </row>
    <row r="699" spans="20:21" x14ac:dyDescent="0.3">
      <c r="T699" t="str">
        <f>IF(ISERROR(MATCH('Analysis backend'!$M$1,E699:N699,0)),"",'Analysis backend'!$L$1)</f>
        <v/>
      </c>
      <c r="U699" t="str">
        <f>IF(T699='Analysis backend'!$L$1,IF(ISERROR(MATCH('Analysis backend'!$M$1,E699:I699,0)),"Dire","Radiant"),"")</f>
        <v/>
      </c>
    </row>
    <row r="700" spans="20:21" x14ac:dyDescent="0.3">
      <c r="T700" t="str">
        <f>IF(ISERROR(MATCH('Analysis backend'!$M$1,E700:N700,0)),"",'Analysis backend'!$L$1)</f>
        <v/>
      </c>
      <c r="U700" t="str">
        <f>IF(T700='Analysis backend'!$L$1,IF(ISERROR(MATCH('Analysis backend'!$M$1,E700:I700,0)),"Dire","Radiant"),"")</f>
        <v/>
      </c>
    </row>
    <row r="701" spans="20:21" x14ac:dyDescent="0.3">
      <c r="T701" t="str">
        <f>IF(ISERROR(MATCH('Analysis backend'!$M$1,E701:N701,0)),"",'Analysis backend'!$L$1)</f>
        <v/>
      </c>
      <c r="U701" t="str">
        <f>IF(T701='Analysis backend'!$L$1,IF(ISERROR(MATCH('Analysis backend'!$M$1,E701:I701,0)),"Dire","Radiant"),"")</f>
        <v/>
      </c>
    </row>
    <row r="702" spans="20:21" x14ac:dyDescent="0.3">
      <c r="T702" t="str">
        <f>IF(ISERROR(MATCH('Analysis backend'!$M$1,E702:N702,0)),"",'Analysis backend'!$L$1)</f>
        <v/>
      </c>
      <c r="U702" t="str">
        <f>IF(T702='Analysis backend'!$L$1,IF(ISERROR(MATCH('Analysis backend'!$M$1,E702:I702,0)),"Dire","Radiant"),"")</f>
        <v/>
      </c>
    </row>
    <row r="703" spans="20:21" x14ac:dyDescent="0.3">
      <c r="T703" t="str">
        <f>IF(ISERROR(MATCH('Analysis backend'!$M$1,E703:N703,0)),"",'Analysis backend'!$L$1)</f>
        <v/>
      </c>
      <c r="U703" t="str">
        <f>IF(T703='Analysis backend'!$L$1,IF(ISERROR(MATCH('Analysis backend'!$M$1,E703:I703,0)),"Dire","Radiant"),"")</f>
        <v/>
      </c>
    </row>
    <row r="704" spans="20:21" x14ac:dyDescent="0.3">
      <c r="T704" t="str">
        <f>IF(ISERROR(MATCH('Analysis backend'!$M$1,E704:N704,0)),"",'Analysis backend'!$L$1)</f>
        <v/>
      </c>
      <c r="U704" t="str">
        <f>IF(T704='Analysis backend'!$L$1,IF(ISERROR(MATCH('Analysis backend'!$M$1,E704:I704,0)),"Dire","Radiant"),"")</f>
        <v/>
      </c>
    </row>
    <row r="705" spans="20:21" x14ac:dyDescent="0.3">
      <c r="T705" t="str">
        <f>IF(ISERROR(MATCH('Analysis backend'!$M$1,E705:N705,0)),"",'Analysis backend'!$L$1)</f>
        <v/>
      </c>
      <c r="U705" t="str">
        <f>IF(T705='Analysis backend'!$L$1,IF(ISERROR(MATCH('Analysis backend'!$M$1,E705:I705,0)),"Dire","Radiant"),"")</f>
        <v/>
      </c>
    </row>
    <row r="706" spans="20:21" x14ac:dyDescent="0.3">
      <c r="T706" t="str">
        <f>IF(ISERROR(MATCH('Analysis backend'!$M$1,E706:N706,0)),"",'Analysis backend'!$L$1)</f>
        <v/>
      </c>
      <c r="U706" t="str">
        <f>IF(T706='Analysis backend'!$L$1,IF(ISERROR(MATCH('Analysis backend'!$M$1,E706:I706,0)),"Dire","Radiant"),"")</f>
        <v/>
      </c>
    </row>
    <row r="707" spans="20:21" x14ac:dyDescent="0.3">
      <c r="T707" t="str">
        <f>IF(ISERROR(MATCH('Analysis backend'!$M$1,E707:N707,0)),"",'Analysis backend'!$L$1)</f>
        <v/>
      </c>
      <c r="U707" t="str">
        <f>IF(T707='Analysis backend'!$L$1,IF(ISERROR(MATCH('Analysis backend'!$M$1,E707:I707,0)),"Dire","Radiant"),"")</f>
        <v/>
      </c>
    </row>
    <row r="708" spans="20:21" x14ac:dyDescent="0.3">
      <c r="T708" t="str">
        <f>IF(ISERROR(MATCH('Analysis backend'!$M$1,E708:N708,0)),"",'Analysis backend'!$L$1)</f>
        <v/>
      </c>
      <c r="U708" t="str">
        <f>IF(T708='Analysis backend'!$L$1,IF(ISERROR(MATCH('Analysis backend'!$M$1,E708:I708,0)),"Dire","Radiant"),"")</f>
        <v/>
      </c>
    </row>
    <row r="709" spans="20:21" x14ac:dyDescent="0.3">
      <c r="T709" t="str">
        <f>IF(ISERROR(MATCH('Analysis backend'!$M$1,E709:N709,0)),"",'Analysis backend'!$L$1)</f>
        <v/>
      </c>
      <c r="U709" t="str">
        <f>IF(T709='Analysis backend'!$L$1,IF(ISERROR(MATCH('Analysis backend'!$M$1,E709:I709,0)),"Dire","Radiant"),"")</f>
        <v/>
      </c>
    </row>
    <row r="710" spans="20:21" x14ac:dyDescent="0.3">
      <c r="T710" t="str">
        <f>IF(ISERROR(MATCH('Analysis backend'!$M$1,E710:N710,0)),"",'Analysis backend'!$L$1)</f>
        <v/>
      </c>
      <c r="U710" t="str">
        <f>IF(T710='Analysis backend'!$L$1,IF(ISERROR(MATCH('Analysis backend'!$M$1,E710:I710,0)),"Dire","Radiant"),"")</f>
        <v/>
      </c>
    </row>
    <row r="711" spans="20:21" x14ac:dyDescent="0.3">
      <c r="T711" t="str">
        <f>IF(ISERROR(MATCH('Analysis backend'!$M$1,E711:N711,0)),"",'Analysis backend'!$L$1)</f>
        <v/>
      </c>
      <c r="U711" t="str">
        <f>IF(T711='Analysis backend'!$L$1,IF(ISERROR(MATCH('Analysis backend'!$M$1,E711:I711,0)),"Dire","Radiant"),"")</f>
        <v/>
      </c>
    </row>
    <row r="712" spans="20:21" x14ac:dyDescent="0.3">
      <c r="T712" t="str">
        <f>IF(ISERROR(MATCH('Analysis backend'!$M$1,E712:N712,0)),"",'Analysis backend'!$L$1)</f>
        <v/>
      </c>
      <c r="U712" t="str">
        <f>IF(T712='Analysis backend'!$L$1,IF(ISERROR(MATCH('Analysis backend'!$M$1,E712:I712,0)),"Dire","Radiant"),"")</f>
        <v/>
      </c>
    </row>
    <row r="713" spans="20:21" x14ac:dyDescent="0.3">
      <c r="T713" t="str">
        <f>IF(ISERROR(MATCH('Analysis backend'!$M$1,E713:N713,0)),"",'Analysis backend'!$L$1)</f>
        <v/>
      </c>
      <c r="U713" t="str">
        <f>IF(T713='Analysis backend'!$L$1,IF(ISERROR(MATCH('Analysis backend'!$M$1,E713:I713,0)),"Dire","Radiant"),"")</f>
        <v/>
      </c>
    </row>
    <row r="714" spans="20:21" x14ac:dyDescent="0.3">
      <c r="T714" t="str">
        <f>IF(ISERROR(MATCH('Analysis backend'!$M$1,E714:N714,0)),"",'Analysis backend'!$L$1)</f>
        <v/>
      </c>
      <c r="U714" t="str">
        <f>IF(T714='Analysis backend'!$L$1,IF(ISERROR(MATCH('Analysis backend'!$M$1,E714:I714,0)),"Dire","Radiant"),"")</f>
        <v/>
      </c>
    </row>
    <row r="715" spans="20:21" x14ac:dyDescent="0.3">
      <c r="T715" t="str">
        <f>IF(ISERROR(MATCH('Analysis backend'!$M$1,E715:N715,0)),"",'Analysis backend'!$L$1)</f>
        <v/>
      </c>
      <c r="U715" t="str">
        <f>IF(T715='Analysis backend'!$L$1,IF(ISERROR(MATCH('Analysis backend'!$M$1,E715:I715,0)),"Dire","Radiant"),"")</f>
        <v/>
      </c>
    </row>
    <row r="716" spans="20:21" x14ac:dyDescent="0.3">
      <c r="T716" t="str">
        <f>IF(ISERROR(MATCH('Analysis backend'!$M$1,E716:N716,0)),"",'Analysis backend'!$L$1)</f>
        <v/>
      </c>
      <c r="U716" t="str">
        <f>IF(T716='Analysis backend'!$L$1,IF(ISERROR(MATCH('Analysis backend'!$M$1,E716:I716,0)),"Dire","Radiant"),"")</f>
        <v/>
      </c>
    </row>
    <row r="717" spans="20:21" x14ac:dyDescent="0.3">
      <c r="T717" t="str">
        <f>IF(ISERROR(MATCH('Analysis backend'!$M$1,E717:N717,0)),"",'Analysis backend'!$L$1)</f>
        <v/>
      </c>
      <c r="U717" t="str">
        <f>IF(T717='Analysis backend'!$L$1,IF(ISERROR(MATCH('Analysis backend'!$M$1,E717:I717,0)),"Dire","Radiant"),"")</f>
        <v/>
      </c>
    </row>
    <row r="718" spans="20:21" x14ac:dyDescent="0.3">
      <c r="T718" t="str">
        <f>IF(ISERROR(MATCH('Analysis backend'!$M$1,E718:N718,0)),"",'Analysis backend'!$L$1)</f>
        <v/>
      </c>
      <c r="U718" t="str">
        <f>IF(T718='Analysis backend'!$L$1,IF(ISERROR(MATCH('Analysis backend'!$M$1,E718:I718,0)),"Dire","Radiant"),"")</f>
        <v/>
      </c>
    </row>
    <row r="719" spans="20:21" x14ac:dyDescent="0.3">
      <c r="T719" t="str">
        <f>IF(ISERROR(MATCH('Analysis backend'!$M$1,E719:N719,0)),"",'Analysis backend'!$L$1)</f>
        <v/>
      </c>
      <c r="U719" t="str">
        <f>IF(T719='Analysis backend'!$L$1,IF(ISERROR(MATCH('Analysis backend'!$M$1,E719:I719,0)),"Dire","Radiant"),"")</f>
        <v/>
      </c>
    </row>
    <row r="720" spans="20:21" x14ac:dyDescent="0.3">
      <c r="T720" t="str">
        <f>IF(ISERROR(MATCH('Analysis backend'!$M$1,E720:N720,0)),"",'Analysis backend'!$L$1)</f>
        <v/>
      </c>
      <c r="U720" t="str">
        <f>IF(T720='Analysis backend'!$L$1,IF(ISERROR(MATCH('Analysis backend'!$M$1,E720:I720,0)),"Dire","Radiant"),"")</f>
        <v/>
      </c>
    </row>
    <row r="721" spans="20:21" x14ac:dyDescent="0.3">
      <c r="T721" t="str">
        <f>IF(ISERROR(MATCH('Analysis backend'!$M$1,E721:N721,0)),"",'Analysis backend'!$L$1)</f>
        <v/>
      </c>
      <c r="U721" t="str">
        <f>IF(T721='Analysis backend'!$L$1,IF(ISERROR(MATCH('Analysis backend'!$M$1,E721:I721,0)),"Dire","Radiant"),"")</f>
        <v/>
      </c>
    </row>
    <row r="722" spans="20:21" x14ac:dyDescent="0.3">
      <c r="T722" t="str">
        <f>IF(ISERROR(MATCH('Analysis backend'!$M$1,E722:N722,0)),"",'Analysis backend'!$L$1)</f>
        <v/>
      </c>
      <c r="U722" t="str">
        <f>IF(T722='Analysis backend'!$L$1,IF(ISERROR(MATCH('Analysis backend'!$M$1,E722:I722,0)),"Dire","Radiant"),"")</f>
        <v/>
      </c>
    </row>
    <row r="723" spans="20:21" x14ac:dyDescent="0.3">
      <c r="T723" t="str">
        <f>IF(ISERROR(MATCH('Analysis backend'!$M$1,E723:N723,0)),"",'Analysis backend'!$L$1)</f>
        <v/>
      </c>
      <c r="U723" t="str">
        <f>IF(T723='Analysis backend'!$L$1,IF(ISERROR(MATCH('Analysis backend'!$M$1,E723:I723,0)),"Dire","Radiant"),"")</f>
        <v/>
      </c>
    </row>
    <row r="724" spans="20:21" x14ac:dyDescent="0.3">
      <c r="T724" t="str">
        <f>IF(ISERROR(MATCH('Analysis backend'!$M$1,E724:N724,0)),"",'Analysis backend'!$L$1)</f>
        <v/>
      </c>
      <c r="U724" t="str">
        <f>IF(T724='Analysis backend'!$L$1,IF(ISERROR(MATCH('Analysis backend'!$M$1,E724:I724,0)),"Dire","Radiant"),"")</f>
        <v/>
      </c>
    </row>
    <row r="725" spans="20:21" x14ac:dyDescent="0.3">
      <c r="T725" t="str">
        <f>IF(ISERROR(MATCH('Analysis backend'!$M$1,E725:N725,0)),"",'Analysis backend'!$L$1)</f>
        <v/>
      </c>
      <c r="U725" t="str">
        <f>IF(T725='Analysis backend'!$L$1,IF(ISERROR(MATCH('Analysis backend'!$M$1,E725:I725,0)),"Dire","Radiant"),"")</f>
        <v/>
      </c>
    </row>
    <row r="726" spans="20:21" x14ac:dyDescent="0.3">
      <c r="T726" t="str">
        <f>IF(ISERROR(MATCH('Analysis backend'!$M$1,E726:N726,0)),"",'Analysis backend'!$L$1)</f>
        <v/>
      </c>
      <c r="U726" t="str">
        <f>IF(T726='Analysis backend'!$L$1,IF(ISERROR(MATCH('Analysis backend'!$M$1,E726:I726,0)),"Dire","Radiant"),"")</f>
        <v/>
      </c>
    </row>
    <row r="727" spans="20:21" x14ac:dyDescent="0.3">
      <c r="T727" t="str">
        <f>IF(ISERROR(MATCH('Analysis backend'!$M$1,E727:N727,0)),"",'Analysis backend'!$L$1)</f>
        <v/>
      </c>
      <c r="U727" t="str">
        <f>IF(T727='Analysis backend'!$L$1,IF(ISERROR(MATCH('Analysis backend'!$M$1,E727:I727,0)),"Dire","Radiant"),"")</f>
        <v/>
      </c>
    </row>
    <row r="728" spans="20:21" x14ac:dyDescent="0.3">
      <c r="T728" t="str">
        <f>IF(ISERROR(MATCH('Analysis backend'!$M$1,E728:N728,0)),"",'Analysis backend'!$L$1)</f>
        <v/>
      </c>
      <c r="U728" t="str">
        <f>IF(T728='Analysis backend'!$L$1,IF(ISERROR(MATCH('Analysis backend'!$M$1,E728:I728,0)),"Dire","Radiant"),"")</f>
        <v/>
      </c>
    </row>
    <row r="729" spans="20:21" x14ac:dyDescent="0.3">
      <c r="T729" t="str">
        <f>IF(ISERROR(MATCH('Analysis backend'!$M$1,E729:N729,0)),"",'Analysis backend'!$L$1)</f>
        <v/>
      </c>
      <c r="U729" t="str">
        <f>IF(T729='Analysis backend'!$L$1,IF(ISERROR(MATCH('Analysis backend'!$M$1,E729:I729,0)),"Dire","Radiant"),"")</f>
        <v/>
      </c>
    </row>
    <row r="730" spans="20:21" x14ac:dyDescent="0.3">
      <c r="T730" t="str">
        <f>IF(ISERROR(MATCH('Analysis backend'!$M$1,E730:N730,0)),"",'Analysis backend'!$L$1)</f>
        <v/>
      </c>
      <c r="U730" t="str">
        <f>IF(T730='Analysis backend'!$L$1,IF(ISERROR(MATCH('Analysis backend'!$M$1,E730:I730,0)),"Dire","Radiant"),"")</f>
        <v/>
      </c>
    </row>
    <row r="731" spans="20:21" x14ac:dyDescent="0.3">
      <c r="T731" t="str">
        <f>IF(ISERROR(MATCH('Analysis backend'!$M$1,E731:N731,0)),"",'Analysis backend'!$L$1)</f>
        <v/>
      </c>
      <c r="U731" t="str">
        <f>IF(T731='Analysis backend'!$L$1,IF(ISERROR(MATCH('Analysis backend'!$M$1,E731:I731,0)),"Dire","Radiant"),"")</f>
        <v/>
      </c>
    </row>
    <row r="732" spans="20:21" x14ac:dyDescent="0.3">
      <c r="T732" t="str">
        <f>IF(ISERROR(MATCH('Analysis backend'!$M$1,E732:N732,0)),"",'Analysis backend'!$L$1)</f>
        <v/>
      </c>
      <c r="U732" t="str">
        <f>IF(T732='Analysis backend'!$L$1,IF(ISERROR(MATCH('Analysis backend'!$M$1,E732:I732,0)),"Dire","Radiant"),"")</f>
        <v/>
      </c>
    </row>
    <row r="733" spans="20:21" x14ac:dyDescent="0.3">
      <c r="T733" t="str">
        <f>IF(ISERROR(MATCH('Analysis backend'!$M$1,E733:N733,0)),"",'Analysis backend'!$L$1)</f>
        <v/>
      </c>
      <c r="U733" t="str">
        <f>IF(T733='Analysis backend'!$L$1,IF(ISERROR(MATCH('Analysis backend'!$M$1,E733:I733,0)),"Dire","Radiant"),"")</f>
        <v/>
      </c>
    </row>
    <row r="734" spans="20:21" x14ac:dyDescent="0.3">
      <c r="T734" t="str">
        <f>IF(ISERROR(MATCH('Analysis backend'!$M$1,E734:N734,0)),"",'Analysis backend'!$L$1)</f>
        <v/>
      </c>
      <c r="U734" t="str">
        <f>IF(T734='Analysis backend'!$L$1,IF(ISERROR(MATCH('Analysis backend'!$M$1,E734:I734,0)),"Dire","Radiant"),"")</f>
        <v/>
      </c>
    </row>
    <row r="735" spans="20:21" x14ac:dyDescent="0.3">
      <c r="T735" t="str">
        <f>IF(ISERROR(MATCH('Analysis backend'!$M$1,E735:N735,0)),"",'Analysis backend'!$L$1)</f>
        <v/>
      </c>
      <c r="U735" t="str">
        <f>IF(T735='Analysis backend'!$L$1,IF(ISERROR(MATCH('Analysis backend'!$M$1,E735:I735,0)),"Dire","Radiant"),"")</f>
        <v/>
      </c>
    </row>
    <row r="736" spans="20:21" x14ac:dyDescent="0.3">
      <c r="T736" t="str">
        <f>IF(ISERROR(MATCH('Analysis backend'!$M$1,E736:N736,0)),"",'Analysis backend'!$L$1)</f>
        <v/>
      </c>
      <c r="U736" t="str">
        <f>IF(T736='Analysis backend'!$L$1,IF(ISERROR(MATCH('Analysis backend'!$M$1,E736:I736,0)),"Dire","Radiant"),"")</f>
        <v/>
      </c>
    </row>
    <row r="737" spans="20:21" x14ac:dyDescent="0.3">
      <c r="T737" t="str">
        <f>IF(ISERROR(MATCH('Analysis backend'!$M$1,E737:N737,0)),"",'Analysis backend'!$L$1)</f>
        <v/>
      </c>
      <c r="U737" t="str">
        <f>IF(T737='Analysis backend'!$L$1,IF(ISERROR(MATCH('Analysis backend'!$M$1,E737:I737,0)),"Dire","Radiant"),"")</f>
        <v/>
      </c>
    </row>
    <row r="738" spans="20:21" x14ac:dyDescent="0.3">
      <c r="T738" t="str">
        <f>IF(ISERROR(MATCH('Analysis backend'!$M$1,E738:N738,0)),"",'Analysis backend'!$L$1)</f>
        <v/>
      </c>
      <c r="U738" t="str">
        <f>IF(T738='Analysis backend'!$L$1,IF(ISERROR(MATCH('Analysis backend'!$M$1,E738:I738,0)),"Dire","Radiant"),"")</f>
        <v/>
      </c>
    </row>
    <row r="739" spans="20:21" x14ac:dyDescent="0.3">
      <c r="T739" t="str">
        <f>IF(ISERROR(MATCH('Analysis backend'!$M$1,E739:N739,0)),"",'Analysis backend'!$L$1)</f>
        <v/>
      </c>
      <c r="U739" t="str">
        <f>IF(T739='Analysis backend'!$L$1,IF(ISERROR(MATCH('Analysis backend'!$M$1,E739:I739,0)),"Dire","Radiant"),"")</f>
        <v/>
      </c>
    </row>
    <row r="740" spans="20:21" x14ac:dyDescent="0.3">
      <c r="T740" t="str">
        <f>IF(ISERROR(MATCH('Analysis backend'!$M$1,E740:N740,0)),"",'Analysis backend'!$L$1)</f>
        <v/>
      </c>
      <c r="U740" t="str">
        <f>IF(T740='Analysis backend'!$L$1,IF(ISERROR(MATCH('Analysis backend'!$M$1,E740:I740,0)),"Dire","Radiant"),"")</f>
        <v/>
      </c>
    </row>
    <row r="741" spans="20:21" x14ac:dyDescent="0.3">
      <c r="T741" t="str">
        <f>IF(ISERROR(MATCH('Analysis backend'!$M$1,E741:N741,0)),"",'Analysis backend'!$L$1)</f>
        <v/>
      </c>
      <c r="U741" t="str">
        <f>IF(T741='Analysis backend'!$L$1,IF(ISERROR(MATCH('Analysis backend'!$M$1,E741:I741,0)),"Dire","Radiant"),"")</f>
        <v/>
      </c>
    </row>
    <row r="742" spans="20:21" x14ac:dyDescent="0.3">
      <c r="T742" t="str">
        <f>IF(ISERROR(MATCH('Analysis backend'!$M$1,E742:N742,0)),"",'Analysis backend'!$L$1)</f>
        <v/>
      </c>
      <c r="U742" t="str">
        <f>IF(T742='Analysis backend'!$L$1,IF(ISERROR(MATCH('Analysis backend'!$M$1,E742:I742,0)),"Dire","Radiant"),"")</f>
        <v/>
      </c>
    </row>
    <row r="743" spans="20:21" x14ac:dyDescent="0.3">
      <c r="T743" t="str">
        <f>IF(ISERROR(MATCH('Analysis backend'!$M$1,E743:N743,0)),"",'Analysis backend'!$L$1)</f>
        <v/>
      </c>
      <c r="U743" t="str">
        <f>IF(T743='Analysis backend'!$L$1,IF(ISERROR(MATCH('Analysis backend'!$M$1,E743:I743,0)),"Dire","Radiant"),"")</f>
        <v/>
      </c>
    </row>
    <row r="744" spans="20:21" x14ac:dyDescent="0.3">
      <c r="T744" t="str">
        <f>IF(ISERROR(MATCH('Analysis backend'!$M$1,E744:N744,0)),"",'Analysis backend'!$L$1)</f>
        <v/>
      </c>
      <c r="U744" t="str">
        <f>IF(T744='Analysis backend'!$L$1,IF(ISERROR(MATCH('Analysis backend'!$M$1,E744:I744,0)),"Dire","Radiant"),"")</f>
        <v/>
      </c>
    </row>
    <row r="745" spans="20:21" x14ac:dyDescent="0.3">
      <c r="T745" t="str">
        <f>IF(ISERROR(MATCH('Analysis backend'!$M$1,E745:N745,0)),"",'Analysis backend'!$L$1)</f>
        <v/>
      </c>
      <c r="U745" t="str">
        <f>IF(T745='Analysis backend'!$L$1,IF(ISERROR(MATCH('Analysis backend'!$M$1,E745:I745,0)),"Dire","Radiant"),"")</f>
        <v/>
      </c>
    </row>
    <row r="746" spans="20:21" x14ac:dyDescent="0.3">
      <c r="T746" t="str">
        <f>IF(ISERROR(MATCH('Analysis backend'!$M$1,E746:N746,0)),"",'Analysis backend'!$L$1)</f>
        <v/>
      </c>
      <c r="U746" t="str">
        <f>IF(T746='Analysis backend'!$L$1,IF(ISERROR(MATCH('Analysis backend'!$M$1,E746:I746,0)),"Dire","Radiant"),"")</f>
        <v/>
      </c>
    </row>
    <row r="747" spans="20:21" x14ac:dyDescent="0.3">
      <c r="T747" t="str">
        <f>IF(ISERROR(MATCH('Analysis backend'!$M$1,E747:N747,0)),"",'Analysis backend'!$L$1)</f>
        <v/>
      </c>
      <c r="U747" t="str">
        <f>IF(T747='Analysis backend'!$L$1,IF(ISERROR(MATCH('Analysis backend'!$M$1,E747:I747,0)),"Dire","Radiant"),"")</f>
        <v/>
      </c>
    </row>
    <row r="748" spans="20:21" x14ac:dyDescent="0.3">
      <c r="T748" t="str">
        <f>IF(ISERROR(MATCH('Analysis backend'!$M$1,E748:N748,0)),"",'Analysis backend'!$L$1)</f>
        <v/>
      </c>
      <c r="U748" t="str">
        <f>IF(T748='Analysis backend'!$L$1,IF(ISERROR(MATCH('Analysis backend'!$M$1,E748:I748,0)),"Dire","Radiant"),"")</f>
        <v/>
      </c>
    </row>
    <row r="749" spans="20:21" x14ac:dyDescent="0.3">
      <c r="T749" t="str">
        <f>IF(ISERROR(MATCH('Analysis backend'!$M$1,E749:N749,0)),"",'Analysis backend'!$L$1)</f>
        <v/>
      </c>
      <c r="U749" t="str">
        <f>IF(T749='Analysis backend'!$L$1,IF(ISERROR(MATCH('Analysis backend'!$M$1,E749:I749,0)),"Dire","Radiant"),"")</f>
        <v/>
      </c>
    </row>
    <row r="750" spans="20:21" x14ac:dyDescent="0.3">
      <c r="T750" t="str">
        <f>IF(ISERROR(MATCH('Analysis backend'!$M$1,E750:N750,0)),"",'Analysis backend'!$L$1)</f>
        <v/>
      </c>
      <c r="U750" t="str">
        <f>IF(T750='Analysis backend'!$L$1,IF(ISERROR(MATCH('Analysis backend'!$M$1,E750:I750,0)),"Dire","Radiant"),"")</f>
        <v/>
      </c>
    </row>
    <row r="751" spans="20:21" x14ac:dyDescent="0.3">
      <c r="T751" t="str">
        <f>IF(ISERROR(MATCH('Analysis backend'!$M$1,E751:N751,0)),"",'Analysis backend'!$L$1)</f>
        <v/>
      </c>
      <c r="U751" t="str">
        <f>IF(T751='Analysis backend'!$L$1,IF(ISERROR(MATCH('Analysis backend'!$M$1,E751:I751,0)),"Dire","Radiant"),"")</f>
        <v/>
      </c>
    </row>
    <row r="752" spans="20:21" x14ac:dyDescent="0.3">
      <c r="T752" t="str">
        <f>IF(ISERROR(MATCH('Analysis backend'!$M$1,E752:N752,0)),"",'Analysis backend'!$L$1)</f>
        <v/>
      </c>
      <c r="U752" t="str">
        <f>IF(T752='Analysis backend'!$L$1,IF(ISERROR(MATCH('Analysis backend'!$M$1,E752:I752,0)),"Dire","Radiant"),"")</f>
        <v/>
      </c>
    </row>
    <row r="753" spans="20:21" x14ac:dyDescent="0.3">
      <c r="T753" t="str">
        <f>IF(ISERROR(MATCH('Analysis backend'!$M$1,E753:N753,0)),"",'Analysis backend'!$L$1)</f>
        <v/>
      </c>
      <c r="U753" t="str">
        <f>IF(T753='Analysis backend'!$L$1,IF(ISERROR(MATCH('Analysis backend'!$M$1,E753:I753,0)),"Dire","Radiant"),"")</f>
        <v/>
      </c>
    </row>
    <row r="754" spans="20:21" x14ac:dyDescent="0.3">
      <c r="T754" t="str">
        <f>IF(ISERROR(MATCH('Analysis backend'!$M$1,E754:N754,0)),"",'Analysis backend'!$L$1)</f>
        <v/>
      </c>
      <c r="U754" t="str">
        <f>IF(T754='Analysis backend'!$L$1,IF(ISERROR(MATCH('Analysis backend'!$M$1,E754:I754,0)),"Dire","Radiant"),"")</f>
        <v/>
      </c>
    </row>
    <row r="755" spans="20:21" x14ac:dyDescent="0.3">
      <c r="T755" t="str">
        <f>IF(ISERROR(MATCH('Analysis backend'!$M$1,E755:N755,0)),"",'Analysis backend'!$L$1)</f>
        <v/>
      </c>
      <c r="U755" t="str">
        <f>IF(T755='Analysis backend'!$L$1,IF(ISERROR(MATCH('Analysis backend'!$M$1,E755:I755,0)),"Dire","Radiant"),"")</f>
        <v/>
      </c>
    </row>
    <row r="756" spans="20:21" x14ac:dyDescent="0.3">
      <c r="T756" t="str">
        <f>IF(ISERROR(MATCH('Analysis backend'!$M$1,E756:N756,0)),"",'Analysis backend'!$L$1)</f>
        <v/>
      </c>
      <c r="U756" t="str">
        <f>IF(T756='Analysis backend'!$L$1,IF(ISERROR(MATCH('Analysis backend'!$M$1,E756:I756,0)),"Dire","Radiant"),"")</f>
        <v/>
      </c>
    </row>
    <row r="757" spans="20:21" x14ac:dyDescent="0.3">
      <c r="T757" t="str">
        <f>IF(ISERROR(MATCH('Analysis backend'!$M$1,E757:N757,0)),"",'Analysis backend'!$L$1)</f>
        <v/>
      </c>
      <c r="U757" t="str">
        <f>IF(T757='Analysis backend'!$L$1,IF(ISERROR(MATCH('Analysis backend'!$M$1,E757:I757,0)),"Dire","Radiant"),"")</f>
        <v/>
      </c>
    </row>
    <row r="758" spans="20:21" x14ac:dyDescent="0.3">
      <c r="T758" t="str">
        <f>IF(ISERROR(MATCH('Analysis backend'!$M$1,E758:N758,0)),"",'Analysis backend'!$L$1)</f>
        <v/>
      </c>
      <c r="U758" t="str">
        <f>IF(T758='Analysis backend'!$L$1,IF(ISERROR(MATCH('Analysis backend'!$M$1,E758:I758,0)),"Dire","Radiant"),"")</f>
        <v/>
      </c>
    </row>
    <row r="759" spans="20:21" x14ac:dyDescent="0.3">
      <c r="T759" t="str">
        <f>IF(ISERROR(MATCH('Analysis backend'!$M$1,E759:N759,0)),"",'Analysis backend'!$L$1)</f>
        <v/>
      </c>
      <c r="U759" t="str">
        <f>IF(T759='Analysis backend'!$L$1,IF(ISERROR(MATCH('Analysis backend'!$M$1,E759:I759,0)),"Dire","Radiant"),"")</f>
        <v/>
      </c>
    </row>
    <row r="760" spans="20:21" x14ac:dyDescent="0.3">
      <c r="T760" t="str">
        <f>IF(ISERROR(MATCH('Analysis backend'!$M$1,E760:N760,0)),"",'Analysis backend'!$L$1)</f>
        <v/>
      </c>
      <c r="U760" t="str">
        <f>IF(T760='Analysis backend'!$L$1,IF(ISERROR(MATCH('Analysis backend'!$M$1,E760:I760,0)),"Dire","Radiant"),"")</f>
        <v/>
      </c>
    </row>
    <row r="761" spans="20:21" x14ac:dyDescent="0.3">
      <c r="T761" t="str">
        <f>IF(ISERROR(MATCH('Analysis backend'!$M$1,E761:N761,0)),"",'Analysis backend'!$L$1)</f>
        <v/>
      </c>
      <c r="U761" t="str">
        <f>IF(T761='Analysis backend'!$L$1,IF(ISERROR(MATCH('Analysis backend'!$M$1,E761:I761,0)),"Dire","Radiant"),"")</f>
        <v/>
      </c>
    </row>
    <row r="762" spans="20:21" x14ac:dyDescent="0.3">
      <c r="T762" t="str">
        <f>IF(ISERROR(MATCH('Analysis backend'!$M$1,E762:N762,0)),"",'Analysis backend'!$L$1)</f>
        <v/>
      </c>
      <c r="U762" t="str">
        <f>IF(T762='Analysis backend'!$L$1,IF(ISERROR(MATCH('Analysis backend'!$M$1,E762:I762,0)),"Dire","Radiant"),"")</f>
        <v/>
      </c>
    </row>
    <row r="763" spans="20:21" x14ac:dyDescent="0.3">
      <c r="T763" t="str">
        <f>IF(ISERROR(MATCH('Analysis backend'!$M$1,E763:N763,0)),"",'Analysis backend'!$L$1)</f>
        <v/>
      </c>
      <c r="U763" t="str">
        <f>IF(T763='Analysis backend'!$L$1,IF(ISERROR(MATCH('Analysis backend'!$M$1,E763:I763,0)),"Dire","Radiant"),"")</f>
        <v/>
      </c>
    </row>
    <row r="764" spans="20:21" x14ac:dyDescent="0.3">
      <c r="T764" t="str">
        <f>IF(ISERROR(MATCH('Analysis backend'!$M$1,E764:N764,0)),"",'Analysis backend'!$L$1)</f>
        <v/>
      </c>
      <c r="U764" t="str">
        <f>IF(T764='Analysis backend'!$L$1,IF(ISERROR(MATCH('Analysis backend'!$M$1,E764:I764,0)),"Dire","Radiant"),"")</f>
        <v/>
      </c>
    </row>
    <row r="765" spans="20:21" x14ac:dyDescent="0.3">
      <c r="T765" t="str">
        <f>IF(ISERROR(MATCH('Analysis backend'!$M$1,E765:N765,0)),"",'Analysis backend'!$L$1)</f>
        <v/>
      </c>
      <c r="U765" t="str">
        <f>IF(T765='Analysis backend'!$L$1,IF(ISERROR(MATCH('Analysis backend'!$M$1,E765:I765,0)),"Dire","Radiant"),"")</f>
        <v/>
      </c>
    </row>
    <row r="766" spans="20:21" x14ac:dyDescent="0.3">
      <c r="T766" t="str">
        <f>IF(ISERROR(MATCH('Analysis backend'!$M$1,E766:N766,0)),"",'Analysis backend'!$L$1)</f>
        <v/>
      </c>
      <c r="U766" t="str">
        <f>IF(T766='Analysis backend'!$L$1,IF(ISERROR(MATCH('Analysis backend'!$M$1,E766:I766,0)),"Dire","Radiant"),"")</f>
        <v/>
      </c>
    </row>
    <row r="767" spans="20:21" x14ac:dyDescent="0.3">
      <c r="T767" t="str">
        <f>IF(ISERROR(MATCH('Analysis backend'!$M$1,E767:N767,0)),"",'Analysis backend'!$L$1)</f>
        <v/>
      </c>
      <c r="U767" t="str">
        <f>IF(T767='Analysis backend'!$L$1,IF(ISERROR(MATCH('Analysis backend'!$M$1,E767:I767,0)),"Dire","Radiant"),"")</f>
        <v/>
      </c>
    </row>
    <row r="768" spans="20:21" x14ac:dyDescent="0.3">
      <c r="T768" t="str">
        <f>IF(ISERROR(MATCH('Analysis backend'!$M$1,E768:N768,0)),"",'Analysis backend'!$L$1)</f>
        <v/>
      </c>
      <c r="U768" t="str">
        <f>IF(T768='Analysis backend'!$L$1,IF(ISERROR(MATCH('Analysis backend'!$M$1,E768:I768,0)),"Dire","Radiant"),"")</f>
        <v/>
      </c>
    </row>
    <row r="769" spans="20:21" x14ac:dyDescent="0.3">
      <c r="T769" t="str">
        <f>IF(ISERROR(MATCH('Analysis backend'!$M$1,E769:N769,0)),"",'Analysis backend'!$L$1)</f>
        <v/>
      </c>
      <c r="U769" t="str">
        <f>IF(T769='Analysis backend'!$L$1,IF(ISERROR(MATCH('Analysis backend'!$M$1,E769:I769,0)),"Dire","Radiant"),"")</f>
        <v/>
      </c>
    </row>
    <row r="770" spans="20:21" x14ac:dyDescent="0.3">
      <c r="T770" t="str">
        <f>IF(ISERROR(MATCH('Analysis backend'!$M$1,E770:N770,0)),"",'Analysis backend'!$L$1)</f>
        <v/>
      </c>
      <c r="U770" t="str">
        <f>IF(T770='Analysis backend'!$L$1,IF(ISERROR(MATCH('Analysis backend'!$M$1,E770:I770,0)),"Dire","Radiant"),"")</f>
        <v/>
      </c>
    </row>
    <row r="771" spans="20:21" x14ac:dyDescent="0.3">
      <c r="T771" t="str">
        <f>IF(ISERROR(MATCH('Analysis backend'!$M$1,E771:N771,0)),"",'Analysis backend'!$L$1)</f>
        <v/>
      </c>
      <c r="U771" t="str">
        <f>IF(T771='Analysis backend'!$L$1,IF(ISERROR(MATCH('Analysis backend'!$M$1,E771:I771,0)),"Dire","Radiant"),"")</f>
        <v/>
      </c>
    </row>
    <row r="772" spans="20:21" x14ac:dyDescent="0.3">
      <c r="T772" t="str">
        <f>IF(ISERROR(MATCH('Analysis backend'!$M$1,E772:N772,0)),"",'Analysis backend'!$L$1)</f>
        <v/>
      </c>
      <c r="U772" t="str">
        <f>IF(T772='Analysis backend'!$L$1,IF(ISERROR(MATCH('Analysis backend'!$M$1,E772:I772,0)),"Dire","Radiant"),"")</f>
        <v/>
      </c>
    </row>
    <row r="773" spans="20:21" x14ac:dyDescent="0.3">
      <c r="T773" t="str">
        <f>IF(ISERROR(MATCH('Analysis backend'!$M$1,E773:N773,0)),"",'Analysis backend'!$L$1)</f>
        <v/>
      </c>
      <c r="U773" t="str">
        <f>IF(T773='Analysis backend'!$L$1,IF(ISERROR(MATCH('Analysis backend'!$M$1,E773:I773,0)),"Dire","Radiant"),"")</f>
        <v/>
      </c>
    </row>
    <row r="774" spans="20:21" x14ac:dyDescent="0.3">
      <c r="T774" t="str">
        <f>IF(ISERROR(MATCH('Analysis backend'!$M$1,E774:N774,0)),"",'Analysis backend'!$L$1)</f>
        <v/>
      </c>
      <c r="U774" t="str">
        <f>IF(T774='Analysis backend'!$L$1,IF(ISERROR(MATCH('Analysis backend'!$M$1,E774:I774,0)),"Dire","Radiant"),"")</f>
        <v/>
      </c>
    </row>
    <row r="775" spans="20:21" x14ac:dyDescent="0.3">
      <c r="T775" t="str">
        <f>IF(ISERROR(MATCH('Analysis backend'!$M$1,E775:N775,0)),"",'Analysis backend'!$L$1)</f>
        <v/>
      </c>
      <c r="U775" t="str">
        <f>IF(T775='Analysis backend'!$L$1,IF(ISERROR(MATCH('Analysis backend'!$M$1,E775:I775,0)),"Dire","Radiant"),"")</f>
        <v/>
      </c>
    </row>
    <row r="776" spans="20:21" x14ac:dyDescent="0.3">
      <c r="T776" t="str">
        <f>IF(ISERROR(MATCH('Analysis backend'!$M$1,E776:N776,0)),"",'Analysis backend'!$L$1)</f>
        <v/>
      </c>
      <c r="U776" t="str">
        <f>IF(T776='Analysis backend'!$L$1,IF(ISERROR(MATCH('Analysis backend'!$M$1,E776:I776,0)),"Dire","Radiant"),"")</f>
        <v/>
      </c>
    </row>
    <row r="777" spans="20:21" x14ac:dyDescent="0.3">
      <c r="T777" t="str">
        <f>IF(ISERROR(MATCH('Analysis backend'!$M$1,E777:N777,0)),"",'Analysis backend'!$L$1)</f>
        <v/>
      </c>
      <c r="U777" t="str">
        <f>IF(T777='Analysis backend'!$L$1,IF(ISERROR(MATCH('Analysis backend'!$M$1,E777:I777,0)),"Dire","Radiant"),"")</f>
        <v/>
      </c>
    </row>
    <row r="778" spans="20:21" x14ac:dyDescent="0.3">
      <c r="T778" t="str">
        <f>IF(ISERROR(MATCH('Analysis backend'!$M$1,E778:N778,0)),"",'Analysis backend'!$L$1)</f>
        <v/>
      </c>
      <c r="U778" t="str">
        <f>IF(T778='Analysis backend'!$L$1,IF(ISERROR(MATCH('Analysis backend'!$M$1,E778:I778,0)),"Dire","Radiant"),"")</f>
        <v/>
      </c>
    </row>
    <row r="779" spans="20:21" x14ac:dyDescent="0.3">
      <c r="T779" t="str">
        <f>IF(ISERROR(MATCH('Analysis backend'!$M$1,E779:N779,0)),"",'Analysis backend'!$L$1)</f>
        <v/>
      </c>
      <c r="U779" t="str">
        <f>IF(T779='Analysis backend'!$L$1,IF(ISERROR(MATCH('Analysis backend'!$M$1,E779:I779,0)),"Dire","Radiant"),"")</f>
        <v/>
      </c>
    </row>
    <row r="780" spans="20:21" x14ac:dyDescent="0.3">
      <c r="T780" t="str">
        <f>IF(ISERROR(MATCH('Analysis backend'!$M$1,E780:N780,0)),"",'Analysis backend'!$L$1)</f>
        <v/>
      </c>
      <c r="U780" t="str">
        <f>IF(T780='Analysis backend'!$L$1,IF(ISERROR(MATCH('Analysis backend'!$M$1,E780:I780,0)),"Dire","Radiant"),"")</f>
        <v/>
      </c>
    </row>
    <row r="781" spans="20:21" x14ac:dyDescent="0.3">
      <c r="T781" t="str">
        <f>IF(ISERROR(MATCH('Analysis backend'!$M$1,E781:N781,0)),"",'Analysis backend'!$L$1)</f>
        <v/>
      </c>
      <c r="U781" t="str">
        <f>IF(T781='Analysis backend'!$L$1,IF(ISERROR(MATCH('Analysis backend'!$M$1,E781:I781,0)),"Dire","Radiant"),"")</f>
        <v/>
      </c>
    </row>
    <row r="782" spans="20:21" x14ac:dyDescent="0.3">
      <c r="T782" t="str">
        <f>IF(ISERROR(MATCH('Analysis backend'!$M$1,E782:N782,0)),"",'Analysis backend'!$L$1)</f>
        <v/>
      </c>
      <c r="U782" t="str">
        <f>IF(T782='Analysis backend'!$L$1,IF(ISERROR(MATCH('Analysis backend'!$M$1,E782:I782,0)),"Dire","Radiant"),"")</f>
        <v/>
      </c>
    </row>
    <row r="783" spans="20:21" x14ac:dyDescent="0.3">
      <c r="T783" t="str">
        <f>IF(ISERROR(MATCH('Analysis backend'!$M$1,E783:N783,0)),"",'Analysis backend'!$L$1)</f>
        <v/>
      </c>
      <c r="U783" t="str">
        <f>IF(T783='Analysis backend'!$L$1,IF(ISERROR(MATCH('Analysis backend'!$M$1,E783:I783,0)),"Dire","Radiant"),"")</f>
        <v/>
      </c>
    </row>
    <row r="784" spans="20:21" x14ac:dyDescent="0.3">
      <c r="T784" t="str">
        <f>IF(ISERROR(MATCH('Analysis backend'!$M$1,E784:N784,0)),"",'Analysis backend'!$L$1)</f>
        <v/>
      </c>
      <c r="U784" t="str">
        <f>IF(T784='Analysis backend'!$L$1,IF(ISERROR(MATCH('Analysis backend'!$M$1,E784:I784,0)),"Dire","Radiant"),"")</f>
        <v/>
      </c>
    </row>
    <row r="785" spans="20:21" x14ac:dyDescent="0.3">
      <c r="T785" t="str">
        <f>IF(ISERROR(MATCH('Analysis backend'!$M$1,E785:N785,0)),"",'Analysis backend'!$L$1)</f>
        <v/>
      </c>
      <c r="U785" t="str">
        <f>IF(T785='Analysis backend'!$L$1,IF(ISERROR(MATCH('Analysis backend'!$M$1,E785:I785,0)),"Dire","Radiant"),"")</f>
        <v/>
      </c>
    </row>
    <row r="786" spans="20:21" x14ac:dyDescent="0.3">
      <c r="T786" t="str">
        <f>IF(ISERROR(MATCH('Analysis backend'!$M$1,E786:N786,0)),"",'Analysis backend'!$L$1)</f>
        <v/>
      </c>
      <c r="U786" t="str">
        <f>IF(T786='Analysis backend'!$L$1,IF(ISERROR(MATCH('Analysis backend'!$M$1,E786:I786,0)),"Dire","Radiant"),"")</f>
        <v/>
      </c>
    </row>
    <row r="787" spans="20:21" x14ac:dyDescent="0.3">
      <c r="T787" t="str">
        <f>IF(ISERROR(MATCH('Analysis backend'!$M$1,E787:N787,0)),"",'Analysis backend'!$L$1)</f>
        <v/>
      </c>
      <c r="U787" t="str">
        <f>IF(T787='Analysis backend'!$L$1,IF(ISERROR(MATCH('Analysis backend'!$M$1,E787:I787,0)),"Dire","Radiant"),"")</f>
        <v/>
      </c>
    </row>
    <row r="788" spans="20:21" x14ac:dyDescent="0.3">
      <c r="T788" t="str">
        <f>IF(ISERROR(MATCH('Analysis backend'!$M$1,E788:N788,0)),"",'Analysis backend'!$L$1)</f>
        <v/>
      </c>
      <c r="U788" t="str">
        <f>IF(T788='Analysis backend'!$L$1,IF(ISERROR(MATCH('Analysis backend'!$M$1,E788:I788,0)),"Dire","Radiant"),"")</f>
        <v/>
      </c>
    </row>
    <row r="789" spans="20:21" x14ac:dyDescent="0.3">
      <c r="T789" t="str">
        <f>IF(ISERROR(MATCH('Analysis backend'!$M$1,E789:N789,0)),"",'Analysis backend'!$L$1)</f>
        <v/>
      </c>
      <c r="U789" t="str">
        <f>IF(T789='Analysis backend'!$L$1,IF(ISERROR(MATCH('Analysis backend'!$M$1,E789:I789,0)),"Dire","Radiant"),"")</f>
        <v/>
      </c>
    </row>
    <row r="790" spans="20:21" x14ac:dyDescent="0.3">
      <c r="T790" t="str">
        <f>IF(ISERROR(MATCH('Analysis backend'!$M$1,E790:N790,0)),"",'Analysis backend'!$L$1)</f>
        <v/>
      </c>
      <c r="U790" t="str">
        <f>IF(T790='Analysis backend'!$L$1,IF(ISERROR(MATCH('Analysis backend'!$M$1,E790:I790,0)),"Dire","Radiant"),"")</f>
        <v/>
      </c>
    </row>
    <row r="791" spans="20:21" x14ac:dyDescent="0.3">
      <c r="T791" t="str">
        <f>IF(ISERROR(MATCH('Analysis backend'!$M$1,E791:N791,0)),"",'Analysis backend'!$L$1)</f>
        <v/>
      </c>
      <c r="U791" t="str">
        <f>IF(T791='Analysis backend'!$L$1,IF(ISERROR(MATCH('Analysis backend'!$M$1,E791:I791,0)),"Dire","Radiant"),"")</f>
        <v/>
      </c>
    </row>
    <row r="792" spans="20:21" x14ac:dyDescent="0.3">
      <c r="T792" t="str">
        <f>IF(ISERROR(MATCH('Analysis backend'!$M$1,E792:N792,0)),"",'Analysis backend'!$L$1)</f>
        <v/>
      </c>
      <c r="U792" t="str">
        <f>IF(T792='Analysis backend'!$L$1,IF(ISERROR(MATCH('Analysis backend'!$M$1,E792:I792,0)),"Dire","Radiant"),"")</f>
        <v/>
      </c>
    </row>
    <row r="793" spans="20:21" x14ac:dyDescent="0.3">
      <c r="T793" t="str">
        <f>IF(ISERROR(MATCH('Analysis backend'!$M$1,E793:N793,0)),"",'Analysis backend'!$L$1)</f>
        <v/>
      </c>
      <c r="U793" t="str">
        <f>IF(T793='Analysis backend'!$L$1,IF(ISERROR(MATCH('Analysis backend'!$M$1,E793:I793,0)),"Dire","Radiant"),"")</f>
        <v/>
      </c>
    </row>
    <row r="794" spans="20:21" x14ac:dyDescent="0.3">
      <c r="T794" t="str">
        <f>IF(ISERROR(MATCH('Analysis backend'!$M$1,E794:N794,0)),"",'Analysis backend'!$L$1)</f>
        <v/>
      </c>
      <c r="U794" t="str">
        <f>IF(T794='Analysis backend'!$L$1,IF(ISERROR(MATCH('Analysis backend'!$M$1,E794:I794,0)),"Dire","Radiant"),"")</f>
        <v/>
      </c>
    </row>
    <row r="795" spans="20:21" x14ac:dyDescent="0.3">
      <c r="T795" t="str">
        <f>IF(ISERROR(MATCH('Analysis backend'!$M$1,E795:N795,0)),"",'Analysis backend'!$L$1)</f>
        <v/>
      </c>
      <c r="U795" t="str">
        <f>IF(T795='Analysis backend'!$L$1,IF(ISERROR(MATCH('Analysis backend'!$M$1,E795:I795,0)),"Dire","Radiant"),"")</f>
        <v/>
      </c>
    </row>
    <row r="796" spans="20:21" x14ac:dyDescent="0.3">
      <c r="T796" t="str">
        <f>IF(ISERROR(MATCH('Analysis backend'!$M$1,E796:N796,0)),"",'Analysis backend'!$L$1)</f>
        <v/>
      </c>
      <c r="U796" t="str">
        <f>IF(T796='Analysis backend'!$L$1,IF(ISERROR(MATCH('Analysis backend'!$M$1,E796:I796,0)),"Dire","Radiant"),"")</f>
        <v/>
      </c>
    </row>
    <row r="797" spans="20:21" x14ac:dyDescent="0.3">
      <c r="T797" t="str">
        <f>IF(ISERROR(MATCH('Analysis backend'!$M$1,E797:N797,0)),"",'Analysis backend'!$L$1)</f>
        <v/>
      </c>
      <c r="U797" t="str">
        <f>IF(T797='Analysis backend'!$L$1,IF(ISERROR(MATCH('Analysis backend'!$M$1,E797:I797,0)),"Dire","Radiant"),"")</f>
        <v/>
      </c>
    </row>
    <row r="798" spans="20:21" x14ac:dyDescent="0.3">
      <c r="T798" t="str">
        <f>IF(ISERROR(MATCH('Analysis backend'!$M$1,E798:N798,0)),"",'Analysis backend'!$L$1)</f>
        <v/>
      </c>
      <c r="U798" t="str">
        <f>IF(T798='Analysis backend'!$L$1,IF(ISERROR(MATCH('Analysis backend'!$M$1,E798:I798,0)),"Dire","Radiant"),"")</f>
        <v/>
      </c>
    </row>
    <row r="799" spans="20:21" x14ac:dyDescent="0.3">
      <c r="T799" t="str">
        <f>IF(ISERROR(MATCH('Analysis backend'!$M$1,E799:N799,0)),"",'Analysis backend'!$L$1)</f>
        <v/>
      </c>
      <c r="U799" t="str">
        <f>IF(T799='Analysis backend'!$L$1,IF(ISERROR(MATCH('Analysis backend'!$M$1,E799:I799,0)),"Dire","Radiant"),"")</f>
        <v/>
      </c>
    </row>
    <row r="800" spans="20:21" x14ac:dyDescent="0.3">
      <c r="T800" t="str">
        <f>IF(ISERROR(MATCH('Analysis backend'!$M$1,E800:N800,0)),"",'Analysis backend'!$L$1)</f>
        <v/>
      </c>
      <c r="U800" t="str">
        <f>IF(T800='Analysis backend'!$L$1,IF(ISERROR(MATCH('Analysis backend'!$M$1,E800:I800,0)),"Dire","Radiant"),"")</f>
        <v/>
      </c>
    </row>
    <row r="801" spans="20:21" x14ac:dyDescent="0.3">
      <c r="T801" t="str">
        <f>IF(ISERROR(MATCH('Analysis backend'!$M$1,E801:N801,0)),"",'Analysis backend'!$L$1)</f>
        <v/>
      </c>
      <c r="U801" t="str">
        <f>IF(T801='Analysis backend'!$L$1,IF(ISERROR(MATCH('Analysis backend'!$M$1,E801:I801,0)),"Dire","Radiant"),"")</f>
        <v/>
      </c>
    </row>
    <row r="802" spans="20:21" x14ac:dyDescent="0.3">
      <c r="T802" t="str">
        <f>IF(ISERROR(MATCH('Analysis backend'!$M$1,E802:N802,0)),"",'Analysis backend'!$L$1)</f>
        <v/>
      </c>
      <c r="U802" t="str">
        <f>IF(T802='Analysis backend'!$L$1,IF(ISERROR(MATCH('Analysis backend'!$M$1,E802:I802,0)),"Dire","Radiant"),"")</f>
        <v/>
      </c>
    </row>
    <row r="803" spans="20:21" x14ac:dyDescent="0.3">
      <c r="T803" t="str">
        <f>IF(ISERROR(MATCH('Analysis backend'!$M$1,E803:N803,0)),"",'Analysis backend'!$L$1)</f>
        <v/>
      </c>
      <c r="U803" t="str">
        <f>IF(T803='Analysis backend'!$L$1,IF(ISERROR(MATCH('Analysis backend'!$M$1,E803:I803,0)),"Dire","Radiant"),"")</f>
        <v/>
      </c>
    </row>
    <row r="804" spans="20:21" x14ac:dyDescent="0.3">
      <c r="T804" t="str">
        <f>IF(ISERROR(MATCH('Analysis backend'!$M$1,E804:N804,0)),"",'Analysis backend'!$L$1)</f>
        <v/>
      </c>
      <c r="U804" t="str">
        <f>IF(T804='Analysis backend'!$L$1,IF(ISERROR(MATCH('Analysis backend'!$M$1,E804:I804,0)),"Dire","Radiant"),"")</f>
        <v/>
      </c>
    </row>
    <row r="805" spans="20:21" x14ac:dyDescent="0.3">
      <c r="T805" t="str">
        <f>IF(ISERROR(MATCH('Analysis backend'!$M$1,E805:N805,0)),"",'Analysis backend'!$L$1)</f>
        <v/>
      </c>
      <c r="U805" t="str">
        <f>IF(T805='Analysis backend'!$L$1,IF(ISERROR(MATCH('Analysis backend'!$M$1,E805:I805,0)),"Dire","Radiant"),"")</f>
        <v/>
      </c>
    </row>
    <row r="806" spans="20:21" x14ac:dyDescent="0.3">
      <c r="T806" t="str">
        <f>IF(ISERROR(MATCH('Analysis backend'!$M$1,E806:N806,0)),"",'Analysis backend'!$L$1)</f>
        <v/>
      </c>
      <c r="U806" t="str">
        <f>IF(T806='Analysis backend'!$L$1,IF(ISERROR(MATCH('Analysis backend'!$M$1,E806:I806,0)),"Dire","Radiant"),"")</f>
        <v/>
      </c>
    </row>
    <row r="807" spans="20:21" x14ac:dyDescent="0.3">
      <c r="T807" t="str">
        <f>IF(ISERROR(MATCH('Analysis backend'!$M$1,E807:N807,0)),"",'Analysis backend'!$L$1)</f>
        <v/>
      </c>
      <c r="U807" t="str">
        <f>IF(T807='Analysis backend'!$L$1,IF(ISERROR(MATCH('Analysis backend'!$M$1,E807:I807,0)),"Dire","Radiant"),"")</f>
        <v/>
      </c>
    </row>
    <row r="808" spans="20:21" x14ac:dyDescent="0.3">
      <c r="T808" t="str">
        <f>IF(ISERROR(MATCH('Analysis backend'!$M$1,E808:N808,0)),"",'Analysis backend'!$L$1)</f>
        <v/>
      </c>
      <c r="U808" t="str">
        <f>IF(T808='Analysis backend'!$L$1,IF(ISERROR(MATCH('Analysis backend'!$M$1,E808:I808,0)),"Dire","Radiant"),"")</f>
        <v/>
      </c>
    </row>
    <row r="809" spans="20:21" x14ac:dyDescent="0.3">
      <c r="T809" t="str">
        <f>IF(ISERROR(MATCH('Analysis backend'!$M$1,E809:N809,0)),"",'Analysis backend'!$L$1)</f>
        <v/>
      </c>
      <c r="U809" t="str">
        <f>IF(T809='Analysis backend'!$L$1,IF(ISERROR(MATCH('Analysis backend'!$M$1,E809:I809,0)),"Dire","Radiant"),"")</f>
        <v/>
      </c>
    </row>
    <row r="810" spans="20:21" x14ac:dyDescent="0.3">
      <c r="T810" t="str">
        <f>IF(ISERROR(MATCH('Analysis backend'!$M$1,E810:N810,0)),"",'Analysis backend'!$L$1)</f>
        <v/>
      </c>
      <c r="U810" t="str">
        <f>IF(T810='Analysis backend'!$L$1,IF(ISERROR(MATCH('Analysis backend'!$M$1,E810:I810,0)),"Dire","Radiant"),"")</f>
        <v/>
      </c>
    </row>
    <row r="811" spans="20:21" x14ac:dyDescent="0.3">
      <c r="T811" t="str">
        <f>IF(ISERROR(MATCH('Analysis backend'!$M$1,E811:N811,0)),"",'Analysis backend'!$L$1)</f>
        <v/>
      </c>
      <c r="U811" t="str">
        <f>IF(T811='Analysis backend'!$L$1,IF(ISERROR(MATCH('Analysis backend'!$M$1,E811:I811,0)),"Dire","Radiant"),"")</f>
        <v/>
      </c>
    </row>
    <row r="812" spans="20:21" x14ac:dyDescent="0.3">
      <c r="T812" t="str">
        <f>IF(ISERROR(MATCH('Analysis backend'!$M$1,E812:N812,0)),"",'Analysis backend'!$L$1)</f>
        <v/>
      </c>
      <c r="U812" t="str">
        <f>IF(T812='Analysis backend'!$L$1,IF(ISERROR(MATCH('Analysis backend'!$M$1,E812:I812,0)),"Dire","Radiant"),"")</f>
        <v/>
      </c>
    </row>
    <row r="813" spans="20:21" x14ac:dyDescent="0.3">
      <c r="T813" t="str">
        <f>IF(ISERROR(MATCH('Analysis backend'!$M$1,E813:N813,0)),"",'Analysis backend'!$L$1)</f>
        <v/>
      </c>
      <c r="U813" t="str">
        <f>IF(T813='Analysis backend'!$L$1,IF(ISERROR(MATCH('Analysis backend'!$M$1,E813:I813,0)),"Dire","Radiant"),"")</f>
        <v/>
      </c>
    </row>
    <row r="814" spans="20:21" x14ac:dyDescent="0.3">
      <c r="T814" t="str">
        <f>IF(ISERROR(MATCH('Analysis backend'!$M$1,E814:N814,0)),"",'Analysis backend'!$L$1)</f>
        <v/>
      </c>
      <c r="U814" t="str">
        <f>IF(T814='Analysis backend'!$L$1,IF(ISERROR(MATCH('Analysis backend'!$M$1,E814:I814,0)),"Dire","Radiant"),"")</f>
        <v/>
      </c>
    </row>
    <row r="815" spans="20:21" x14ac:dyDescent="0.3">
      <c r="T815" t="str">
        <f>IF(ISERROR(MATCH('Analysis backend'!$M$1,E815:N815,0)),"",'Analysis backend'!$L$1)</f>
        <v/>
      </c>
      <c r="U815" t="str">
        <f>IF(T815='Analysis backend'!$L$1,IF(ISERROR(MATCH('Analysis backend'!$M$1,E815:I815,0)),"Dire","Radiant"),"")</f>
        <v/>
      </c>
    </row>
    <row r="816" spans="20:21" x14ac:dyDescent="0.3">
      <c r="T816" t="str">
        <f>IF(ISERROR(MATCH('Analysis backend'!$M$1,E816:N816,0)),"",'Analysis backend'!$L$1)</f>
        <v/>
      </c>
      <c r="U816" t="str">
        <f>IF(T816='Analysis backend'!$L$1,IF(ISERROR(MATCH('Analysis backend'!$M$1,E816:I816,0)),"Dire","Radiant"),"")</f>
        <v/>
      </c>
    </row>
    <row r="817" spans="20:21" x14ac:dyDescent="0.3">
      <c r="T817" t="str">
        <f>IF(ISERROR(MATCH('Analysis backend'!$M$1,E817:N817,0)),"",'Analysis backend'!$L$1)</f>
        <v/>
      </c>
      <c r="U817" t="str">
        <f>IF(T817='Analysis backend'!$L$1,IF(ISERROR(MATCH('Analysis backend'!$M$1,E817:I817,0)),"Dire","Radiant"),"")</f>
        <v/>
      </c>
    </row>
    <row r="818" spans="20:21" x14ac:dyDescent="0.3">
      <c r="T818" t="str">
        <f>IF(ISERROR(MATCH('Analysis backend'!$M$1,E818:N818,0)),"",'Analysis backend'!$L$1)</f>
        <v/>
      </c>
      <c r="U818" t="str">
        <f>IF(T818='Analysis backend'!$L$1,IF(ISERROR(MATCH('Analysis backend'!$M$1,E818:I818,0)),"Dire","Radiant"),"")</f>
        <v/>
      </c>
    </row>
    <row r="819" spans="20:21" x14ac:dyDescent="0.3">
      <c r="T819" t="str">
        <f>IF(ISERROR(MATCH('Analysis backend'!$M$1,E819:N819,0)),"",'Analysis backend'!$L$1)</f>
        <v/>
      </c>
      <c r="U819" t="str">
        <f>IF(T819='Analysis backend'!$L$1,IF(ISERROR(MATCH('Analysis backend'!$M$1,E819:I819,0)),"Dire","Radiant"),"")</f>
        <v/>
      </c>
    </row>
    <row r="820" spans="20:21" x14ac:dyDescent="0.3">
      <c r="T820" t="str">
        <f>IF(ISERROR(MATCH('Analysis backend'!$M$1,E820:N820,0)),"",'Analysis backend'!$L$1)</f>
        <v/>
      </c>
      <c r="U820" t="str">
        <f>IF(T820='Analysis backend'!$L$1,IF(ISERROR(MATCH('Analysis backend'!$M$1,E820:I820,0)),"Dire","Radiant"),"")</f>
        <v/>
      </c>
    </row>
    <row r="821" spans="20:21" x14ac:dyDescent="0.3">
      <c r="T821" t="str">
        <f>IF(ISERROR(MATCH('Analysis backend'!$M$1,E821:N821,0)),"",'Analysis backend'!$L$1)</f>
        <v/>
      </c>
      <c r="U821" t="str">
        <f>IF(T821='Analysis backend'!$L$1,IF(ISERROR(MATCH('Analysis backend'!$M$1,E821:I821,0)),"Dire","Radiant"),"")</f>
        <v/>
      </c>
    </row>
    <row r="822" spans="20:21" x14ac:dyDescent="0.3">
      <c r="T822" t="str">
        <f>IF(ISERROR(MATCH('Analysis backend'!$M$1,E822:N822,0)),"",'Analysis backend'!$L$1)</f>
        <v/>
      </c>
      <c r="U822" t="str">
        <f>IF(T822='Analysis backend'!$L$1,IF(ISERROR(MATCH('Analysis backend'!$M$1,E822:I822,0)),"Dire","Radiant"),"")</f>
        <v/>
      </c>
    </row>
    <row r="823" spans="20:21" x14ac:dyDescent="0.3">
      <c r="T823" t="str">
        <f>IF(ISERROR(MATCH('Analysis backend'!$M$1,E823:N823,0)),"",'Analysis backend'!$L$1)</f>
        <v/>
      </c>
      <c r="U823" t="str">
        <f>IF(T823='Analysis backend'!$L$1,IF(ISERROR(MATCH('Analysis backend'!$M$1,E823:I823,0)),"Dire","Radiant"),"")</f>
        <v/>
      </c>
    </row>
    <row r="824" spans="20:21" x14ac:dyDescent="0.3">
      <c r="T824" t="str">
        <f>IF(ISERROR(MATCH('Analysis backend'!$M$1,E824:N824,0)),"",'Analysis backend'!$L$1)</f>
        <v/>
      </c>
      <c r="U824" t="str">
        <f>IF(T824='Analysis backend'!$L$1,IF(ISERROR(MATCH('Analysis backend'!$M$1,E824:I824,0)),"Dire","Radiant"),"")</f>
        <v/>
      </c>
    </row>
    <row r="825" spans="20:21" x14ac:dyDescent="0.3">
      <c r="T825" t="str">
        <f>IF(ISERROR(MATCH('Analysis backend'!$M$1,E825:N825,0)),"",'Analysis backend'!$L$1)</f>
        <v/>
      </c>
      <c r="U825" t="str">
        <f>IF(T825='Analysis backend'!$L$1,IF(ISERROR(MATCH('Analysis backend'!$M$1,E825:I825,0)),"Dire","Radiant"),"")</f>
        <v/>
      </c>
    </row>
    <row r="826" spans="20:21" x14ac:dyDescent="0.3">
      <c r="T826" t="str">
        <f>IF(ISERROR(MATCH('Analysis backend'!$M$1,E826:N826,0)),"",'Analysis backend'!$L$1)</f>
        <v/>
      </c>
      <c r="U826" t="str">
        <f>IF(T826='Analysis backend'!$L$1,IF(ISERROR(MATCH('Analysis backend'!$M$1,E826:I826,0)),"Dire","Radiant"),"")</f>
        <v/>
      </c>
    </row>
    <row r="827" spans="20:21" x14ac:dyDescent="0.3">
      <c r="T827" t="str">
        <f>IF(ISERROR(MATCH('Analysis backend'!$M$1,E827:N827,0)),"",'Analysis backend'!$L$1)</f>
        <v/>
      </c>
      <c r="U827" t="str">
        <f>IF(T827='Analysis backend'!$L$1,IF(ISERROR(MATCH('Analysis backend'!$M$1,E827:I827,0)),"Dire","Radiant"),"")</f>
        <v/>
      </c>
    </row>
    <row r="828" spans="20:21" x14ac:dyDescent="0.3">
      <c r="T828" t="str">
        <f>IF(ISERROR(MATCH('Analysis backend'!$M$1,E828:N828,0)),"",'Analysis backend'!$L$1)</f>
        <v/>
      </c>
      <c r="U828" t="str">
        <f>IF(T828='Analysis backend'!$L$1,IF(ISERROR(MATCH('Analysis backend'!$M$1,E828:I828,0)),"Dire","Radiant"),"")</f>
        <v/>
      </c>
    </row>
    <row r="829" spans="20:21" x14ac:dyDescent="0.3">
      <c r="T829" t="str">
        <f>IF(ISERROR(MATCH('Analysis backend'!$M$1,E829:N829,0)),"",'Analysis backend'!$L$1)</f>
        <v/>
      </c>
      <c r="U829" t="str">
        <f>IF(T829='Analysis backend'!$L$1,IF(ISERROR(MATCH('Analysis backend'!$M$1,E829:I829,0)),"Dire","Radiant"),"")</f>
        <v/>
      </c>
    </row>
    <row r="830" spans="20:21" x14ac:dyDescent="0.3">
      <c r="T830" t="str">
        <f>IF(ISERROR(MATCH('Analysis backend'!$M$1,E830:N830,0)),"",'Analysis backend'!$L$1)</f>
        <v/>
      </c>
      <c r="U830" t="str">
        <f>IF(T830='Analysis backend'!$L$1,IF(ISERROR(MATCH('Analysis backend'!$M$1,E830:I830,0)),"Dire","Radiant"),"")</f>
        <v/>
      </c>
    </row>
    <row r="831" spans="20:21" x14ac:dyDescent="0.3">
      <c r="T831" t="str">
        <f>IF(ISERROR(MATCH('Analysis backend'!$M$1,E831:N831,0)),"",'Analysis backend'!$L$1)</f>
        <v/>
      </c>
      <c r="U831" t="str">
        <f>IF(T831='Analysis backend'!$L$1,IF(ISERROR(MATCH('Analysis backend'!$M$1,E831:I831,0)),"Dire","Radiant"),"")</f>
        <v/>
      </c>
    </row>
    <row r="832" spans="20:21" x14ac:dyDescent="0.3">
      <c r="T832" t="str">
        <f>IF(ISERROR(MATCH('Analysis backend'!$M$1,E832:N832,0)),"",'Analysis backend'!$L$1)</f>
        <v/>
      </c>
      <c r="U832" t="str">
        <f>IF(T832='Analysis backend'!$L$1,IF(ISERROR(MATCH('Analysis backend'!$M$1,E832:I832,0)),"Dire","Radiant"),"")</f>
        <v/>
      </c>
    </row>
    <row r="833" spans="20:21" x14ac:dyDescent="0.3">
      <c r="T833" t="str">
        <f>IF(ISERROR(MATCH('Analysis backend'!$M$1,E833:N833,0)),"",'Analysis backend'!$L$1)</f>
        <v/>
      </c>
      <c r="U833" t="str">
        <f>IF(T833='Analysis backend'!$L$1,IF(ISERROR(MATCH('Analysis backend'!$M$1,E833:I833,0)),"Dire","Radiant"),"")</f>
        <v/>
      </c>
    </row>
    <row r="834" spans="20:21" x14ac:dyDescent="0.3">
      <c r="T834" t="str">
        <f>IF(ISERROR(MATCH('Analysis backend'!$M$1,E834:N834,0)),"",'Analysis backend'!$L$1)</f>
        <v/>
      </c>
      <c r="U834" t="str">
        <f>IF(T834='Analysis backend'!$L$1,IF(ISERROR(MATCH('Analysis backend'!$M$1,E834:I834,0)),"Dire","Radiant"),"")</f>
        <v/>
      </c>
    </row>
    <row r="835" spans="20:21" x14ac:dyDescent="0.3">
      <c r="T835" t="str">
        <f>IF(ISERROR(MATCH('Analysis backend'!$M$1,E835:N835,0)),"",'Analysis backend'!$L$1)</f>
        <v/>
      </c>
      <c r="U835" t="str">
        <f>IF(T835='Analysis backend'!$L$1,IF(ISERROR(MATCH('Analysis backend'!$M$1,E835:I835,0)),"Dire","Radiant"),"")</f>
        <v/>
      </c>
    </row>
    <row r="836" spans="20:21" x14ac:dyDescent="0.3">
      <c r="T836" t="str">
        <f>IF(ISERROR(MATCH('Analysis backend'!$M$1,E836:N836,0)),"",'Analysis backend'!$L$1)</f>
        <v/>
      </c>
      <c r="U836" t="str">
        <f>IF(T836='Analysis backend'!$L$1,IF(ISERROR(MATCH('Analysis backend'!$M$1,E836:I836,0)),"Dire","Radiant"),"")</f>
        <v/>
      </c>
    </row>
    <row r="837" spans="20:21" x14ac:dyDescent="0.3">
      <c r="T837" t="str">
        <f>IF(ISERROR(MATCH('Analysis backend'!$M$1,E837:N837,0)),"",'Analysis backend'!$L$1)</f>
        <v/>
      </c>
      <c r="U837" t="str">
        <f>IF(T837='Analysis backend'!$L$1,IF(ISERROR(MATCH('Analysis backend'!$M$1,E837:I837,0)),"Dire","Radiant"),"")</f>
        <v/>
      </c>
    </row>
    <row r="838" spans="20:21" x14ac:dyDescent="0.3">
      <c r="T838" t="str">
        <f>IF(ISERROR(MATCH('Analysis backend'!$M$1,E838:N838,0)),"",'Analysis backend'!$L$1)</f>
        <v/>
      </c>
      <c r="U838" t="str">
        <f>IF(T838='Analysis backend'!$L$1,IF(ISERROR(MATCH('Analysis backend'!$M$1,E838:I838,0)),"Dire","Radiant"),"")</f>
        <v/>
      </c>
    </row>
    <row r="839" spans="20:21" x14ac:dyDescent="0.3">
      <c r="T839" t="str">
        <f>IF(ISERROR(MATCH('Analysis backend'!$M$1,E839:N839,0)),"",'Analysis backend'!$L$1)</f>
        <v/>
      </c>
      <c r="U839" t="str">
        <f>IF(T839='Analysis backend'!$L$1,IF(ISERROR(MATCH('Analysis backend'!$M$1,E839:I839,0)),"Dire","Radiant"),"")</f>
        <v/>
      </c>
    </row>
    <row r="840" spans="20:21" x14ac:dyDescent="0.3">
      <c r="T840" t="str">
        <f>IF(ISERROR(MATCH('Analysis backend'!$M$1,E840:N840,0)),"",'Analysis backend'!$L$1)</f>
        <v/>
      </c>
      <c r="U840" t="str">
        <f>IF(T840='Analysis backend'!$L$1,IF(ISERROR(MATCH('Analysis backend'!$M$1,E840:I840,0)),"Dire","Radiant"),"")</f>
        <v/>
      </c>
    </row>
    <row r="841" spans="20:21" x14ac:dyDescent="0.3">
      <c r="T841" t="str">
        <f>IF(ISERROR(MATCH('Analysis backend'!$M$1,E841:N841,0)),"",'Analysis backend'!$L$1)</f>
        <v/>
      </c>
      <c r="U841" t="str">
        <f>IF(T841='Analysis backend'!$L$1,IF(ISERROR(MATCH('Analysis backend'!$M$1,E841:I841,0)),"Dire","Radiant"),"")</f>
        <v/>
      </c>
    </row>
    <row r="842" spans="20:21" x14ac:dyDescent="0.3">
      <c r="T842" t="str">
        <f>IF(ISERROR(MATCH('Analysis backend'!$M$1,E842:N842,0)),"",'Analysis backend'!$L$1)</f>
        <v/>
      </c>
      <c r="U842" t="str">
        <f>IF(T842='Analysis backend'!$L$1,IF(ISERROR(MATCH('Analysis backend'!$M$1,E842:I842,0)),"Dire","Radiant"),"")</f>
        <v/>
      </c>
    </row>
    <row r="843" spans="20:21" x14ac:dyDescent="0.3">
      <c r="T843" t="str">
        <f>IF(ISERROR(MATCH('Analysis backend'!$M$1,E843:N843,0)),"",'Analysis backend'!$L$1)</f>
        <v/>
      </c>
      <c r="U843" t="str">
        <f>IF(T843='Analysis backend'!$L$1,IF(ISERROR(MATCH('Analysis backend'!$M$1,E843:I843,0)),"Dire","Radiant"),"")</f>
        <v/>
      </c>
    </row>
    <row r="844" spans="20:21" x14ac:dyDescent="0.3">
      <c r="T844" t="str">
        <f>IF(ISERROR(MATCH('Analysis backend'!$M$1,E844:N844,0)),"",'Analysis backend'!$L$1)</f>
        <v/>
      </c>
      <c r="U844" t="str">
        <f>IF(T844='Analysis backend'!$L$1,IF(ISERROR(MATCH('Analysis backend'!$M$1,E844:I844,0)),"Dire","Radiant"),"")</f>
        <v/>
      </c>
    </row>
    <row r="845" spans="20:21" x14ac:dyDescent="0.3">
      <c r="T845" t="str">
        <f>IF(ISERROR(MATCH('Analysis backend'!$M$1,E845:N845,0)),"",'Analysis backend'!$L$1)</f>
        <v/>
      </c>
      <c r="U845" t="str">
        <f>IF(T845='Analysis backend'!$L$1,IF(ISERROR(MATCH('Analysis backend'!$M$1,E845:I845,0)),"Dire","Radiant"),"")</f>
        <v/>
      </c>
    </row>
    <row r="846" spans="20:21" x14ac:dyDescent="0.3">
      <c r="T846" t="str">
        <f>IF(ISERROR(MATCH('Analysis backend'!$M$1,E846:N846,0)),"",'Analysis backend'!$L$1)</f>
        <v/>
      </c>
      <c r="U846" t="str">
        <f>IF(T846='Analysis backend'!$L$1,IF(ISERROR(MATCH('Analysis backend'!$M$1,E846:I846,0)),"Dire","Radiant"),"")</f>
        <v/>
      </c>
    </row>
    <row r="847" spans="20:21" x14ac:dyDescent="0.3">
      <c r="T847" t="str">
        <f>IF(ISERROR(MATCH('Analysis backend'!$M$1,E847:N847,0)),"",'Analysis backend'!$L$1)</f>
        <v/>
      </c>
      <c r="U847" t="str">
        <f>IF(T847='Analysis backend'!$L$1,IF(ISERROR(MATCH('Analysis backend'!$M$1,E847:I847,0)),"Dire","Radiant"),"")</f>
        <v/>
      </c>
    </row>
    <row r="848" spans="20:21" x14ac:dyDescent="0.3">
      <c r="T848" t="str">
        <f>IF(ISERROR(MATCH('Analysis backend'!$M$1,E848:N848,0)),"",'Analysis backend'!$L$1)</f>
        <v/>
      </c>
      <c r="U848" t="str">
        <f>IF(T848='Analysis backend'!$L$1,IF(ISERROR(MATCH('Analysis backend'!$M$1,E848:I848,0)),"Dire","Radiant"),"")</f>
        <v/>
      </c>
    </row>
    <row r="849" spans="20:21" x14ac:dyDescent="0.3">
      <c r="T849" t="str">
        <f>IF(ISERROR(MATCH('Analysis backend'!$M$1,E849:N849,0)),"",'Analysis backend'!$L$1)</f>
        <v/>
      </c>
      <c r="U849" t="str">
        <f>IF(T849='Analysis backend'!$L$1,IF(ISERROR(MATCH('Analysis backend'!$M$1,E849:I849,0)),"Dire","Radiant"),"")</f>
        <v/>
      </c>
    </row>
    <row r="850" spans="20:21" x14ac:dyDescent="0.3">
      <c r="T850" t="str">
        <f>IF(ISERROR(MATCH('Analysis backend'!$M$1,E850:N850,0)),"",'Analysis backend'!$L$1)</f>
        <v/>
      </c>
      <c r="U850" t="str">
        <f>IF(T850='Analysis backend'!$L$1,IF(ISERROR(MATCH('Analysis backend'!$M$1,E850:I850,0)),"Dire","Radiant"),"")</f>
        <v/>
      </c>
    </row>
    <row r="851" spans="20:21" x14ac:dyDescent="0.3">
      <c r="T851" t="str">
        <f>IF(ISERROR(MATCH('Analysis backend'!$M$1,E851:N851,0)),"",'Analysis backend'!$L$1)</f>
        <v/>
      </c>
      <c r="U851" t="str">
        <f>IF(T851='Analysis backend'!$L$1,IF(ISERROR(MATCH('Analysis backend'!$M$1,E851:I851,0)),"Dire","Radiant"),"")</f>
        <v/>
      </c>
    </row>
    <row r="852" spans="20:21" x14ac:dyDescent="0.3">
      <c r="T852" t="str">
        <f>IF(ISERROR(MATCH('Analysis backend'!$M$1,E852:N852,0)),"",'Analysis backend'!$L$1)</f>
        <v/>
      </c>
      <c r="U852" t="str">
        <f>IF(T852='Analysis backend'!$L$1,IF(ISERROR(MATCH('Analysis backend'!$M$1,E852:I852,0)),"Dire","Radiant"),"")</f>
        <v/>
      </c>
    </row>
    <row r="853" spans="20:21" x14ac:dyDescent="0.3">
      <c r="T853" t="str">
        <f>IF(ISERROR(MATCH('Analysis backend'!$M$1,E853:N853,0)),"",'Analysis backend'!$L$1)</f>
        <v/>
      </c>
      <c r="U853" t="str">
        <f>IF(T853='Analysis backend'!$L$1,IF(ISERROR(MATCH('Analysis backend'!$M$1,E853:I853,0)),"Dire","Radiant"),"")</f>
        <v/>
      </c>
    </row>
    <row r="854" spans="20:21" x14ac:dyDescent="0.3">
      <c r="T854" t="str">
        <f>IF(ISERROR(MATCH('Analysis backend'!$M$1,E854:N854,0)),"",'Analysis backend'!$L$1)</f>
        <v/>
      </c>
      <c r="U854" t="str">
        <f>IF(T854='Analysis backend'!$L$1,IF(ISERROR(MATCH('Analysis backend'!$M$1,E854:I854,0)),"Dire","Radiant"),"")</f>
        <v/>
      </c>
    </row>
    <row r="855" spans="20:21" x14ac:dyDescent="0.3">
      <c r="T855" t="str">
        <f>IF(ISERROR(MATCH('Analysis backend'!$M$1,E855:N855,0)),"",'Analysis backend'!$L$1)</f>
        <v/>
      </c>
      <c r="U855" t="str">
        <f>IF(T855='Analysis backend'!$L$1,IF(ISERROR(MATCH('Analysis backend'!$M$1,E855:I855,0)),"Dire","Radiant"),"")</f>
        <v/>
      </c>
    </row>
    <row r="856" spans="20:21" x14ac:dyDescent="0.3">
      <c r="T856" t="str">
        <f>IF(ISERROR(MATCH('Analysis backend'!$M$1,E856:N856,0)),"",'Analysis backend'!$L$1)</f>
        <v/>
      </c>
      <c r="U856" t="str">
        <f>IF(T856='Analysis backend'!$L$1,IF(ISERROR(MATCH('Analysis backend'!$M$1,E856:I856,0)),"Dire","Radiant"),"")</f>
        <v/>
      </c>
    </row>
    <row r="857" spans="20:21" x14ac:dyDescent="0.3">
      <c r="T857" t="str">
        <f>IF(ISERROR(MATCH('Analysis backend'!$M$1,E857:N857,0)),"",'Analysis backend'!$L$1)</f>
        <v/>
      </c>
      <c r="U857" t="str">
        <f>IF(T857='Analysis backend'!$L$1,IF(ISERROR(MATCH('Analysis backend'!$M$1,E857:I857,0)),"Dire","Radiant"),"")</f>
        <v/>
      </c>
    </row>
    <row r="858" spans="20:21" x14ac:dyDescent="0.3">
      <c r="T858" t="str">
        <f>IF(ISERROR(MATCH('Analysis backend'!$M$1,E858:N858,0)),"",'Analysis backend'!$L$1)</f>
        <v/>
      </c>
      <c r="U858" t="str">
        <f>IF(T858='Analysis backend'!$L$1,IF(ISERROR(MATCH('Analysis backend'!$M$1,E858:I858,0)),"Dire","Radiant"),"")</f>
        <v/>
      </c>
    </row>
    <row r="859" spans="20:21" x14ac:dyDescent="0.3">
      <c r="T859" t="str">
        <f>IF(ISERROR(MATCH('Analysis backend'!$M$1,E859:N859,0)),"",'Analysis backend'!$L$1)</f>
        <v/>
      </c>
      <c r="U859" t="str">
        <f>IF(T859='Analysis backend'!$L$1,IF(ISERROR(MATCH('Analysis backend'!$M$1,E859:I859,0)),"Dire","Radiant"),"")</f>
        <v/>
      </c>
    </row>
    <row r="860" spans="20:21" x14ac:dyDescent="0.3">
      <c r="T860" t="str">
        <f>IF(ISERROR(MATCH('Analysis backend'!$M$1,E860:N860,0)),"",'Analysis backend'!$L$1)</f>
        <v/>
      </c>
      <c r="U860" t="str">
        <f>IF(T860='Analysis backend'!$L$1,IF(ISERROR(MATCH('Analysis backend'!$M$1,E860:I860,0)),"Dire","Radiant"),"")</f>
        <v/>
      </c>
    </row>
    <row r="861" spans="20:21" x14ac:dyDescent="0.3">
      <c r="T861" t="str">
        <f>IF(ISERROR(MATCH('Analysis backend'!$M$1,E861:N861,0)),"",'Analysis backend'!$L$1)</f>
        <v/>
      </c>
      <c r="U861" t="str">
        <f>IF(T861='Analysis backend'!$L$1,IF(ISERROR(MATCH('Analysis backend'!$M$1,E861:I861,0)),"Dire","Radiant"),"")</f>
        <v/>
      </c>
    </row>
    <row r="862" spans="20:21" x14ac:dyDescent="0.3">
      <c r="T862" t="str">
        <f>IF(ISERROR(MATCH('Analysis backend'!$M$1,E862:N862,0)),"",'Analysis backend'!$L$1)</f>
        <v/>
      </c>
      <c r="U862" t="str">
        <f>IF(T862='Analysis backend'!$L$1,IF(ISERROR(MATCH('Analysis backend'!$M$1,E862:I862,0)),"Dire","Radiant"),"")</f>
        <v/>
      </c>
    </row>
    <row r="863" spans="20:21" x14ac:dyDescent="0.3">
      <c r="T863" t="str">
        <f>IF(ISERROR(MATCH('Analysis backend'!$M$1,E863:N863,0)),"",'Analysis backend'!$L$1)</f>
        <v/>
      </c>
      <c r="U863" t="str">
        <f>IF(T863='Analysis backend'!$L$1,IF(ISERROR(MATCH('Analysis backend'!$M$1,E863:I863,0)),"Dire","Radiant"),"")</f>
        <v/>
      </c>
    </row>
    <row r="864" spans="20:21" x14ac:dyDescent="0.3">
      <c r="T864" t="str">
        <f>IF(ISERROR(MATCH('Analysis backend'!$M$1,E864:N864,0)),"",'Analysis backend'!$L$1)</f>
        <v/>
      </c>
      <c r="U864" t="str">
        <f>IF(T864='Analysis backend'!$L$1,IF(ISERROR(MATCH('Analysis backend'!$M$1,E864:I864,0)),"Dire","Radiant"),"")</f>
        <v/>
      </c>
    </row>
    <row r="865" spans="20:21" x14ac:dyDescent="0.3">
      <c r="T865" t="str">
        <f>IF(ISERROR(MATCH('Analysis backend'!$M$1,E865:N865,0)),"",'Analysis backend'!$L$1)</f>
        <v/>
      </c>
      <c r="U865" t="str">
        <f>IF(T865='Analysis backend'!$L$1,IF(ISERROR(MATCH('Analysis backend'!$M$1,E865:I865,0)),"Dire","Radiant"),"")</f>
        <v/>
      </c>
    </row>
    <row r="866" spans="20:21" x14ac:dyDescent="0.3">
      <c r="T866" t="str">
        <f>IF(ISERROR(MATCH('Analysis backend'!$M$1,E866:N866,0)),"",'Analysis backend'!$L$1)</f>
        <v/>
      </c>
      <c r="U866" t="str">
        <f>IF(T866='Analysis backend'!$L$1,IF(ISERROR(MATCH('Analysis backend'!$M$1,E866:I866,0)),"Dire","Radiant"),"")</f>
        <v/>
      </c>
    </row>
    <row r="867" spans="20:21" x14ac:dyDescent="0.3">
      <c r="T867" t="str">
        <f>IF(ISERROR(MATCH('Analysis backend'!$M$1,E867:N867,0)),"",'Analysis backend'!$L$1)</f>
        <v/>
      </c>
      <c r="U867" t="str">
        <f>IF(T867='Analysis backend'!$L$1,IF(ISERROR(MATCH('Analysis backend'!$M$1,E867:I867,0)),"Dire","Radiant"),"")</f>
        <v/>
      </c>
    </row>
    <row r="868" spans="20:21" x14ac:dyDescent="0.3">
      <c r="T868" t="str">
        <f>IF(ISERROR(MATCH('Analysis backend'!$M$1,E868:N868,0)),"",'Analysis backend'!$L$1)</f>
        <v/>
      </c>
      <c r="U868" t="str">
        <f>IF(T868='Analysis backend'!$L$1,IF(ISERROR(MATCH('Analysis backend'!$M$1,E868:I868,0)),"Dire","Radiant"),"")</f>
        <v/>
      </c>
    </row>
    <row r="869" spans="20:21" x14ac:dyDescent="0.3">
      <c r="T869" t="str">
        <f>IF(ISERROR(MATCH('Analysis backend'!$M$1,E869:N869,0)),"",'Analysis backend'!$L$1)</f>
        <v/>
      </c>
      <c r="U869" t="str">
        <f>IF(T869='Analysis backend'!$L$1,IF(ISERROR(MATCH('Analysis backend'!$M$1,E869:I869,0)),"Dire","Radiant"),"")</f>
        <v/>
      </c>
    </row>
    <row r="870" spans="20:21" x14ac:dyDescent="0.3">
      <c r="T870" t="str">
        <f>IF(ISERROR(MATCH('Analysis backend'!$M$1,E870:N870,0)),"",'Analysis backend'!$L$1)</f>
        <v/>
      </c>
      <c r="U870" t="str">
        <f>IF(T870='Analysis backend'!$L$1,IF(ISERROR(MATCH('Analysis backend'!$M$1,E870:I870,0)),"Dire","Radiant"),"")</f>
        <v/>
      </c>
    </row>
    <row r="871" spans="20:21" x14ac:dyDescent="0.3">
      <c r="T871" t="str">
        <f>IF(ISERROR(MATCH('Analysis backend'!$M$1,E871:N871,0)),"",'Analysis backend'!$L$1)</f>
        <v/>
      </c>
      <c r="U871" t="str">
        <f>IF(T871='Analysis backend'!$L$1,IF(ISERROR(MATCH('Analysis backend'!$M$1,E871:I871,0)),"Dire","Radiant"),"")</f>
        <v/>
      </c>
    </row>
    <row r="872" spans="20:21" x14ac:dyDescent="0.3">
      <c r="T872" t="str">
        <f>IF(ISERROR(MATCH('Analysis backend'!$M$1,E872:N872,0)),"",'Analysis backend'!$L$1)</f>
        <v/>
      </c>
      <c r="U872" t="str">
        <f>IF(T872='Analysis backend'!$L$1,IF(ISERROR(MATCH('Analysis backend'!$M$1,E872:I872,0)),"Dire","Radiant"),"")</f>
        <v/>
      </c>
    </row>
    <row r="873" spans="20:21" x14ac:dyDescent="0.3">
      <c r="T873" t="str">
        <f>IF(ISERROR(MATCH('Analysis backend'!$M$1,E873:N873,0)),"",'Analysis backend'!$L$1)</f>
        <v/>
      </c>
      <c r="U873" t="str">
        <f>IF(T873='Analysis backend'!$L$1,IF(ISERROR(MATCH('Analysis backend'!$M$1,E873:I873,0)),"Dire","Radiant"),"")</f>
        <v/>
      </c>
    </row>
    <row r="874" spans="20:21" x14ac:dyDescent="0.3">
      <c r="T874" t="str">
        <f>IF(ISERROR(MATCH('Analysis backend'!$M$1,E874:N874,0)),"",'Analysis backend'!$L$1)</f>
        <v/>
      </c>
      <c r="U874" t="str">
        <f>IF(T874='Analysis backend'!$L$1,IF(ISERROR(MATCH('Analysis backend'!$M$1,E874:I874,0)),"Dire","Radiant"),"")</f>
        <v/>
      </c>
    </row>
    <row r="875" spans="20:21" x14ac:dyDescent="0.3">
      <c r="T875" t="str">
        <f>IF(ISERROR(MATCH('Analysis backend'!$M$1,E875:N875,0)),"",'Analysis backend'!$L$1)</f>
        <v/>
      </c>
      <c r="U875" t="str">
        <f>IF(T875='Analysis backend'!$L$1,IF(ISERROR(MATCH('Analysis backend'!$M$1,E875:I875,0)),"Dire","Radiant"),"")</f>
        <v/>
      </c>
    </row>
    <row r="876" spans="20:21" x14ac:dyDescent="0.3">
      <c r="T876" t="str">
        <f>IF(ISERROR(MATCH('Analysis backend'!$M$1,E876:N876,0)),"",'Analysis backend'!$L$1)</f>
        <v/>
      </c>
      <c r="U876" t="str">
        <f>IF(T876='Analysis backend'!$L$1,IF(ISERROR(MATCH('Analysis backend'!$M$1,E876:I876,0)),"Dire","Radiant"),"")</f>
        <v/>
      </c>
    </row>
    <row r="877" spans="20:21" x14ac:dyDescent="0.3">
      <c r="T877" t="str">
        <f>IF(ISERROR(MATCH('Analysis backend'!$M$1,E877:N877,0)),"",'Analysis backend'!$L$1)</f>
        <v/>
      </c>
      <c r="U877" t="str">
        <f>IF(T877='Analysis backend'!$L$1,IF(ISERROR(MATCH('Analysis backend'!$M$1,E877:I877,0)),"Dire","Radiant"),"")</f>
        <v/>
      </c>
    </row>
    <row r="878" spans="20:21" x14ac:dyDescent="0.3">
      <c r="T878" t="str">
        <f>IF(ISERROR(MATCH('Analysis backend'!$M$1,E878:N878,0)),"",'Analysis backend'!$L$1)</f>
        <v/>
      </c>
      <c r="U878" t="str">
        <f>IF(T878='Analysis backend'!$L$1,IF(ISERROR(MATCH('Analysis backend'!$M$1,E878:I878,0)),"Dire","Radiant"),"")</f>
        <v/>
      </c>
    </row>
    <row r="879" spans="20:21" x14ac:dyDescent="0.3">
      <c r="T879" t="str">
        <f>IF(ISERROR(MATCH('Analysis backend'!$M$1,E879:N879,0)),"",'Analysis backend'!$L$1)</f>
        <v/>
      </c>
      <c r="U879" t="str">
        <f>IF(T879='Analysis backend'!$L$1,IF(ISERROR(MATCH('Analysis backend'!$M$1,E879:I879,0)),"Dire","Radiant"),"")</f>
        <v/>
      </c>
    </row>
    <row r="880" spans="20:21" x14ac:dyDescent="0.3">
      <c r="T880" t="str">
        <f>IF(ISERROR(MATCH('Analysis backend'!$M$1,E880:N880,0)),"",'Analysis backend'!$L$1)</f>
        <v/>
      </c>
      <c r="U880" t="str">
        <f>IF(T880='Analysis backend'!$L$1,IF(ISERROR(MATCH('Analysis backend'!$M$1,E880:I880,0)),"Dire","Radiant"),"")</f>
        <v/>
      </c>
    </row>
    <row r="881" spans="20:21" x14ac:dyDescent="0.3">
      <c r="T881" t="str">
        <f>IF(ISERROR(MATCH('Analysis backend'!$M$1,E881:N881,0)),"",'Analysis backend'!$L$1)</f>
        <v/>
      </c>
      <c r="U881" t="str">
        <f>IF(T881='Analysis backend'!$L$1,IF(ISERROR(MATCH('Analysis backend'!$M$1,E881:I881,0)),"Dire","Radiant"),"")</f>
        <v/>
      </c>
    </row>
    <row r="882" spans="20:21" x14ac:dyDescent="0.3">
      <c r="T882" t="str">
        <f>IF(ISERROR(MATCH('Analysis backend'!$M$1,E882:N882,0)),"",'Analysis backend'!$L$1)</f>
        <v/>
      </c>
      <c r="U882" t="str">
        <f>IF(T882='Analysis backend'!$L$1,IF(ISERROR(MATCH('Analysis backend'!$M$1,E882:I882,0)),"Dire","Radiant"),"")</f>
        <v/>
      </c>
    </row>
    <row r="883" spans="20:21" x14ac:dyDescent="0.3">
      <c r="T883" t="str">
        <f>IF(ISERROR(MATCH('Analysis backend'!$M$1,E883:N883,0)),"",'Analysis backend'!$L$1)</f>
        <v/>
      </c>
      <c r="U883" t="str">
        <f>IF(T883='Analysis backend'!$L$1,IF(ISERROR(MATCH('Analysis backend'!$M$1,E883:I883,0)),"Dire","Radiant"),"")</f>
        <v/>
      </c>
    </row>
    <row r="884" spans="20:21" x14ac:dyDescent="0.3">
      <c r="T884" t="str">
        <f>IF(ISERROR(MATCH('Analysis backend'!$M$1,E884:N884,0)),"",'Analysis backend'!$L$1)</f>
        <v/>
      </c>
      <c r="U884" t="str">
        <f>IF(T884='Analysis backend'!$L$1,IF(ISERROR(MATCH('Analysis backend'!$M$1,E884:I884,0)),"Dire","Radiant"),"")</f>
        <v/>
      </c>
    </row>
    <row r="885" spans="20:21" x14ac:dyDescent="0.3">
      <c r="T885" t="str">
        <f>IF(ISERROR(MATCH('Analysis backend'!$M$1,E885:N885,0)),"",'Analysis backend'!$L$1)</f>
        <v/>
      </c>
      <c r="U885" t="str">
        <f>IF(T885='Analysis backend'!$L$1,IF(ISERROR(MATCH('Analysis backend'!$M$1,E885:I885,0)),"Dire","Radiant"),"")</f>
        <v/>
      </c>
    </row>
    <row r="886" spans="20:21" x14ac:dyDescent="0.3">
      <c r="T886" t="str">
        <f>IF(ISERROR(MATCH('Analysis backend'!$M$1,E886:N886,0)),"",'Analysis backend'!$L$1)</f>
        <v/>
      </c>
      <c r="U886" t="str">
        <f>IF(T886='Analysis backend'!$L$1,IF(ISERROR(MATCH('Analysis backend'!$M$1,E886:I886,0)),"Dire","Radiant"),"")</f>
        <v/>
      </c>
    </row>
    <row r="887" spans="20:21" x14ac:dyDescent="0.3">
      <c r="T887" t="str">
        <f>IF(ISERROR(MATCH('Analysis backend'!$M$1,E887:N887,0)),"",'Analysis backend'!$L$1)</f>
        <v/>
      </c>
      <c r="U887" t="str">
        <f>IF(T887='Analysis backend'!$L$1,IF(ISERROR(MATCH('Analysis backend'!$M$1,E887:I887,0)),"Dire","Radiant"),"")</f>
        <v/>
      </c>
    </row>
    <row r="888" spans="20:21" x14ac:dyDescent="0.3">
      <c r="T888" t="str">
        <f>IF(ISERROR(MATCH('Analysis backend'!$M$1,E888:N888,0)),"",'Analysis backend'!$L$1)</f>
        <v/>
      </c>
      <c r="U888" t="str">
        <f>IF(T888='Analysis backend'!$L$1,IF(ISERROR(MATCH('Analysis backend'!$M$1,E888:I888,0)),"Dire","Radiant"),"")</f>
        <v/>
      </c>
    </row>
    <row r="889" spans="20:21" x14ac:dyDescent="0.3">
      <c r="T889" t="str">
        <f>IF(ISERROR(MATCH('Analysis backend'!$M$1,E889:N889,0)),"",'Analysis backend'!$L$1)</f>
        <v/>
      </c>
      <c r="U889" t="str">
        <f>IF(T889='Analysis backend'!$L$1,IF(ISERROR(MATCH('Analysis backend'!$M$1,E889:I889,0)),"Dire","Radiant"),"")</f>
        <v/>
      </c>
    </row>
    <row r="890" spans="20:21" x14ac:dyDescent="0.3">
      <c r="T890" t="str">
        <f>IF(ISERROR(MATCH('Analysis backend'!$M$1,E890:N890,0)),"",'Analysis backend'!$L$1)</f>
        <v/>
      </c>
      <c r="U890" t="str">
        <f>IF(T890='Analysis backend'!$L$1,IF(ISERROR(MATCH('Analysis backend'!$M$1,E890:I890,0)),"Dire","Radiant"),"")</f>
        <v/>
      </c>
    </row>
    <row r="891" spans="20:21" x14ac:dyDescent="0.3">
      <c r="T891" t="str">
        <f>IF(ISERROR(MATCH('Analysis backend'!$M$1,E891:N891,0)),"",'Analysis backend'!$L$1)</f>
        <v/>
      </c>
      <c r="U891" t="str">
        <f>IF(T891='Analysis backend'!$L$1,IF(ISERROR(MATCH('Analysis backend'!$M$1,E891:I891,0)),"Dire","Radiant"),"")</f>
        <v/>
      </c>
    </row>
    <row r="892" spans="20:21" x14ac:dyDescent="0.3">
      <c r="T892" t="str">
        <f>IF(ISERROR(MATCH('Analysis backend'!$M$1,E892:N892,0)),"",'Analysis backend'!$L$1)</f>
        <v/>
      </c>
      <c r="U892" t="str">
        <f>IF(T892='Analysis backend'!$L$1,IF(ISERROR(MATCH('Analysis backend'!$M$1,E892:I892,0)),"Dire","Radiant"),"")</f>
        <v/>
      </c>
    </row>
    <row r="893" spans="20:21" x14ac:dyDescent="0.3">
      <c r="T893" t="str">
        <f>IF(ISERROR(MATCH('Analysis backend'!$M$1,E893:N893,0)),"",'Analysis backend'!$L$1)</f>
        <v/>
      </c>
      <c r="U893" t="str">
        <f>IF(T893='Analysis backend'!$L$1,IF(ISERROR(MATCH('Analysis backend'!$M$1,E893:I893,0)),"Dire","Radiant"),"")</f>
        <v/>
      </c>
    </row>
    <row r="894" spans="20:21" x14ac:dyDescent="0.3">
      <c r="T894" t="str">
        <f>IF(ISERROR(MATCH('Analysis backend'!$M$1,E894:N894,0)),"",'Analysis backend'!$L$1)</f>
        <v/>
      </c>
      <c r="U894" t="str">
        <f>IF(T894='Analysis backend'!$L$1,IF(ISERROR(MATCH('Analysis backend'!$M$1,E894:I894,0)),"Dire","Radiant"),"")</f>
        <v/>
      </c>
    </row>
    <row r="895" spans="20:21" x14ac:dyDescent="0.3">
      <c r="T895" t="str">
        <f>IF(ISERROR(MATCH('Analysis backend'!$M$1,E895:N895,0)),"",'Analysis backend'!$L$1)</f>
        <v/>
      </c>
      <c r="U895" t="str">
        <f>IF(T895='Analysis backend'!$L$1,IF(ISERROR(MATCH('Analysis backend'!$M$1,E895:I895,0)),"Dire","Radiant"),"")</f>
        <v/>
      </c>
    </row>
    <row r="896" spans="20:21" x14ac:dyDescent="0.3">
      <c r="T896" t="str">
        <f>IF(ISERROR(MATCH('Analysis backend'!$M$1,E896:N896,0)),"",'Analysis backend'!$L$1)</f>
        <v/>
      </c>
      <c r="U896" t="str">
        <f>IF(T896='Analysis backend'!$L$1,IF(ISERROR(MATCH('Analysis backend'!$M$1,E896:I896,0)),"Dire","Radiant"),"")</f>
        <v/>
      </c>
    </row>
    <row r="897" spans="20:21" x14ac:dyDescent="0.3">
      <c r="T897" t="str">
        <f>IF(ISERROR(MATCH('Analysis backend'!$M$1,E897:N897,0)),"",'Analysis backend'!$L$1)</f>
        <v/>
      </c>
      <c r="U897" t="str">
        <f>IF(T897='Analysis backend'!$L$1,IF(ISERROR(MATCH('Analysis backend'!$M$1,E897:I897,0)),"Dire","Radiant"),"")</f>
        <v/>
      </c>
    </row>
    <row r="898" spans="20:21" x14ac:dyDescent="0.3">
      <c r="T898" t="str">
        <f>IF(ISERROR(MATCH('Analysis backend'!$M$1,E898:N898,0)),"",'Analysis backend'!$L$1)</f>
        <v/>
      </c>
      <c r="U898" t="str">
        <f>IF(T898='Analysis backend'!$L$1,IF(ISERROR(MATCH('Analysis backend'!$M$1,E898:I898,0)),"Dire","Radiant"),"")</f>
        <v/>
      </c>
    </row>
    <row r="899" spans="20:21" x14ac:dyDescent="0.3">
      <c r="T899" t="str">
        <f>IF(ISERROR(MATCH('Analysis backend'!$M$1,E899:N899,0)),"",'Analysis backend'!$L$1)</f>
        <v/>
      </c>
      <c r="U899" t="str">
        <f>IF(T899='Analysis backend'!$L$1,IF(ISERROR(MATCH('Analysis backend'!$M$1,E899:I899,0)),"Dire","Radiant"),"")</f>
        <v/>
      </c>
    </row>
    <row r="900" spans="20:21" x14ac:dyDescent="0.3">
      <c r="T900" t="str">
        <f>IF(ISERROR(MATCH('Analysis backend'!$M$1,E900:N900,0)),"",'Analysis backend'!$L$1)</f>
        <v/>
      </c>
      <c r="U900" t="str">
        <f>IF(T900='Analysis backend'!$L$1,IF(ISERROR(MATCH('Analysis backend'!$M$1,E900:I900,0)),"Dire","Radiant"),"")</f>
        <v/>
      </c>
    </row>
    <row r="901" spans="20:21" x14ac:dyDescent="0.3">
      <c r="T901" t="str">
        <f>IF(ISERROR(MATCH('Analysis backend'!$M$1,E901:N901,0)),"",'Analysis backend'!$L$1)</f>
        <v/>
      </c>
      <c r="U901" t="str">
        <f>IF(T901='Analysis backend'!$L$1,IF(ISERROR(MATCH('Analysis backend'!$M$1,E901:I901,0)),"Dire","Radiant"),"")</f>
        <v/>
      </c>
    </row>
    <row r="902" spans="20:21" x14ac:dyDescent="0.3">
      <c r="T902" t="str">
        <f>IF(ISERROR(MATCH('Analysis backend'!$M$1,E902:N902,0)),"",'Analysis backend'!$L$1)</f>
        <v/>
      </c>
      <c r="U902" t="str">
        <f>IF(T902='Analysis backend'!$L$1,IF(ISERROR(MATCH('Analysis backend'!$M$1,E902:I902,0)),"Dire","Radiant"),"")</f>
        <v/>
      </c>
    </row>
    <row r="903" spans="20:21" x14ac:dyDescent="0.3">
      <c r="T903" t="str">
        <f>IF(ISERROR(MATCH('Analysis backend'!$M$1,E903:N903,0)),"",'Analysis backend'!$L$1)</f>
        <v/>
      </c>
      <c r="U903" t="str">
        <f>IF(T903='Analysis backend'!$L$1,IF(ISERROR(MATCH('Analysis backend'!$M$1,E903:I903,0)),"Dire","Radiant"),"")</f>
        <v/>
      </c>
    </row>
    <row r="904" spans="20:21" x14ac:dyDescent="0.3">
      <c r="T904" t="str">
        <f>IF(ISERROR(MATCH('Analysis backend'!$M$1,E904:N904,0)),"",'Analysis backend'!$L$1)</f>
        <v/>
      </c>
      <c r="U904" t="str">
        <f>IF(T904='Analysis backend'!$L$1,IF(ISERROR(MATCH('Analysis backend'!$M$1,E904:I904,0)),"Dire","Radiant"),"")</f>
        <v/>
      </c>
    </row>
    <row r="905" spans="20:21" x14ac:dyDescent="0.3">
      <c r="T905" t="str">
        <f>IF(ISERROR(MATCH('Analysis backend'!$M$1,E905:N905,0)),"",'Analysis backend'!$L$1)</f>
        <v/>
      </c>
      <c r="U905" t="str">
        <f>IF(T905='Analysis backend'!$L$1,IF(ISERROR(MATCH('Analysis backend'!$M$1,E905:I905,0)),"Dire","Radiant"),"")</f>
        <v/>
      </c>
    </row>
    <row r="906" spans="20:21" x14ac:dyDescent="0.3">
      <c r="T906" t="str">
        <f>IF(ISERROR(MATCH('Analysis backend'!$M$1,E906:N906,0)),"",'Analysis backend'!$L$1)</f>
        <v/>
      </c>
      <c r="U906" t="str">
        <f>IF(T906='Analysis backend'!$L$1,IF(ISERROR(MATCH('Analysis backend'!$M$1,E906:I906,0)),"Dire","Radiant"),"")</f>
        <v/>
      </c>
    </row>
    <row r="907" spans="20:21" x14ac:dyDescent="0.3">
      <c r="T907" t="str">
        <f>IF(ISERROR(MATCH('Analysis backend'!$M$1,E907:N907,0)),"",'Analysis backend'!$L$1)</f>
        <v/>
      </c>
      <c r="U907" t="str">
        <f>IF(T907='Analysis backend'!$L$1,IF(ISERROR(MATCH('Analysis backend'!$M$1,E907:I907,0)),"Dire","Radiant"),"")</f>
        <v/>
      </c>
    </row>
    <row r="908" spans="20:21" x14ac:dyDescent="0.3">
      <c r="T908" t="str">
        <f>IF(ISERROR(MATCH('Analysis backend'!$M$1,E908:N908,0)),"",'Analysis backend'!$L$1)</f>
        <v/>
      </c>
      <c r="U908" t="str">
        <f>IF(T908='Analysis backend'!$L$1,IF(ISERROR(MATCH('Analysis backend'!$M$1,E908:I908,0)),"Dire","Radiant"),"")</f>
        <v/>
      </c>
    </row>
    <row r="909" spans="20:21" x14ac:dyDescent="0.3">
      <c r="T909" t="str">
        <f>IF(ISERROR(MATCH('Analysis backend'!$M$1,E909:N909,0)),"",'Analysis backend'!$L$1)</f>
        <v/>
      </c>
      <c r="U909" t="str">
        <f>IF(T909='Analysis backend'!$L$1,IF(ISERROR(MATCH('Analysis backend'!$M$1,E909:I909,0)),"Dire","Radiant"),"")</f>
        <v/>
      </c>
    </row>
    <row r="910" spans="20:21" x14ac:dyDescent="0.3">
      <c r="T910" t="str">
        <f>IF(ISERROR(MATCH('Analysis backend'!$M$1,E910:N910,0)),"",'Analysis backend'!$L$1)</f>
        <v/>
      </c>
      <c r="U910" t="str">
        <f>IF(T910='Analysis backend'!$L$1,IF(ISERROR(MATCH('Analysis backend'!$M$1,E910:I910,0)),"Dire","Radiant"),"")</f>
        <v/>
      </c>
    </row>
    <row r="911" spans="20:21" x14ac:dyDescent="0.3">
      <c r="T911" t="str">
        <f>IF(ISERROR(MATCH('Analysis backend'!$M$1,E911:N911,0)),"",'Analysis backend'!$L$1)</f>
        <v/>
      </c>
      <c r="U911" t="str">
        <f>IF(T911='Analysis backend'!$L$1,IF(ISERROR(MATCH('Analysis backend'!$M$1,E911:I911,0)),"Dire","Radiant"),"")</f>
        <v/>
      </c>
    </row>
    <row r="912" spans="20:21" x14ac:dyDescent="0.3">
      <c r="T912" t="str">
        <f>IF(ISERROR(MATCH('Analysis backend'!$M$1,E912:N912,0)),"",'Analysis backend'!$L$1)</f>
        <v/>
      </c>
      <c r="U912" t="str">
        <f>IF(T912='Analysis backend'!$L$1,IF(ISERROR(MATCH('Analysis backend'!$M$1,E912:I912,0)),"Dire","Radiant"),"")</f>
        <v/>
      </c>
    </row>
    <row r="913" spans="20:21" x14ac:dyDescent="0.3">
      <c r="T913" t="str">
        <f>IF(ISERROR(MATCH('Analysis backend'!$M$1,E913:N913,0)),"",'Analysis backend'!$L$1)</f>
        <v/>
      </c>
      <c r="U913" t="str">
        <f>IF(T913='Analysis backend'!$L$1,IF(ISERROR(MATCH('Analysis backend'!$M$1,E913:I913,0)),"Dire","Radiant"),"")</f>
        <v/>
      </c>
    </row>
    <row r="914" spans="20:21" x14ac:dyDescent="0.3">
      <c r="T914" t="str">
        <f>IF(ISERROR(MATCH('Analysis backend'!$M$1,E914:N914,0)),"",'Analysis backend'!$L$1)</f>
        <v/>
      </c>
      <c r="U914" t="str">
        <f>IF(T914='Analysis backend'!$L$1,IF(ISERROR(MATCH('Analysis backend'!$M$1,E914:I914,0)),"Dire","Radiant"),"")</f>
        <v/>
      </c>
    </row>
    <row r="915" spans="20:21" x14ac:dyDescent="0.3">
      <c r="T915" t="str">
        <f>IF(ISERROR(MATCH('Analysis backend'!$M$1,E915:N915,0)),"",'Analysis backend'!$L$1)</f>
        <v/>
      </c>
      <c r="U915" t="str">
        <f>IF(T915='Analysis backend'!$L$1,IF(ISERROR(MATCH('Analysis backend'!$M$1,E915:I915,0)),"Dire","Radiant"),"")</f>
        <v/>
      </c>
    </row>
    <row r="916" spans="20:21" x14ac:dyDescent="0.3">
      <c r="T916" t="str">
        <f>IF(ISERROR(MATCH('Analysis backend'!$M$1,E916:N916,0)),"",'Analysis backend'!$L$1)</f>
        <v/>
      </c>
      <c r="U916" t="str">
        <f>IF(T916='Analysis backend'!$L$1,IF(ISERROR(MATCH('Analysis backend'!$M$1,E916:I916,0)),"Dire","Radiant"),"")</f>
        <v/>
      </c>
    </row>
    <row r="917" spans="20:21" x14ac:dyDescent="0.3">
      <c r="T917" t="str">
        <f>IF(ISERROR(MATCH('Analysis backend'!$M$1,E917:N917,0)),"",'Analysis backend'!$L$1)</f>
        <v/>
      </c>
      <c r="U917" t="str">
        <f>IF(T917='Analysis backend'!$L$1,IF(ISERROR(MATCH('Analysis backend'!$M$1,E917:I917,0)),"Dire","Radiant"),"")</f>
        <v/>
      </c>
    </row>
    <row r="918" spans="20:21" x14ac:dyDescent="0.3">
      <c r="T918" t="str">
        <f>IF(ISERROR(MATCH('Analysis backend'!$M$1,E918:N918,0)),"",'Analysis backend'!$L$1)</f>
        <v/>
      </c>
      <c r="U918" t="str">
        <f>IF(T918='Analysis backend'!$L$1,IF(ISERROR(MATCH('Analysis backend'!$M$1,E918:I918,0)),"Dire","Radiant"),"")</f>
        <v/>
      </c>
    </row>
    <row r="919" spans="20:21" x14ac:dyDescent="0.3">
      <c r="T919" t="str">
        <f>IF(ISERROR(MATCH('Analysis backend'!$M$1,E919:N919,0)),"",'Analysis backend'!$L$1)</f>
        <v/>
      </c>
      <c r="U919" t="str">
        <f>IF(T919='Analysis backend'!$L$1,IF(ISERROR(MATCH('Analysis backend'!$M$1,E919:I919,0)),"Dire","Radiant"),"")</f>
        <v/>
      </c>
    </row>
    <row r="920" spans="20:21" x14ac:dyDescent="0.3">
      <c r="T920" t="str">
        <f>IF(ISERROR(MATCH('Analysis backend'!$M$1,E920:N920,0)),"",'Analysis backend'!$L$1)</f>
        <v/>
      </c>
      <c r="U920" t="str">
        <f>IF(T920='Analysis backend'!$L$1,IF(ISERROR(MATCH('Analysis backend'!$M$1,E920:I920,0)),"Dire","Radiant"),"")</f>
        <v/>
      </c>
    </row>
    <row r="921" spans="20:21" x14ac:dyDescent="0.3">
      <c r="T921" t="str">
        <f>IF(ISERROR(MATCH('Analysis backend'!$M$1,E921:N921,0)),"",'Analysis backend'!$L$1)</f>
        <v/>
      </c>
      <c r="U921" t="str">
        <f>IF(T921='Analysis backend'!$L$1,IF(ISERROR(MATCH('Analysis backend'!$M$1,E921:I921,0)),"Dire","Radiant"),"")</f>
        <v/>
      </c>
    </row>
    <row r="922" spans="20:21" x14ac:dyDescent="0.3">
      <c r="T922" t="str">
        <f>IF(ISERROR(MATCH('Analysis backend'!$M$1,E922:N922,0)),"",'Analysis backend'!$L$1)</f>
        <v/>
      </c>
      <c r="U922" t="str">
        <f>IF(T922='Analysis backend'!$L$1,IF(ISERROR(MATCH('Analysis backend'!$M$1,E922:I922,0)),"Dire","Radiant"),"")</f>
        <v/>
      </c>
    </row>
    <row r="923" spans="20:21" x14ac:dyDescent="0.3">
      <c r="T923" t="str">
        <f>IF(ISERROR(MATCH('Analysis backend'!$M$1,E923:N923,0)),"",'Analysis backend'!$L$1)</f>
        <v/>
      </c>
      <c r="U923" t="str">
        <f>IF(T923='Analysis backend'!$L$1,IF(ISERROR(MATCH('Analysis backend'!$M$1,E923:I923,0)),"Dire","Radiant"),"")</f>
        <v/>
      </c>
    </row>
    <row r="924" spans="20:21" x14ac:dyDescent="0.3">
      <c r="T924" t="str">
        <f>IF(ISERROR(MATCH('Analysis backend'!$M$1,E924:N924,0)),"",'Analysis backend'!$L$1)</f>
        <v/>
      </c>
      <c r="U924" t="str">
        <f>IF(T924='Analysis backend'!$L$1,IF(ISERROR(MATCH('Analysis backend'!$M$1,E924:I924,0)),"Dire","Radiant"),"")</f>
        <v/>
      </c>
    </row>
    <row r="925" spans="20:21" x14ac:dyDescent="0.3">
      <c r="T925" t="str">
        <f>IF(ISERROR(MATCH('Analysis backend'!$M$1,E925:N925,0)),"",'Analysis backend'!$L$1)</f>
        <v/>
      </c>
      <c r="U925" t="str">
        <f>IF(T925='Analysis backend'!$L$1,IF(ISERROR(MATCH('Analysis backend'!$M$1,E925:I925,0)),"Dire","Radiant"),"")</f>
        <v/>
      </c>
    </row>
    <row r="926" spans="20:21" x14ac:dyDescent="0.3">
      <c r="T926" t="str">
        <f>IF(ISERROR(MATCH('Analysis backend'!$M$1,E926:N926,0)),"",'Analysis backend'!$L$1)</f>
        <v/>
      </c>
      <c r="U926" t="str">
        <f>IF(T926='Analysis backend'!$L$1,IF(ISERROR(MATCH('Analysis backend'!$M$1,E926:I926,0)),"Dire","Radiant"),"")</f>
        <v/>
      </c>
    </row>
    <row r="927" spans="20:21" x14ac:dyDescent="0.3">
      <c r="T927" t="str">
        <f>IF(ISERROR(MATCH('Analysis backend'!$M$1,E927:N927,0)),"",'Analysis backend'!$L$1)</f>
        <v/>
      </c>
      <c r="U927" t="str">
        <f>IF(T927='Analysis backend'!$L$1,IF(ISERROR(MATCH('Analysis backend'!$M$1,E927:I927,0)),"Dire","Radiant"),"")</f>
        <v/>
      </c>
    </row>
    <row r="928" spans="20:21" x14ac:dyDescent="0.3">
      <c r="T928" t="str">
        <f>IF(ISERROR(MATCH('Analysis backend'!$M$1,E928:N928,0)),"",'Analysis backend'!$L$1)</f>
        <v/>
      </c>
      <c r="U928" t="str">
        <f>IF(T928='Analysis backend'!$L$1,IF(ISERROR(MATCH('Analysis backend'!$M$1,E928:I928,0)),"Dire","Radiant"),"")</f>
        <v/>
      </c>
    </row>
    <row r="929" spans="20:21" x14ac:dyDescent="0.3">
      <c r="T929" t="str">
        <f>IF(ISERROR(MATCH('Analysis backend'!$M$1,E929:N929,0)),"",'Analysis backend'!$L$1)</f>
        <v/>
      </c>
      <c r="U929" t="str">
        <f>IF(T929='Analysis backend'!$L$1,IF(ISERROR(MATCH('Analysis backend'!$M$1,E929:I929,0)),"Dire","Radiant"),"")</f>
        <v/>
      </c>
    </row>
    <row r="930" spans="20:21" x14ac:dyDescent="0.3">
      <c r="T930" t="str">
        <f>IF(ISERROR(MATCH('Analysis backend'!$M$1,E930:N930,0)),"",'Analysis backend'!$L$1)</f>
        <v/>
      </c>
      <c r="U930" t="str">
        <f>IF(T930='Analysis backend'!$L$1,IF(ISERROR(MATCH('Analysis backend'!$M$1,E930:I930,0)),"Dire","Radiant"),"")</f>
        <v/>
      </c>
    </row>
    <row r="931" spans="20:21" x14ac:dyDescent="0.3">
      <c r="T931" t="str">
        <f>IF(ISERROR(MATCH('Analysis backend'!$M$1,E931:N931,0)),"",'Analysis backend'!$L$1)</f>
        <v/>
      </c>
      <c r="U931" t="str">
        <f>IF(T931='Analysis backend'!$L$1,IF(ISERROR(MATCH('Analysis backend'!$M$1,E931:I931,0)),"Dire","Radiant"),"")</f>
        <v/>
      </c>
    </row>
    <row r="932" spans="20:21" x14ac:dyDescent="0.3">
      <c r="T932" t="str">
        <f>IF(ISERROR(MATCH('Analysis backend'!$M$1,E932:N932,0)),"",'Analysis backend'!$L$1)</f>
        <v/>
      </c>
      <c r="U932" t="str">
        <f>IF(T932='Analysis backend'!$L$1,IF(ISERROR(MATCH('Analysis backend'!$M$1,E932:I932,0)),"Dire","Radiant"),"")</f>
        <v/>
      </c>
    </row>
    <row r="933" spans="20:21" x14ac:dyDescent="0.3">
      <c r="T933" t="str">
        <f>IF(ISERROR(MATCH('Analysis backend'!$M$1,E933:N933,0)),"",'Analysis backend'!$L$1)</f>
        <v/>
      </c>
      <c r="U933" t="str">
        <f>IF(T933='Analysis backend'!$L$1,IF(ISERROR(MATCH('Analysis backend'!$M$1,E933:I933,0)),"Dire","Radiant"),"")</f>
        <v/>
      </c>
    </row>
    <row r="934" spans="20:21" x14ac:dyDescent="0.3">
      <c r="T934" t="str">
        <f>IF(ISERROR(MATCH('Analysis backend'!$M$1,E934:N934,0)),"",'Analysis backend'!$L$1)</f>
        <v/>
      </c>
      <c r="U934" t="str">
        <f>IF(T934='Analysis backend'!$L$1,IF(ISERROR(MATCH('Analysis backend'!$M$1,E934:I934,0)),"Dire","Radiant"),"")</f>
        <v/>
      </c>
    </row>
    <row r="935" spans="20:21" x14ac:dyDescent="0.3">
      <c r="T935" t="str">
        <f>IF(ISERROR(MATCH('Analysis backend'!$M$1,E935:N935,0)),"",'Analysis backend'!$L$1)</f>
        <v/>
      </c>
      <c r="U935" t="str">
        <f>IF(T935='Analysis backend'!$L$1,IF(ISERROR(MATCH('Analysis backend'!$M$1,E935:I935,0)),"Dire","Radiant"),"")</f>
        <v/>
      </c>
    </row>
    <row r="936" spans="20:21" x14ac:dyDescent="0.3">
      <c r="T936" t="str">
        <f>IF(ISERROR(MATCH('Analysis backend'!$M$1,E936:N936,0)),"",'Analysis backend'!$L$1)</f>
        <v/>
      </c>
      <c r="U936" t="str">
        <f>IF(T936='Analysis backend'!$L$1,IF(ISERROR(MATCH('Analysis backend'!$M$1,E936:I936,0)),"Dire","Radiant"),"")</f>
        <v/>
      </c>
    </row>
    <row r="937" spans="20:21" x14ac:dyDescent="0.3">
      <c r="T937" t="str">
        <f>IF(ISERROR(MATCH('Analysis backend'!$M$1,E937:N937,0)),"",'Analysis backend'!$L$1)</f>
        <v/>
      </c>
      <c r="U937" t="str">
        <f>IF(T937='Analysis backend'!$L$1,IF(ISERROR(MATCH('Analysis backend'!$M$1,E937:I937,0)),"Dire","Radiant"),"")</f>
        <v/>
      </c>
    </row>
    <row r="938" spans="20:21" x14ac:dyDescent="0.3">
      <c r="T938" t="str">
        <f>IF(ISERROR(MATCH('Analysis backend'!$M$1,E938:N938,0)),"",'Analysis backend'!$L$1)</f>
        <v/>
      </c>
      <c r="U938" t="str">
        <f>IF(T938='Analysis backend'!$L$1,IF(ISERROR(MATCH('Analysis backend'!$M$1,E938:I938,0)),"Dire","Radiant"),"")</f>
        <v/>
      </c>
    </row>
    <row r="939" spans="20:21" x14ac:dyDescent="0.3">
      <c r="T939" t="str">
        <f>IF(ISERROR(MATCH('Analysis backend'!$M$1,E939:N939,0)),"",'Analysis backend'!$L$1)</f>
        <v/>
      </c>
      <c r="U939" t="str">
        <f>IF(T939='Analysis backend'!$L$1,IF(ISERROR(MATCH('Analysis backend'!$M$1,E939:I939,0)),"Dire","Radiant"),"")</f>
        <v/>
      </c>
    </row>
    <row r="940" spans="20:21" x14ac:dyDescent="0.3">
      <c r="T940" t="str">
        <f>IF(ISERROR(MATCH('Analysis backend'!$M$1,E940:N940,0)),"",'Analysis backend'!$L$1)</f>
        <v/>
      </c>
      <c r="U940" t="str">
        <f>IF(T940='Analysis backend'!$L$1,IF(ISERROR(MATCH('Analysis backend'!$M$1,E940:I940,0)),"Dire","Radiant"),"")</f>
        <v/>
      </c>
    </row>
    <row r="941" spans="20:21" x14ac:dyDescent="0.3">
      <c r="T941" t="str">
        <f>IF(ISERROR(MATCH('Analysis backend'!$M$1,E941:N941,0)),"",'Analysis backend'!$L$1)</f>
        <v/>
      </c>
      <c r="U941" t="str">
        <f>IF(T941='Analysis backend'!$L$1,IF(ISERROR(MATCH('Analysis backend'!$M$1,E941:I941,0)),"Dire","Radiant"),"")</f>
        <v/>
      </c>
    </row>
    <row r="942" spans="20:21" x14ac:dyDescent="0.3">
      <c r="T942" t="str">
        <f>IF(ISERROR(MATCH('Analysis backend'!$M$1,E942:N942,0)),"",'Analysis backend'!$L$1)</f>
        <v/>
      </c>
      <c r="U942" t="str">
        <f>IF(T942='Analysis backend'!$L$1,IF(ISERROR(MATCH('Analysis backend'!$M$1,E942:I942,0)),"Dire","Radiant"),"")</f>
        <v/>
      </c>
    </row>
    <row r="943" spans="20:21" x14ac:dyDescent="0.3">
      <c r="T943" t="str">
        <f>IF(ISERROR(MATCH('Analysis backend'!$M$1,E943:N943,0)),"",'Analysis backend'!$L$1)</f>
        <v/>
      </c>
      <c r="U943" t="str">
        <f>IF(T943='Analysis backend'!$L$1,IF(ISERROR(MATCH('Analysis backend'!$M$1,E943:I943,0)),"Dire","Radiant"),"")</f>
        <v/>
      </c>
    </row>
    <row r="944" spans="20:21" x14ac:dyDescent="0.3">
      <c r="T944" t="str">
        <f>IF(ISERROR(MATCH('Analysis backend'!$M$1,E944:N944,0)),"",'Analysis backend'!$L$1)</f>
        <v/>
      </c>
      <c r="U944" t="str">
        <f>IF(T944='Analysis backend'!$L$1,IF(ISERROR(MATCH('Analysis backend'!$M$1,E944:I944,0)),"Dire","Radiant"),"")</f>
        <v/>
      </c>
    </row>
    <row r="945" spans="20:21" x14ac:dyDescent="0.3">
      <c r="T945" t="str">
        <f>IF(ISERROR(MATCH('Analysis backend'!$M$1,E945:N945,0)),"",'Analysis backend'!$L$1)</f>
        <v/>
      </c>
      <c r="U945" t="str">
        <f>IF(T945='Analysis backend'!$L$1,IF(ISERROR(MATCH('Analysis backend'!$M$1,E945:I945,0)),"Dire","Radiant"),"")</f>
        <v/>
      </c>
    </row>
    <row r="946" spans="20:21" x14ac:dyDescent="0.3">
      <c r="T946" t="str">
        <f>IF(ISERROR(MATCH('Analysis backend'!$M$1,E946:N946,0)),"",'Analysis backend'!$L$1)</f>
        <v/>
      </c>
      <c r="U946" t="str">
        <f>IF(T946='Analysis backend'!$L$1,IF(ISERROR(MATCH('Analysis backend'!$M$1,E946:I946,0)),"Dire","Radiant"),"")</f>
        <v/>
      </c>
    </row>
    <row r="947" spans="20:21" x14ac:dyDescent="0.3">
      <c r="T947" t="str">
        <f>IF(ISERROR(MATCH('Analysis backend'!$M$1,E947:N947,0)),"",'Analysis backend'!$L$1)</f>
        <v/>
      </c>
      <c r="U947" t="str">
        <f>IF(T947='Analysis backend'!$L$1,IF(ISERROR(MATCH('Analysis backend'!$M$1,E947:I947,0)),"Dire","Radiant"),"")</f>
        <v/>
      </c>
    </row>
    <row r="948" spans="20:21" x14ac:dyDescent="0.3">
      <c r="T948" t="str">
        <f>IF(ISERROR(MATCH('Analysis backend'!$M$1,E948:N948,0)),"",'Analysis backend'!$L$1)</f>
        <v/>
      </c>
      <c r="U948" t="str">
        <f>IF(T948='Analysis backend'!$L$1,IF(ISERROR(MATCH('Analysis backend'!$M$1,E948:I948,0)),"Dire","Radiant"),"")</f>
        <v/>
      </c>
    </row>
    <row r="949" spans="20:21" x14ac:dyDescent="0.3">
      <c r="T949" t="str">
        <f>IF(ISERROR(MATCH('Analysis backend'!$M$1,E949:N949,0)),"",'Analysis backend'!$L$1)</f>
        <v/>
      </c>
      <c r="U949" t="str">
        <f>IF(T949='Analysis backend'!$L$1,IF(ISERROR(MATCH('Analysis backend'!$M$1,E949:I949,0)),"Dire","Radiant"),"")</f>
        <v/>
      </c>
    </row>
    <row r="950" spans="20:21" x14ac:dyDescent="0.3">
      <c r="T950" t="str">
        <f>IF(ISERROR(MATCH('Analysis backend'!$M$1,E950:N950,0)),"",'Analysis backend'!$L$1)</f>
        <v/>
      </c>
      <c r="U950" t="str">
        <f>IF(T950='Analysis backend'!$L$1,IF(ISERROR(MATCH('Analysis backend'!$M$1,E950:I950,0)),"Dire","Radiant"),"")</f>
        <v/>
      </c>
    </row>
    <row r="951" spans="20:21" x14ac:dyDescent="0.3">
      <c r="T951" t="str">
        <f>IF(ISERROR(MATCH('Analysis backend'!$M$1,E951:N951,0)),"",'Analysis backend'!$L$1)</f>
        <v/>
      </c>
      <c r="U951" t="str">
        <f>IF(T951='Analysis backend'!$L$1,IF(ISERROR(MATCH('Analysis backend'!$M$1,E951:I951,0)),"Dire","Radiant"),"")</f>
        <v/>
      </c>
    </row>
    <row r="952" spans="20:21" x14ac:dyDescent="0.3">
      <c r="T952" t="str">
        <f>IF(ISERROR(MATCH('Analysis backend'!$M$1,E952:N952,0)),"",'Analysis backend'!$L$1)</f>
        <v/>
      </c>
      <c r="U952" t="str">
        <f>IF(T952='Analysis backend'!$L$1,IF(ISERROR(MATCH('Analysis backend'!$M$1,E952:I952,0)),"Dire","Radiant"),"")</f>
        <v/>
      </c>
    </row>
    <row r="953" spans="20:21" x14ac:dyDescent="0.3">
      <c r="T953" t="str">
        <f>IF(ISERROR(MATCH('Analysis backend'!$M$1,E953:N953,0)),"",'Analysis backend'!$L$1)</f>
        <v/>
      </c>
      <c r="U953" t="str">
        <f>IF(T953='Analysis backend'!$L$1,IF(ISERROR(MATCH('Analysis backend'!$M$1,E953:I953,0)),"Dire","Radiant"),"")</f>
        <v/>
      </c>
    </row>
    <row r="954" spans="20:21" x14ac:dyDescent="0.3">
      <c r="T954" t="str">
        <f>IF(ISERROR(MATCH('Analysis backend'!$M$1,E954:N954,0)),"",'Analysis backend'!$L$1)</f>
        <v/>
      </c>
      <c r="U954" t="str">
        <f>IF(T954='Analysis backend'!$L$1,IF(ISERROR(MATCH('Analysis backend'!$M$1,E954:I954,0)),"Dire","Radiant"),"")</f>
        <v/>
      </c>
    </row>
    <row r="955" spans="20:21" x14ac:dyDescent="0.3">
      <c r="T955" t="str">
        <f>IF(ISERROR(MATCH('Analysis backend'!$M$1,E955:N955,0)),"",'Analysis backend'!$L$1)</f>
        <v/>
      </c>
      <c r="U955" t="str">
        <f>IF(T955='Analysis backend'!$L$1,IF(ISERROR(MATCH('Analysis backend'!$M$1,E955:I955,0)),"Dire","Radiant"),"")</f>
        <v/>
      </c>
    </row>
    <row r="956" spans="20:21" x14ac:dyDescent="0.3">
      <c r="T956" t="str">
        <f>IF(ISERROR(MATCH('Analysis backend'!$M$1,E956:N956,0)),"",'Analysis backend'!$L$1)</f>
        <v/>
      </c>
      <c r="U956" t="str">
        <f>IF(T956='Analysis backend'!$L$1,IF(ISERROR(MATCH('Analysis backend'!$M$1,E956:I956,0)),"Dire","Radiant"),"")</f>
        <v/>
      </c>
    </row>
    <row r="957" spans="20:21" x14ac:dyDescent="0.3">
      <c r="T957" t="str">
        <f>IF(ISERROR(MATCH('Analysis backend'!$M$1,E957:N957,0)),"",'Analysis backend'!$L$1)</f>
        <v/>
      </c>
      <c r="U957" t="str">
        <f>IF(T957='Analysis backend'!$L$1,IF(ISERROR(MATCH('Analysis backend'!$M$1,E957:I957,0)),"Dire","Radiant"),"")</f>
        <v/>
      </c>
    </row>
    <row r="958" spans="20:21" x14ac:dyDescent="0.3">
      <c r="T958" t="str">
        <f>IF(ISERROR(MATCH('Analysis backend'!$M$1,E958:N958,0)),"",'Analysis backend'!$L$1)</f>
        <v/>
      </c>
      <c r="U958" t="str">
        <f>IF(T958='Analysis backend'!$L$1,IF(ISERROR(MATCH('Analysis backend'!$M$1,E958:I958,0)),"Dire","Radiant"),"")</f>
        <v/>
      </c>
    </row>
    <row r="959" spans="20:21" x14ac:dyDescent="0.3">
      <c r="T959" t="str">
        <f>IF(ISERROR(MATCH('Analysis backend'!$M$1,E959:N959,0)),"",'Analysis backend'!$L$1)</f>
        <v/>
      </c>
      <c r="U959" t="str">
        <f>IF(T959='Analysis backend'!$L$1,IF(ISERROR(MATCH('Analysis backend'!$M$1,E959:I959,0)),"Dire","Radiant"),"")</f>
        <v/>
      </c>
    </row>
    <row r="960" spans="20:21" x14ac:dyDescent="0.3">
      <c r="T960" t="str">
        <f>IF(ISERROR(MATCH('Analysis backend'!$M$1,E960:N960,0)),"",'Analysis backend'!$L$1)</f>
        <v/>
      </c>
      <c r="U960" t="str">
        <f>IF(T960='Analysis backend'!$L$1,IF(ISERROR(MATCH('Analysis backend'!$M$1,E960:I960,0)),"Dire","Radiant"),"")</f>
        <v/>
      </c>
    </row>
    <row r="961" spans="20:21" x14ac:dyDescent="0.3">
      <c r="T961" t="str">
        <f>IF(ISERROR(MATCH('Analysis backend'!$M$1,E961:N961,0)),"",'Analysis backend'!$L$1)</f>
        <v/>
      </c>
      <c r="U961" t="str">
        <f>IF(T961='Analysis backend'!$L$1,IF(ISERROR(MATCH('Analysis backend'!$M$1,E961:I961,0)),"Dire","Radiant"),"")</f>
        <v/>
      </c>
    </row>
    <row r="962" spans="20:21" x14ac:dyDescent="0.3">
      <c r="T962" t="str">
        <f>IF(ISERROR(MATCH('Analysis backend'!$M$1,E962:N962,0)),"",'Analysis backend'!$L$1)</f>
        <v/>
      </c>
      <c r="U962" t="str">
        <f>IF(T962='Analysis backend'!$L$1,IF(ISERROR(MATCH('Analysis backend'!$M$1,E962:I962,0)),"Dire","Radiant"),"")</f>
        <v/>
      </c>
    </row>
    <row r="963" spans="20:21" x14ac:dyDescent="0.3">
      <c r="T963" t="str">
        <f>IF(ISERROR(MATCH('Analysis backend'!$M$1,E963:N963,0)),"",'Analysis backend'!$L$1)</f>
        <v/>
      </c>
      <c r="U963" t="str">
        <f>IF(T963='Analysis backend'!$L$1,IF(ISERROR(MATCH('Analysis backend'!$M$1,E963:I963,0)),"Dire","Radiant"),"")</f>
        <v/>
      </c>
    </row>
    <row r="964" spans="20:21" x14ac:dyDescent="0.3">
      <c r="T964" t="str">
        <f>IF(ISERROR(MATCH('Analysis backend'!$M$1,E964:N964,0)),"",'Analysis backend'!$L$1)</f>
        <v/>
      </c>
      <c r="U964" t="str">
        <f>IF(T964='Analysis backend'!$L$1,IF(ISERROR(MATCH('Analysis backend'!$M$1,E964:I964,0)),"Dire","Radiant"),"")</f>
        <v/>
      </c>
    </row>
    <row r="965" spans="20:21" x14ac:dyDescent="0.3">
      <c r="T965" t="str">
        <f>IF(ISERROR(MATCH('Analysis backend'!$M$1,E965:N965,0)),"",'Analysis backend'!$L$1)</f>
        <v/>
      </c>
      <c r="U965" t="str">
        <f>IF(T965='Analysis backend'!$L$1,IF(ISERROR(MATCH('Analysis backend'!$M$1,E965:I965,0)),"Dire","Radiant"),"")</f>
        <v/>
      </c>
    </row>
    <row r="966" spans="20:21" x14ac:dyDescent="0.3">
      <c r="T966" t="str">
        <f>IF(ISERROR(MATCH('Analysis backend'!$M$1,E966:N966,0)),"",'Analysis backend'!$L$1)</f>
        <v/>
      </c>
      <c r="U966" t="str">
        <f>IF(T966='Analysis backend'!$L$1,IF(ISERROR(MATCH('Analysis backend'!$M$1,E966:I966,0)),"Dire","Radiant"),"")</f>
        <v/>
      </c>
    </row>
    <row r="967" spans="20:21" x14ac:dyDescent="0.3">
      <c r="T967" t="str">
        <f>IF(ISERROR(MATCH('Analysis backend'!$M$1,E967:N967,0)),"",'Analysis backend'!$L$1)</f>
        <v/>
      </c>
      <c r="U967" t="str">
        <f>IF(T967='Analysis backend'!$L$1,IF(ISERROR(MATCH('Analysis backend'!$M$1,E967:I967,0)),"Dire","Radiant"),"")</f>
        <v/>
      </c>
    </row>
    <row r="968" spans="20:21" x14ac:dyDescent="0.3">
      <c r="T968" t="str">
        <f>IF(ISERROR(MATCH('Analysis backend'!$M$1,E968:N968,0)),"",'Analysis backend'!$L$1)</f>
        <v/>
      </c>
      <c r="U968" t="str">
        <f>IF(T968='Analysis backend'!$L$1,IF(ISERROR(MATCH('Analysis backend'!$M$1,E968:I968,0)),"Dire","Radiant"),"")</f>
        <v/>
      </c>
    </row>
    <row r="969" spans="20:21" x14ac:dyDescent="0.3">
      <c r="T969" t="str">
        <f>IF(ISERROR(MATCH('Analysis backend'!$M$1,E969:N969,0)),"",'Analysis backend'!$L$1)</f>
        <v/>
      </c>
      <c r="U969" t="str">
        <f>IF(T969='Analysis backend'!$L$1,IF(ISERROR(MATCH('Analysis backend'!$M$1,E969:I969,0)),"Dire","Radiant"),"")</f>
        <v/>
      </c>
    </row>
    <row r="970" spans="20:21" x14ac:dyDescent="0.3">
      <c r="T970" t="str">
        <f>IF(ISERROR(MATCH('Analysis backend'!$M$1,E970:N970,0)),"",'Analysis backend'!$L$1)</f>
        <v/>
      </c>
      <c r="U970" t="str">
        <f>IF(T970='Analysis backend'!$L$1,IF(ISERROR(MATCH('Analysis backend'!$M$1,E970:I970,0)),"Dire","Radiant"),"")</f>
        <v/>
      </c>
    </row>
    <row r="971" spans="20:21" x14ac:dyDescent="0.3">
      <c r="T971" t="str">
        <f>IF(ISERROR(MATCH('Analysis backend'!$M$1,E971:N971,0)),"",'Analysis backend'!$L$1)</f>
        <v/>
      </c>
      <c r="U971" t="str">
        <f>IF(T971='Analysis backend'!$L$1,IF(ISERROR(MATCH('Analysis backend'!$M$1,E971:I971,0)),"Dire","Radiant"),"")</f>
        <v/>
      </c>
    </row>
    <row r="972" spans="20:21" x14ac:dyDescent="0.3">
      <c r="T972" t="str">
        <f>IF(ISERROR(MATCH('Analysis backend'!$M$1,E972:N972,0)),"",'Analysis backend'!$L$1)</f>
        <v/>
      </c>
      <c r="U972" t="str">
        <f>IF(T972='Analysis backend'!$L$1,IF(ISERROR(MATCH('Analysis backend'!$M$1,E972:I972,0)),"Dire","Radiant"),"")</f>
        <v/>
      </c>
    </row>
    <row r="973" spans="20:21" x14ac:dyDescent="0.3">
      <c r="T973" t="str">
        <f>IF(ISERROR(MATCH('Analysis backend'!$M$1,E973:N973,0)),"",'Analysis backend'!$L$1)</f>
        <v/>
      </c>
      <c r="U973" t="str">
        <f>IF(T973='Analysis backend'!$L$1,IF(ISERROR(MATCH('Analysis backend'!$M$1,E973:I973,0)),"Dire","Radiant"),"")</f>
        <v/>
      </c>
    </row>
    <row r="974" spans="20:21" x14ac:dyDescent="0.3">
      <c r="T974" t="str">
        <f>IF(ISERROR(MATCH('Analysis backend'!$M$1,E974:N974,0)),"",'Analysis backend'!$L$1)</f>
        <v/>
      </c>
      <c r="U974" t="str">
        <f>IF(T974='Analysis backend'!$L$1,IF(ISERROR(MATCH('Analysis backend'!$M$1,E974:I974,0)),"Dire","Radiant"),"")</f>
        <v/>
      </c>
    </row>
    <row r="975" spans="20:21" x14ac:dyDescent="0.3">
      <c r="T975" t="str">
        <f>IF(ISERROR(MATCH('Analysis backend'!$M$1,E975:N975,0)),"",'Analysis backend'!$L$1)</f>
        <v/>
      </c>
      <c r="U975" t="str">
        <f>IF(T975='Analysis backend'!$L$1,IF(ISERROR(MATCH('Analysis backend'!$M$1,E975:I975,0)),"Dire","Radiant"),"")</f>
        <v/>
      </c>
    </row>
    <row r="976" spans="20:21" x14ac:dyDescent="0.3">
      <c r="T976" t="str">
        <f>IF(ISERROR(MATCH('Analysis backend'!$M$1,E976:N976,0)),"",'Analysis backend'!$L$1)</f>
        <v/>
      </c>
      <c r="U976" t="str">
        <f>IF(T976='Analysis backend'!$L$1,IF(ISERROR(MATCH('Analysis backend'!$M$1,E976:I976,0)),"Dire","Radiant"),"")</f>
        <v/>
      </c>
    </row>
    <row r="977" spans="20:21" x14ac:dyDescent="0.3">
      <c r="T977" t="str">
        <f>IF(ISERROR(MATCH('Analysis backend'!$M$1,E977:N977,0)),"",'Analysis backend'!$L$1)</f>
        <v/>
      </c>
      <c r="U977" t="str">
        <f>IF(T977='Analysis backend'!$L$1,IF(ISERROR(MATCH('Analysis backend'!$M$1,E977:I977,0)),"Dire","Radiant"),"")</f>
        <v/>
      </c>
    </row>
    <row r="978" spans="20:21" x14ac:dyDescent="0.3">
      <c r="T978" t="str">
        <f>IF(ISERROR(MATCH('Analysis backend'!$M$1,E978:N978,0)),"",'Analysis backend'!$L$1)</f>
        <v/>
      </c>
      <c r="U978" t="str">
        <f>IF(T978='Analysis backend'!$L$1,IF(ISERROR(MATCH('Analysis backend'!$M$1,E978:I978,0)),"Dire","Radiant"),"")</f>
        <v/>
      </c>
    </row>
    <row r="979" spans="20:21" x14ac:dyDescent="0.3">
      <c r="T979" t="str">
        <f>IF(ISERROR(MATCH('Analysis backend'!$M$1,E979:N979,0)),"",'Analysis backend'!$L$1)</f>
        <v/>
      </c>
      <c r="U979" t="str">
        <f>IF(T979='Analysis backend'!$L$1,IF(ISERROR(MATCH('Analysis backend'!$M$1,E979:I979,0)),"Dire","Radiant"),"")</f>
        <v/>
      </c>
    </row>
    <row r="980" spans="20:21" x14ac:dyDescent="0.3">
      <c r="T980" t="str">
        <f>IF(ISERROR(MATCH('Analysis backend'!$M$1,E980:N980,0)),"",'Analysis backend'!$L$1)</f>
        <v/>
      </c>
      <c r="U980" t="str">
        <f>IF(T980='Analysis backend'!$L$1,IF(ISERROR(MATCH('Analysis backend'!$M$1,E980:I980,0)),"Dire","Radiant"),"")</f>
        <v/>
      </c>
    </row>
    <row r="981" spans="20:21" x14ac:dyDescent="0.3">
      <c r="T981" t="str">
        <f>IF(ISERROR(MATCH('Analysis backend'!$M$1,E981:N981,0)),"",'Analysis backend'!$L$1)</f>
        <v/>
      </c>
      <c r="U981" t="str">
        <f>IF(T981='Analysis backend'!$L$1,IF(ISERROR(MATCH('Analysis backend'!$M$1,E981:I981,0)),"Dire","Radiant"),"")</f>
        <v/>
      </c>
    </row>
    <row r="982" spans="20:21" x14ac:dyDescent="0.3">
      <c r="T982" t="str">
        <f>IF(ISERROR(MATCH('Analysis backend'!$M$1,E982:N982,0)),"",'Analysis backend'!$L$1)</f>
        <v/>
      </c>
      <c r="U982" t="str">
        <f>IF(T982='Analysis backend'!$L$1,IF(ISERROR(MATCH('Analysis backend'!$M$1,E982:I982,0)),"Dire","Radiant"),"")</f>
        <v/>
      </c>
    </row>
    <row r="983" spans="20:21" x14ac:dyDescent="0.3">
      <c r="T983" t="str">
        <f>IF(ISERROR(MATCH('Analysis backend'!$M$1,E983:N983,0)),"",'Analysis backend'!$L$1)</f>
        <v/>
      </c>
      <c r="U983" t="str">
        <f>IF(T983='Analysis backend'!$L$1,IF(ISERROR(MATCH('Analysis backend'!$M$1,E983:I983,0)),"Dire","Radiant"),"")</f>
        <v/>
      </c>
    </row>
    <row r="984" spans="20:21" x14ac:dyDescent="0.3">
      <c r="T984" t="str">
        <f>IF(ISERROR(MATCH('Analysis backend'!$M$1,E984:N984,0)),"",'Analysis backend'!$L$1)</f>
        <v/>
      </c>
      <c r="U984" t="str">
        <f>IF(T984='Analysis backend'!$L$1,IF(ISERROR(MATCH('Analysis backend'!$M$1,E984:I984,0)),"Dire","Radiant"),"")</f>
        <v/>
      </c>
    </row>
    <row r="985" spans="20:21" x14ac:dyDescent="0.3">
      <c r="T985" t="str">
        <f>IF(ISERROR(MATCH('Analysis backend'!$M$1,E985:N985,0)),"",'Analysis backend'!$L$1)</f>
        <v/>
      </c>
      <c r="U985" t="str">
        <f>IF(T985='Analysis backend'!$L$1,IF(ISERROR(MATCH('Analysis backend'!$M$1,E985:I985,0)),"Dire","Radiant"),"")</f>
        <v/>
      </c>
    </row>
    <row r="986" spans="20:21" x14ac:dyDescent="0.3">
      <c r="T986" t="str">
        <f>IF(ISERROR(MATCH('Analysis backend'!$M$1,E986:N986,0)),"",'Analysis backend'!$L$1)</f>
        <v/>
      </c>
      <c r="U986" t="str">
        <f>IF(T986='Analysis backend'!$L$1,IF(ISERROR(MATCH('Analysis backend'!$M$1,E986:I986,0)),"Dire","Radiant"),"")</f>
        <v/>
      </c>
    </row>
    <row r="987" spans="20:21" x14ac:dyDescent="0.3">
      <c r="T987" t="str">
        <f>IF(ISERROR(MATCH('Analysis backend'!$M$1,E987:N987,0)),"",'Analysis backend'!$L$1)</f>
        <v/>
      </c>
      <c r="U987" t="str">
        <f>IF(T987='Analysis backend'!$L$1,IF(ISERROR(MATCH('Analysis backend'!$M$1,E987:I987,0)),"Dire","Radiant"),"")</f>
        <v/>
      </c>
    </row>
    <row r="988" spans="20:21" x14ac:dyDescent="0.3">
      <c r="T988" t="str">
        <f>IF(ISERROR(MATCH('Analysis backend'!$M$1,E988:N988,0)),"",'Analysis backend'!$L$1)</f>
        <v/>
      </c>
      <c r="U988" t="str">
        <f>IF(T988='Analysis backend'!$L$1,IF(ISERROR(MATCH('Analysis backend'!$M$1,E988:I988,0)),"Dire","Radiant"),"")</f>
        <v/>
      </c>
    </row>
    <row r="989" spans="20:21" x14ac:dyDescent="0.3">
      <c r="T989" t="str">
        <f>IF(ISERROR(MATCH('Analysis backend'!$M$1,E989:N989,0)),"",'Analysis backend'!$L$1)</f>
        <v/>
      </c>
      <c r="U989" t="str">
        <f>IF(T989='Analysis backend'!$L$1,IF(ISERROR(MATCH('Analysis backend'!$M$1,E989:I989,0)),"Dire","Radiant"),"")</f>
        <v/>
      </c>
    </row>
    <row r="990" spans="20:21" x14ac:dyDescent="0.3">
      <c r="T990" t="str">
        <f>IF(ISERROR(MATCH('Analysis backend'!$M$1,E990:N990,0)),"",'Analysis backend'!$L$1)</f>
        <v/>
      </c>
      <c r="U990" t="str">
        <f>IF(T990='Analysis backend'!$L$1,IF(ISERROR(MATCH('Analysis backend'!$M$1,E990:I990,0)),"Dire","Radiant"),"")</f>
        <v/>
      </c>
    </row>
    <row r="991" spans="20:21" x14ac:dyDescent="0.3">
      <c r="T991" t="str">
        <f>IF(ISERROR(MATCH('Analysis backend'!$M$1,E991:N991,0)),"",'Analysis backend'!$L$1)</f>
        <v/>
      </c>
      <c r="U991" t="str">
        <f>IF(T991='Analysis backend'!$L$1,IF(ISERROR(MATCH('Analysis backend'!$M$1,E991:I991,0)),"Dire","Radiant"),"")</f>
        <v/>
      </c>
    </row>
    <row r="992" spans="20:21" x14ac:dyDescent="0.3">
      <c r="T992" t="str">
        <f>IF(ISERROR(MATCH('Analysis backend'!$M$1,E992:N992,0)),"",'Analysis backend'!$L$1)</f>
        <v/>
      </c>
      <c r="U992" t="str">
        <f>IF(T992='Analysis backend'!$L$1,IF(ISERROR(MATCH('Analysis backend'!$M$1,E992:I992,0)),"Dire","Radiant"),"")</f>
        <v/>
      </c>
    </row>
    <row r="993" spans="20:21" x14ac:dyDescent="0.3">
      <c r="T993" t="str">
        <f>IF(ISERROR(MATCH('Analysis backend'!$M$1,E993:N993,0)),"",'Analysis backend'!$L$1)</f>
        <v/>
      </c>
      <c r="U993" t="str">
        <f>IF(T993='Analysis backend'!$L$1,IF(ISERROR(MATCH('Analysis backend'!$M$1,E993:I993,0)),"Dire","Radiant"),"")</f>
        <v/>
      </c>
    </row>
    <row r="994" spans="20:21" x14ac:dyDescent="0.3">
      <c r="T994" t="str">
        <f>IF(ISERROR(MATCH('Analysis backend'!$M$1,E994:N994,0)),"",'Analysis backend'!$L$1)</f>
        <v/>
      </c>
      <c r="U994" t="str">
        <f>IF(T994='Analysis backend'!$L$1,IF(ISERROR(MATCH('Analysis backend'!$M$1,E994:I994,0)),"Dire","Radiant"),"")</f>
        <v/>
      </c>
    </row>
    <row r="995" spans="20:21" x14ac:dyDescent="0.3">
      <c r="T995" t="str">
        <f>IF(ISERROR(MATCH('Analysis backend'!$M$1,E995:N995,0)),"",'Analysis backend'!$L$1)</f>
        <v/>
      </c>
      <c r="U995" t="str">
        <f>IF(T995='Analysis backend'!$L$1,IF(ISERROR(MATCH('Analysis backend'!$M$1,E995:I995,0)),"Dire","Radiant"),"")</f>
        <v/>
      </c>
    </row>
    <row r="996" spans="20:21" x14ac:dyDescent="0.3">
      <c r="T996" t="str">
        <f>IF(ISERROR(MATCH('Analysis backend'!$M$1,E996:N996,0)),"",'Analysis backend'!$L$1)</f>
        <v/>
      </c>
      <c r="U996" t="str">
        <f>IF(T996='Analysis backend'!$L$1,IF(ISERROR(MATCH('Analysis backend'!$M$1,E996:I996,0)),"Dire","Radiant"),"")</f>
        <v/>
      </c>
    </row>
    <row r="997" spans="20:21" x14ac:dyDescent="0.3">
      <c r="T997" t="str">
        <f>IF(ISERROR(MATCH('Analysis backend'!$M$1,E997:N997,0)),"",'Analysis backend'!$L$1)</f>
        <v/>
      </c>
      <c r="U997" t="str">
        <f>IF(T997='Analysis backend'!$L$1,IF(ISERROR(MATCH('Analysis backend'!$M$1,E997:I997,0)),"Dire","Radiant"),"")</f>
        <v/>
      </c>
    </row>
    <row r="998" spans="20:21" x14ac:dyDescent="0.3">
      <c r="T998" t="str">
        <f>IF(ISERROR(MATCH('Analysis backend'!$M$1,E998:N998,0)),"",'Analysis backend'!$L$1)</f>
        <v/>
      </c>
      <c r="U998" t="str">
        <f>IF(T998='Analysis backend'!$L$1,IF(ISERROR(MATCH('Analysis backend'!$M$1,E998:I998,0)),"Dire","Radiant"),"")</f>
        <v/>
      </c>
    </row>
    <row r="999" spans="20:21" x14ac:dyDescent="0.3">
      <c r="T999" t="str">
        <f>IF(ISERROR(MATCH('Analysis backend'!$M$1,E999:N999,0)),"",'Analysis backend'!$L$1)</f>
        <v/>
      </c>
      <c r="U999" t="str">
        <f>IF(T999='Analysis backend'!$L$1,IF(ISERROR(MATCH('Analysis backend'!$M$1,E999:I999,0)),"Dire","Radiant"),"")</f>
        <v/>
      </c>
    </row>
    <row r="1000" spans="20:21" x14ac:dyDescent="0.3">
      <c r="T1000" t="str">
        <f>IF(ISERROR(MATCH('Analysis backend'!$M$1,E1000:N1000,0)),"",'Analysis backend'!$L$1)</f>
        <v/>
      </c>
      <c r="U1000" t="str">
        <f>IF(T1000='Analysis backend'!$L$1,IF(ISERROR(MATCH('Analysis backend'!$M$1,E1000:I1000,0)),"Dire","Radiant"),"")</f>
        <v/>
      </c>
    </row>
    <row r="1001" spans="20:21" x14ac:dyDescent="0.3">
      <c r="T1001" t="str">
        <f>IF(ISERROR(MATCH('Analysis backend'!$M$1,E1001:N1001,0)),"",'Analysis backend'!$L$1)</f>
        <v/>
      </c>
      <c r="U1001" t="str">
        <f>IF(T1001='Analysis backend'!$L$1,IF(ISERROR(MATCH('Analysis backend'!$M$1,E1001:I1001,0)),"Dire","Radiant"),"")</f>
        <v/>
      </c>
    </row>
    <row r="1002" spans="20:21" x14ac:dyDescent="0.3">
      <c r="T1002" t="str">
        <f>IF(ISERROR(MATCH('Analysis backend'!$M$1,E1002:N1002,0)),"",'Analysis backend'!$L$1)</f>
        <v/>
      </c>
      <c r="U1002" t="str">
        <f>IF(T1002='Analysis backend'!$L$1,IF(ISERROR(MATCH('Analysis backend'!$M$1,E1002:I1002,0)),"Dire","Radiant"),"")</f>
        <v/>
      </c>
    </row>
    <row r="1003" spans="20:21" x14ac:dyDescent="0.3">
      <c r="T1003" t="str">
        <f>IF(ISERROR(MATCH('Analysis backend'!$M$1,E1003:N1003,0)),"",'Analysis backend'!$L$1)</f>
        <v/>
      </c>
      <c r="U1003" t="str">
        <f>IF(T1003='Analysis backend'!$L$1,IF(ISERROR(MATCH('Analysis backend'!$M$1,E1003:I1003,0)),"Dire","Radiant"),"")</f>
        <v/>
      </c>
    </row>
    <row r="1004" spans="20:21" x14ac:dyDescent="0.3">
      <c r="T1004" t="str">
        <f>IF(ISERROR(MATCH('Analysis backend'!$M$1,E1004:N1004,0)),"",'Analysis backend'!$L$1)</f>
        <v/>
      </c>
      <c r="U1004" t="str">
        <f>IF(T1004='Analysis backend'!$L$1,IF(ISERROR(MATCH('Analysis backend'!$M$1,E1004:I1004,0)),"Dire","Radiant"),"")</f>
        <v/>
      </c>
    </row>
    <row r="1005" spans="20:21" x14ac:dyDescent="0.3">
      <c r="T1005" t="str">
        <f>IF(ISERROR(MATCH('Analysis backend'!$M$1,E1005:N1005,0)),"",'Analysis backend'!$L$1)</f>
        <v/>
      </c>
      <c r="U1005" t="str">
        <f>IF(T1005='Analysis backend'!$L$1,IF(ISERROR(MATCH('Analysis backend'!$M$1,E1005:I1005,0)),"Dire","Radiant"),"")</f>
        <v/>
      </c>
    </row>
    <row r="1006" spans="20:21" x14ac:dyDescent="0.3">
      <c r="T1006" t="str">
        <f>IF(ISERROR(MATCH('Analysis backend'!$M$1,E1006:N1006,0)),"",'Analysis backend'!$L$1)</f>
        <v/>
      </c>
      <c r="U1006" t="str">
        <f>IF(T1006='Analysis backend'!$L$1,IF(ISERROR(MATCH('Analysis backend'!$M$1,E1006:I1006,0)),"Dire","Radiant"),"")</f>
        <v/>
      </c>
    </row>
    <row r="1007" spans="20:21" x14ac:dyDescent="0.3">
      <c r="T1007" t="str">
        <f>IF(ISERROR(MATCH('Analysis backend'!$M$1,E1007:N1007,0)),"",'Analysis backend'!$L$1)</f>
        <v/>
      </c>
      <c r="U1007" t="str">
        <f>IF(T1007='Analysis backend'!$L$1,IF(ISERROR(MATCH('Analysis backend'!$M$1,E1007:I1007,0)),"Dire","Radiant"),"")</f>
        <v/>
      </c>
    </row>
    <row r="1008" spans="20:21" x14ac:dyDescent="0.3">
      <c r="T1008" t="str">
        <f>IF(ISERROR(MATCH('Analysis backend'!$M$1,E1008:N1008,0)),"",'Analysis backend'!$L$1)</f>
        <v/>
      </c>
      <c r="U1008" t="str">
        <f>IF(T1008='Analysis backend'!$L$1,IF(ISERROR(MATCH('Analysis backend'!$M$1,E1008:I1008,0)),"Dire","Radiant"),"")</f>
        <v/>
      </c>
    </row>
    <row r="1009" spans="20:21" x14ac:dyDescent="0.3">
      <c r="T1009" t="str">
        <f>IF(ISERROR(MATCH('Analysis backend'!$M$1,E1009:N1009,0)),"",'Analysis backend'!$L$1)</f>
        <v/>
      </c>
      <c r="U1009" t="str">
        <f>IF(T1009='Analysis backend'!$L$1,IF(ISERROR(MATCH('Analysis backend'!$M$1,E1009:I1009,0)),"Dire","Radiant"),"")</f>
        <v/>
      </c>
    </row>
    <row r="1010" spans="20:21" x14ac:dyDescent="0.3">
      <c r="T1010" t="str">
        <f>IF(ISERROR(MATCH('Analysis backend'!$M$1,E1010:N1010,0)),"",'Analysis backend'!$L$1)</f>
        <v/>
      </c>
      <c r="U1010" t="str">
        <f>IF(T1010='Analysis backend'!$L$1,IF(ISERROR(MATCH('Analysis backend'!$M$1,E1010:I1010,0)),"Dire","Radiant"),"")</f>
        <v/>
      </c>
    </row>
    <row r="1011" spans="20:21" x14ac:dyDescent="0.3">
      <c r="T1011" t="str">
        <f>IF(ISERROR(MATCH('Analysis backend'!$M$1,E1011:N1011,0)),"",'Analysis backend'!$L$1)</f>
        <v/>
      </c>
      <c r="U1011" t="str">
        <f>IF(T1011='Analysis backend'!$L$1,IF(ISERROR(MATCH('Analysis backend'!$M$1,E1011:I1011,0)),"Dire","Radiant"),"")</f>
        <v/>
      </c>
    </row>
    <row r="1012" spans="20:21" x14ac:dyDescent="0.3">
      <c r="T1012" t="str">
        <f>IF(ISERROR(MATCH('Analysis backend'!$M$1,E1012:N1012,0)),"",'Analysis backend'!$L$1)</f>
        <v/>
      </c>
      <c r="U1012" t="str">
        <f>IF(T1012='Analysis backend'!$L$1,IF(ISERROR(MATCH('Analysis backend'!$M$1,E1012:I1012,0)),"Dire","Radiant"),"")</f>
        <v/>
      </c>
    </row>
    <row r="1013" spans="20:21" x14ac:dyDescent="0.3">
      <c r="T1013" t="str">
        <f>IF(ISERROR(MATCH('Analysis backend'!$M$1,E1013:N1013,0)),"",'Analysis backend'!$L$1)</f>
        <v/>
      </c>
      <c r="U1013" t="str">
        <f>IF(T1013='Analysis backend'!$L$1,IF(ISERROR(MATCH('Analysis backend'!$M$1,E1013:I1013,0)),"Dire","Radiant"),"")</f>
        <v/>
      </c>
    </row>
    <row r="1014" spans="20:21" x14ac:dyDescent="0.3">
      <c r="T1014" t="str">
        <f>IF(ISERROR(MATCH('Analysis backend'!$M$1,E1014:N1014,0)),"",'Analysis backend'!$L$1)</f>
        <v/>
      </c>
      <c r="U1014" t="str">
        <f>IF(T1014='Analysis backend'!$L$1,IF(ISERROR(MATCH('Analysis backend'!$M$1,E1014:I1014,0)),"Dire","Radiant"),"")</f>
        <v/>
      </c>
    </row>
    <row r="1015" spans="20:21" x14ac:dyDescent="0.3">
      <c r="T1015" t="str">
        <f>IF(ISERROR(MATCH('Analysis backend'!$M$1,E1015:N1015,0)),"",'Analysis backend'!$L$1)</f>
        <v/>
      </c>
      <c r="U1015" t="str">
        <f>IF(T1015='Analysis backend'!$L$1,IF(ISERROR(MATCH('Analysis backend'!$M$1,E1015:I1015,0)),"Dire","Radiant"),"")</f>
        <v/>
      </c>
    </row>
    <row r="1016" spans="20:21" x14ac:dyDescent="0.3">
      <c r="T1016" t="str">
        <f>IF(ISERROR(MATCH('Analysis backend'!$M$1,E1016:N1016,0)),"",'Analysis backend'!$L$1)</f>
        <v/>
      </c>
      <c r="U1016" t="str">
        <f>IF(T1016='Analysis backend'!$L$1,IF(ISERROR(MATCH('Analysis backend'!$M$1,E1016:I1016,0)),"Dire","Radiant"),"")</f>
        <v/>
      </c>
    </row>
    <row r="1017" spans="20:21" x14ac:dyDescent="0.3">
      <c r="T1017" t="str">
        <f>IF(ISERROR(MATCH('Analysis backend'!$M$1,E1017:N1017,0)),"",'Analysis backend'!$L$1)</f>
        <v/>
      </c>
      <c r="U1017" t="str">
        <f>IF(T1017='Analysis backend'!$L$1,IF(ISERROR(MATCH('Analysis backend'!$M$1,E1017:I1017,0)),"Dire","Radiant"),"")</f>
        <v/>
      </c>
    </row>
    <row r="1018" spans="20:21" x14ac:dyDescent="0.3">
      <c r="T1018" t="str">
        <f>IF(ISERROR(MATCH('Analysis backend'!$M$1,E1018:N1018,0)),"",'Analysis backend'!$L$1)</f>
        <v/>
      </c>
      <c r="U1018" t="str">
        <f>IF(T1018='Analysis backend'!$L$1,IF(ISERROR(MATCH('Analysis backend'!$M$1,E1018:I1018,0)),"Dire","Radiant"),"")</f>
        <v/>
      </c>
    </row>
    <row r="1019" spans="20:21" x14ac:dyDescent="0.3">
      <c r="T1019" t="str">
        <f>IF(ISERROR(MATCH('Analysis backend'!$M$1,E1019:N1019,0)),"",'Analysis backend'!$L$1)</f>
        <v/>
      </c>
      <c r="U1019" t="str">
        <f>IF(T1019='Analysis backend'!$L$1,IF(ISERROR(MATCH('Analysis backend'!$M$1,E1019:I1019,0)),"Dire","Radiant"),"")</f>
        <v/>
      </c>
    </row>
    <row r="1020" spans="20:21" x14ac:dyDescent="0.3">
      <c r="T1020" t="str">
        <f>IF(ISERROR(MATCH('Analysis backend'!$M$1,E1020:N1020,0)),"",'Analysis backend'!$L$1)</f>
        <v/>
      </c>
      <c r="U1020" t="str">
        <f>IF(T1020='Analysis backend'!$L$1,IF(ISERROR(MATCH('Analysis backend'!$M$1,E1020:I1020,0)),"Dire","Radiant"),"")</f>
        <v/>
      </c>
    </row>
    <row r="1021" spans="20:21" x14ac:dyDescent="0.3">
      <c r="T1021" t="str">
        <f>IF(ISERROR(MATCH('Analysis backend'!$M$1,E1021:N1021,0)),"",'Analysis backend'!$L$1)</f>
        <v/>
      </c>
      <c r="U1021" t="str">
        <f>IF(T1021='Analysis backend'!$L$1,IF(ISERROR(MATCH('Analysis backend'!$M$1,E1021:I1021,0)),"Dire","Radiant"),"")</f>
        <v/>
      </c>
    </row>
    <row r="1022" spans="20:21" x14ac:dyDescent="0.3">
      <c r="T1022" t="str">
        <f>IF(ISERROR(MATCH('Analysis backend'!$M$1,E1022:N1022,0)),"",'Analysis backend'!$L$1)</f>
        <v/>
      </c>
      <c r="U1022" t="str">
        <f>IF(T1022='Analysis backend'!$L$1,IF(ISERROR(MATCH('Analysis backend'!$M$1,E1022:I1022,0)),"Dire","Radiant"),"")</f>
        <v/>
      </c>
    </row>
    <row r="1023" spans="20:21" x14ac:dyDescent="0.3">
      <c r="T1023" t="str">
        <f>IF(ISERROR(MATCH('Analysis backend'!$M$1,E1023:N1023,0)),"",'Analysis backend'!$L$1)</f>
        <v/>
      </c>
      <c r="U1023" t="str">
        <f>IF(T1023='Analysis backend'!$L$1,IF(ISERROR(MATCH('Analysis backend'!$M$1,E1023:I1023,0)),"Dire","Radiant"),"")</f>
        <v/>
      </c>
    </row>
    <row r="1024" spans="20:21" x14ac:dyDescent="0.3">
      <c r="T1024" t="str">
        <f>IF(ISERROR(MATCH('Analysis backend'!$M$1,E1024:N1024,0)),"",'Analysis backend'!$L$1)</f>
        <v/>
      </c>
      <c r="U1024" t="str">
        <f>IF(T1024='Analysis backend'!$L$1,IF(ISERROR(MATCH('Analysis backend'!$M$1,E1024:I1024,0)),"Dire","Radiant"),"")</f>
        <v/>
      </c>
    </row>
    <row r="1025" spans="20:21" x14ac:dyDescent="0.3">
      <c r="T1025" t="str">
        <f>IF(ISERROR(MATCH('Analysis backend'!$M$1,E1025:N1025,0)),"",'Analysis backend'!$L$1)</f>
        <v/>
      </c>
      <c r="U1025" t="str">
        <f>IF(T1025='Analysis backend'!$L$1,IF(ISERROR(MATCH('Analysis backend'!$M$1,E1025:I1025,0)),"Dire","Radiant"),"")</f>
        <v/>
      </c>
    </row>
    <row r="1026" spans="20:21" x14ac:dyDescent="0.3">
      <c r="T1026" t="str">
        <f>IF(ISERROR(MATCH('Analysis backend'!$M$1,E1026:N1026,0)),"",'Analysis backend'!$L$1)</f>
        <v/>
      </c>
      <c r="U1026" t="str">
        <f>IF(T1026='Analysis backend'!$L$1,IF(ISERROR(MATCH('Analysis backend'!$M$1,E1026:I1026,0)),"Dire","Radiant"),"")</f>
        <v/>
      </c>
    </row>
    <row r="1027" spans="20:21" x14ac:dyDescent="0.3">
      <c r="T1027" t="str">
        <f>IF(ISERROR(MATCH('Analysis backend'!$M$1,E1027:N1027,0)),"",'Analysis backend'!$L$1)</f>
        <v/>
      </c>
      <c r="U1027" t="str">
        <f>IF(T1027='Analysis backend'!$L$1,IF(ISERROR(MATCH('Analysis backend'!$M$1,E1027:I1027,0)),"Dire","Radiant"),"")</f>
        <v/>
      </c>
    </row>
    <row r="1028" spans="20:21" x14ac:dyDescent="0.3">
      <c r="T1028" t="str">
        <f>IF(ISERROR(MATCH('Analysis backend'!$M$1,E1028:N1028,0)),"",'Analysis backend'!$L$1)</f>
        <v/>
      </c>
      <c r="U1028" t="str">
        <f>IF(T1028='Analysis backend'!$L$1,IF(ISERROR(MATCH('Analysis backend'!$M$1,E1028:I1028,0)),"Dire","Radiant"),"")</f>
        <v/>
      </c>
    </row>
    <row r="1029" spans="20:21" x14ac:dyDescent="0.3">
      <c r="T1029" t="str">
        <f>IF(ISERROR(MATCH('Analysis backend'!$M$1,E1029:N1029,0)),"",'Analysis backend'!$L$1)</f>
        <v/>
      </c>
      <c r="U1029" t="str">
        <f>IF(T1029='Analysis backend'!$L$1,IF(ISERROR(MATCH('Analysis backend'!$M$1,E1029:I1029,0)),"Dire","Radiant"),"")</f>
        <v/>
      </c>
    </row>
    <row r="1030" spans="20:21" x14ac:dyDescent="0.3">
      <c r="T1030" t="str">
        <f>IF(ISERROR(MATCH('Analysis backend'!$M$1,E1030:N1030,0)),"",'Analysis backend'!$L$1)</f>
        <v/>
      </c>
      <c r="U1030" t="str">
        <f>IF(T1030='Analysis backend'!$L$1,IF(ISERROR(MATCH('Analysis backend'!$M$1,E1030:I1030,0)),"Dire","Radiant"),"")</f>
        <v/>
      </c>
    </row>
    <row r="1031" spans="20:21" x14ac:dyDescent="0.3">
      <c r="T1031" t="str">
        <f>IF(ISERROR(MATCH('Analysis backend'!$M$1,E1031:N1031,0)),"",'Analysis backend'!$L$1)</f>
        <v/>
      </c>
      <c r="U1031" t="str">
        <f>IF(T1031='Analysis backend'!$L$1,IF(ISERROR(MATCH('Analysis backend'!$M$1,E1031:I1031,0)),"Dire","Radiant"),"")</f>
        <v/>
      </c>
    </row>
    <row r="1032" spans="20:21" x14ac:dyDescent="0.3">
      <c r="T1032" t="str">
        <f>IF(ISERROR(MATCH('Analysis backend'!$M$1,E1032:N1032,0)),"",'Analysis backend'!$L$1)</f>
        <v/>
      </c>
      <c r="U1032" t="str">
        <f>IF(T1032='Analysis backend'!$L$1,IF(ISERROR(MATCH('Analysis backend'!$M$1,E1032:I1032,0)),"Dire","Radiant"),"")</f>
        <v/>
      </c>
    </row>
    <row r="1033" spans="20:21" x14ac:dyDescent="0.3">
      <c r="T1033" t="str">
        <f>IF(ISERROR(MATCH('Analysis backend'!$M$1,E1033:N1033,0)),"",'Analysis backend'!$L$1)</f>
        <v/>
      </c>
      <c r="U1033" t="str">
        <f>IF(T1033='Analysis backend'!$L$1,IF(ISERROR(MATCH('Analysis backend'!$M$1,E1033:I1033,0)),"Dire","Radiant"),"")</f>
        <v/>
      </c>
    </row>
    <row r="1034" spans="20:21" x14ac:dyDescent="0.3">
      <c r="T1034" t="str">
        <f>IF(ISERROR(MATCH('Analysis backend'!$M$1,E1034:N1034,0)),"",'Analysis backend'!$L$1)</f>
        <v/>
      </c>
      <c r="U1034" t="str">
        <f>IF(T1034='Analysis backend'!$L$1,IF(ISERROR(MATCH('Analysis backend'!$M$1,E1034:I1034,0)),"Dire","Radiant"),"")</f>
        <v/>
      </c>
    </row>
    <row r="1035" spans="20:21" x14ac:dyDescent="0.3">
      <c r="T1035" t="str">
        <f>IF(ISERROR(MATCH('Analysis backend'!$M$1,E1035:N1035,0)),"",'Analysis backend'!$L$1)</f>
        <v/>
      </c>
      <c r="U1035" t="str">
        <f>IF(T1035='Analysis backend'!$L$1,IF(ISERROR(MATCH('Analysis backend'!$M$1,E1035:I1035,0)),"Dire","Radiant"),"")</f>
        <v/>
      </c>
    </row>
    <row r="1036" spans="20:21" x14ac:dyDescent="0.3">
      <c r="T1036" t="str">
        <f>IF(ISERROR(MATCH('Analysis backend'!$M$1,E1036:N1036,0)),"",'Analysis backend'!$L$1)</f>
        <v/>
      </c>
      <c r="U1036" t="str">
        <f>IF(T1036='Analysis backend'!$L$1,IF(ISERROR(MATCH('Analysis backend'!$M$1,E1036:I1036,0)),"Dire","Radiant"),"")</f>
        <v/>
      </c>
    </row>
    <row r="1037" spans="20:21" x14ac:dyDescent="0.3">
      <c r="T1037" t="str">
        <f>IF(ISERROR(MATCH('Analysis backend'!$M$1,E1037:N1037,0)),"",'Analysis backend'!$L$1)</f>
        <v/>
      </c>
      <c r="U1037" t="str">
        <f>IF(T1037='Analysis backend'!$L$1,IF(ISERROR(MATCH('Analysis backend'!$M$1,E1037:I1037,0)),"Dire","Radiant"),"")</f>
        <v/>
      </c>
    </row>
    <row r="1038" spans="20:21" x14ac:dyDescent="0.3">
      <c r="T1038" t="str">
        <f>IF(ISERROR(MATCH('Analysis backend'!$M$1,E1038:N1038,0)),"",'Analysis backend'!$L$1)</f>
        <v/>
      </c>
      <c r="U1038" t="str">
        <f>IF(T1038='Analysis backend'!$L$1,IF(ISERROR(MATCH('Analysis backend'!$M$1,E1038:I1038,0)),"Dire","Radiant"),"")</f>
        <v/>
      </c>
    </row>
    <row r="1039" spans="20:21" x14ac:dyDescent="0.3">
      <c r="T1039" t="str">
        <f>IF(ISERROR(MATCH('Analysis backend'!$M$1,E1039:N1039,0)),"",'Analysis backend'!$L$1)</f>
        <v/>
      </c>
      <c r="U1039" t="str">
        <f>IF(T1039='Analysis backend'!$L$1,IF(ISERROR(MATCH('Analysis backend'!$M$1,E1039:I1039,0)),"Dire","Radiant"),"")</f>
        <v/>
      </c>
    </row>
    <row r="1040" spans="20:21" x14ac:dyDescent="0.3">
      <c r="T1040" t="str">
        <f>IF(ISERROR(MATCH('Analysis backend'!$M$1,E1040:N1040,0)),"",'Analysis backend'!$L$1)</f>
        <v/>
      </c>
      <c r="U1040" t="str">
        <f>IF(T1040='Analysis backend'!$L$1,IF(ISERROR(MATCH('Analysis backend'!$M$1,E1040:I1040,0)),"Dire","Radiant"),"")</f>
        <v/>
      </c>
    </row>
    <row r="1041" spans="20:21" x14ac:dyDescent="0.3">
      <c r="T1041" t="str">
        <f>IF(ISERROR(MATCH('Analysis backend'!$M$1,E1041:N1041,0)),"",'Analysis backend'!$L$1)</f>
        <v/>
      </c>
      <c r="U1041" t="str">
        <f>IF(T1041='Analysis backend'!$L$1,IF(ISERROR(MATCH('Analysis backend'!$M$1,E1041:I1041,0)),"Dire","Radiant"),"")</f>
        <v/>
      </c>
    </row>
    <row r="1042" spans="20:21" x14ac:dyDescent="0.3">
      <c r="T1042" t="str">
        <f>IF(ISERROR(MATCH('Analysis backend'!$M$1,E1042:N1042,0)),"",'Analysis backend'!$L$1)</f>
        <v/>
      </c>
      <c r="U1042" t="str">
        <f>IF(T1042='Analysis backend'!$L$1,IF(ISERROR(MATCH('Analysis backend'!$M$1,E1042:I1042,0)),"Dire","Radiant"),"")</f>
        <v/>
      </c>
    </row>
    <row r="1043" spans="20:21" x14ac:dyDescent="0.3">
      <c r="T1043" t="str">
        <f>IF(ISERROR(MATCH('Analysis backend'!$M$1,E1043:N1043,0)),"",'Analysis backend'!$L$1)</f>
        <v/>
      </c>
      <c r="U1043" t="str">
        <f>IF(T1043='Analysis backend'!$L$1,IF(ISERROR(MATCH('Analysis backend'!$M$1,E1043:I1043,0)),"Dire","Radiant"),"")</f>
        <v/>
      </c>
    </row>
    <row r="1044" spans="20:21" x14ac:dyDescent="0.3">
      <c r="T1044" t="str">
        <f>IF(ISERROR(MATCH('Analysis backend'!$M$1,E1044:N1044,0)),"",'Analysis backend'!$L$1)</f>
        <v/>
      </c>
      <c r="U1044" t="str">
        <f>IF(T1044='Analysis backend'!$L$1,IF(ISERROR(MATCH('Analysis backend'!$M$1,E1044:I1044,0)),"Dire","Radiant"),"")</f>
        <v/>
      </c>
    </row>
    <row r="1045" spans="20:21" x14ac:dyDescent="0.3">
      <c r="T1045" t="str">
        <f>IF(ISERROR(MATCH('Analysis backend'!$M$1,E1045:N1045,0)),"",'Analysis backend'!$L$1)</f>
        <v/>
      </c>
      <c r="U1045" t="str">
        <f>IF(T1045='Analysis backend'!$L$1,IF(ISERROR(MATCH('Analysis backend'!$M$1,E1045:I1045,0)),"Dire","Radiant"),"")</f>
        <v/>
      </c>
    </row>
    <row r="1046" spans="20:21" x14ac:dyDescent="0.3">
      <c r="T1046" t="str">
        <f>IF(ISERROR(MATCH('Analysis backend'!$M$1,E1046:N1046,0)),"",'Analysis backend'!$L$1)</f>
        <v/>
      </c>
      <c r="U1046" t="str">
        <f>IF(T1046='Analysis backend'!$L$1,IF(ISERROR(MATCH('Analysis backend'!$M$1,E1046:I1046,0)),"Dire","Radiant"),"")</f>
        <v/>
      </c>
    </row>
    <row r="1047" spans="20:21" x14ac:dyDescent="0.3">
      <c r="T1047" t="str">
        <f>IF(ISERROR(MATCH('Analysis backend'!$M$1,E1047:N1047,0)),"",'Analysis backend'!$L$1)</f>
        <v/>
      </c>
      <c r="U1047" t="str">
        <f>IF(T1047='Analysis backend'!$L$1,IF(ISERROR(MATCH('Analysis backend'!$M$1,E1047:I1047,0)),"Dire","Radiant"),"")</f>
        <v/>
      </c>
    </row>
    <row r="1048" spans="20:21" x14ac:dyDescent="0.3">
      <c r="T1048" t="str">
        <f>IF(ISERROR(MATCH('Analysis backend'!$M$1,E1048:N1048,0)),"",'Analysis backend'!$L$1)</f>
        <v/>
      </c>
      <c r="U1048" t="str">
        <f>IF(T1048='Analysis backend'!$L$1,IF(ISERROR(MATCH('Analysis backend'!$M$1,E1048:I1048,0)),"Dire","Radiant"),"")</f>
        <v/>
      </c>
    </row>
    <row r="1049" spans="20:21" x14ac:dyDescent="0.3">
      <c r="T1049" t="str">
        <f>IF(ISERROR(MATCH('Analysis backend'!$M$1,E1049:N1049,0)),"",'Analysis backend'!$L$1)</f>
        <v/>
      </c>
      <c r="U1049" t="str">
        <f>IF(T1049='Analysis backend'!$L$1,IF(ISERROR(MATCH('Analysis backend'!$M$1,E1049:I1049,0)),"Dire","Radiant"),"")</f>
        <v/>
      </c>
    </row>
    <row r="1050" spans="20:21" x14ac:dyDescent="0.3">
      <c r="T1050" t="str">
        <f>IF(ISERROR(MATCH('Analysis backend'!$M$1,E1050:N1050,0)),"",'Analysis backend'!$L$1)</f>
        <v/>
      </c>
      <c r="U1050" t="str">
        <f>IF(T1050='Analysis backend'!$L$1,IF(ISERROR(MATCH('Analysis backend'!$M$1,E1050:I1050,0)),"Dire","Radiant"),"")</f>
        <v/>
      </c>
    </row>
    <row r="1051" spans="20:21" x14ac:dyDescent="0.3">
      <c r="T1051" t="str">
        <f>IF(ISERROR(MATCH('Analysis backend'!$M$1,E1051:N1051,0)),"",'Analysis backend'!$L$1)</f>
        <v/>
      </c>
      <c r="U1051" t="str">
        <f>IF(T1051='Analysis backend'!$L$1,IF(ISERROR(MATCH('Analysis backend'!$M$1,E1051:I1051,0)),"Dire","Radiant"),"")</f>
        <v/>
      </c>
    </row>
    <row r="1052" spans="20:21" x14ac:dyDescent="0.3">
      <c r="T1052" t="str">
        <f>IF(ISERROR(MATCH('Analysis backend'!$M$1,E1052:N1052,0)),"",'Analysis backend'!$L$1)</f>
        <v/>
      </c>
      <c r="U1052" t="str">
        <f>IF(T1052='Analysis backend'!$L$1,IF(ISERROR(MATCH('Analysis backend'!$M$1,E1052:I1052,0)),"Dire","Radiant"),"")</f>
        <v/>
      </c>
    </row>
    <row r="1053" spans="20:21" x14ac:dyDescent="0.3">
      <c r="T1053" t="str">
        <f>IF(ISERROR(MATCH('Analysis backend'!$M$1,E1053:N1053,0)),"",'Analysis backend'!$L$1)</f>
        <v/>
      </c>
      <c r="U1053" t="str">
        <f>IF(T1053='Analysis backend'!$L$1,IF(ISERROR(MATCH('Analysis backend'!$M$1,E1053:I1053,0)),"Dire","Radiant"),"")</f>
        <v/>
      </c>
    </row>
    <row r="1054" spans="20:21" x14ac:dyDescent="0.3">
      <c r="T1054" t="str">
        <f>IF(ISERROR(MATCH('Analysis backend'!$M$1,E1054:N1054,0)),"",'Analysis backend'!$L$1)</f>
        <v/>
      </c>
      <c r="U1054" t="str">
        <f>IF(T1054='Analysis backend'!$L$1,IF(ISERROR(MATCH('Analysis backend'!$M$1,E1054:I1054,0)),"Dire","Radiant"),"")</f>
        <v/>
      </c>
    </row>
    <row r="1055" spans="20:21" x14ac:dyDescent="0.3">
      <c r="T1055" t="str">
        <f>IF(ISERROR(MATCH('Analysis backend'!$M$1,E1055:N1055,0)),"",'Analysis backend'!$L$1)</f>
        <v/>
      </c>
      <c r="U1055" t="str">
        <f>IF(T1055='Analysis backend'!$L$1,IF(ISERROR(MATCH('Analysis backend'!$M$1,E1055:I1055,0)),"Dire","Radiant"),"")</f>
        <v/>
      </c>
    </row>
    <row r="1056" spans="20:21" x14ac:dyDescent="0.3">
      <c r="T1056" t="str">
        <f>IF(ISERROR(MATCH('Analysis backend'!$M$1,E1056:N1056,0)),"",'Analysis backend'!$L$1)</f>
        <v/>
      </c>
      <c r="U1056" t="str">
        <f>IF(T1056='Analysis backend'!$L$1,IF(ISERROR(MATCH('Analysis backend'!$M$1,E1056:I1056,0)),"Dire","Radiant"),"")</f>
        <v/>
      </c>
    </row>
    <row r="1057" spans="20:21" x14ac:dyDescent="0.3">
      <c r="T1057" t="str">
        <f>IF(ISERROR(MATCH('Analysis backend'!$M$1,E1057:N1057,0)),"",'Analysis backend'!$L$1)</f>
        <v/>
      </c>
      <c r="U1057" t="str">
        <f>IF(T1057='Analysis backend'!$L$1,IF(ISERROR(MATCH('Analysis backend'!$M$1,E1057:I1057,0)),"Dire","Radiant"),"")</f>
        <v/>
      </c>
    </row>
    <row r="1058" spans="20:21" x14ac:dyDescent="0.3">
      <c r="T1058" t="str">
        <f>IF(ISERROR(MATCH('Analysis backend'!$M$1,E1058:N1058,0)),"",'Analysis backend'!$L$1)</f>
        <v/>
      </c>
      <c r="U1058" t="str">
        <f>IF(T1058='Analysis backend'!$L$1,IF(ISERROR(MATCH('Analysis backend'!$M$1,E1058:I1058,0)),"Dire","Radiant"),"")</f>
        <v/>
      </c>
    </row>
    <row r="1059" spans="20:21" x14ac:dyDescent="0.3">
      <c r="T1059" t="str">
        <f>IF(ISERROR(MATCH('Analysis backend'!$M$1,E1059:N1059,0)),"",'Analysis backend'!$L$1)</f>
        <v/>
      </c>
      <c r="U1059" t="str">
        <f>IF(T1059='Analysis backend'!$L$1,IF(ISERROR(MATCH('Analysis backend'!$M$1,E1059:I1059,0)),"Dire","Radiant"),"")</f>
        <v/>
      </c>
    </row>
    <row r="1060" spans="20:21" x14ac:dyDescent="0.3">
      <c r="T1060" t="str">
        <f>IF(ISERROR(MATCH('Analysis backend'!$M$1,E1060:N1060,0)),"",'Analysis backend'!$L$1)</f>
        <v/>
      </c>
      <c r="U1060" t="str">
        <f>IF(T1060='Analysis backend'!$L$1,IF(ISERROR(MATCH('Analysis backend'!$M$1,E1060:I1060,0)),"Dire","Radiant"),"")</f>
        <v/>
      </c>
    </row>
    <row r="1061" spans="20:21" x14ac:dyDescent="0.3">
      <c r="T1061" t="str">
        <f>IF(ISERROR(MATCH('Analysis backend'!$M$1,E1061:N1061,0)),"",'Analysis backend'!$L$1)</f>
        <v/>
      </c>
      <c r="U1061" t="str">
        <f>IF(T1061='Analysis backend'!$L$1,IF(ISERROR(MATCH('Analysis backend'!$M$1,E1061:I1061,0)),"Dire","Radiant"),"")</f>
        <v/>
      </c>
    </row>
    <row r="1062" spans="20:21" x14ac:dyDescent="0.3">
      <c r="T1062" t="str">
        <f>IF(ISERROR(MATCH('Analysis backend'!$M$1,E1062:N1062,0)),"",'Analysis backend'!$L$1)</f>
        <v/>
      </c>
      <c r="U1062" t="str">
        <f>IF(T1062='Analysis backend'!$L$1,IF(ISERROR(MATCH('Analysis backend'!$M$1,E1062:I1062,0)),"Dire","Radiant"),"")</f>
        <v/>
      </c>
    </row>
    <row r="1063" spans="20:21" x14ac:dyDescent="0.3">
      <c r="T1063" t="str">
        <f>IF(ISERROR(MATCH('Analysis backend'!$M$1,E1063:N1063,0)),"",'Analysis backend'!$L$1)</f>
        <v/>
      </c>
      <c r="U1063" t="str">
        <f>IF(T1063='Analysis backend'!$L$1,IF(ISERROR(MATCH('Analysis backend'!$M$1,E1063:I1063,0)),"Dire","Radiant"),"")</f>
        <v/>
      </c>
    </row>
    <row r="1064" spans="20:21" x14ac:dyDescent="0.3">
      <c r="T1064" t="str">
        <f>IF(ISERROR(MATCH('Analysis backend'!$M$1,E1064:N1064,0)),"",'Analysis backend'!$L$1)</f>
        <v/>
      </c>
      <c r="U1064" t="str">
        <f>IF(T1064='Analysis backend'!$L$1,IF(ISERROR(MATCH('Analysis backend'!$M$1,E1064:I1064,0)),"Dire","Radiant"),"")</f>
        <v/>
      </c>
    </row>
    <row r="1065" spans="20:21" x14ac:dyDescent="0.3">
      <c r="T1065" t="str">
        <f>IF(ISERROR(MATCH('Analysis backend'!$M$1,E1065:N1065,0)),"",'Analysis backend'!$L$1)</f>
        <v/>
      </c>
      <c r="U1065" t="str">
        <f>IF(T1065='Analysis backend'!$L$1,IF(ISERROR(MATCH('Analysis backend'!$M$1,E1065:I1065,0)),"Dire","Radiant"),"")</f>
        <v/>
      </c>
    </row>
    <row r="1066" spans="20:21" x14ac:dyDescent="0.3">
      <c r="T1066" t="str">
        <f>IF(ISERROR(MATCH('Analysis backend'!$M$1,E1066:N1066,0)),"",'Analysis backend'!$L$1)</f>
        <v/>
      </c>
      <c r="U1066" t="str">
        <f>IF(T1066='Analysis backend'!$L$1,IF(ISERROR(MATCH('Analysis backend'!$M$1,E1066:I1066,0)),"Dire","Radiant"),"")</f>
        <v/>
      </c>
    </row>
    <row r="1067" spans="20:21" x14ac:dyDescent="0.3">
      <c r="T1067" t="str">
        <f>IF(ISERROR(MATCH('Analysis backend'!$M$1,E1067:N1067,0)),"",'Analysis backend'!$L$1)</f>
        <v/>
      </c>
      <c r="U1067" t="str">
        <f>IF(T1067='Analysis backend'!$L$1,IF(ISERROR(MATCH('Analysis backend'!$M$1,E1067:I1067,0)),"Dire","Radiant"),"")</f>
        <v/>
      </c>
    </row>
    <row r="1068" spans="20:21" x14ac:dyDescent="0.3">
      <c r="T1068" t="str">
        <f>IF(ISERROR(MATCH('Analysis backend'!$M$1,E1068:N1068,0)),"",'Analysis backend'!$L$1)</f>
        <v/>
      </c>
      <c r="U1068" t="str">
        <f>IF(T1068='Analysis backend'!$L$1,IF(ISERROR(MATCH('Analysis backend'!$M$1,E1068:I1068,0)),"Dire","Radiant"),"")</f>
        <v/>
      </c>
    </row>
    <row r="1069" spans="20:21" x14ac:dyDescent="0.3">
      <c r="T1069" t="str">
        <f>IF(ISERROR(MATCH('Analysis backend'!$M$1,E1069:N1069,0)),"",'Analysis backend'!$L$1)</f>
        <v/>
      </c>
      <c r="U1069" t="str">
        <f>IF(T1069='Analysis backend'!$L$1,IF(ISERROR(MATCH('Analysis backend'!$M$1,E1069:I1069,0)),"Dire","Radiant"),"")</f>
        <v/>
      </c>
    </row>
    <row r="1070" spans="20:21" x14ac:dyDescent="0.3">
      <c r="T1070" t="str">
        <f>IF(ISERROR(MATCH('Analysis backend'!$M$1,E1070:N1070,0)),"",'Analysis backend'!$L$1)</f>
        <v/>
      </c>
      <c r="U1070" t="str">
        <f>IF(T1070='Analysis backend'!$L$1,IF(ISERROR(MATCH('Analysis backend'!$M$1,E1070:I1070,0)),"Dire","Radiant"),"")</f>
        <v/>
      </c>
    </row>
    <row r="1071" spans="20:21" x14ac:dyDescent="0.3">
      <c r="T1071" t="str">
        <f>IF(ISERROR(MATCH('Analysis backend'!$M$1,E1071:N1071,0)),"",'Analysis backend'!$L$1)</f>
        <v/>
      </c>
      <c r="U1071" t="str">
        <f>IF(T1071='Analysis backend'!$L$1,IF(ISERROR(MATCH('Analysis backend'!$M$1,E1071:I1071,0)),"Dire","Radiant"),"")</f>
        <v/>
      </c>
    </row>
    <row r="1072" spans="20:21" x14ac:dyDescent="0.3">
      <c r="T1072" t="str">
        <f>IF(ISERROR(MATCH('Analysis backend'!$M$1,E1072:N1072,0)),"",'Analysis backend'!$L$1)</f>
        <v/>
      </c>
      <c r="U1072" t="str">
        <f>IF(T1072='Analysis backend'!$L$1,IF(ISERROR(MATCH('Analysis backend'!$M$1,E1072:I1072,0)),"Dire","Radiant"),"")</f>
        <v/>
      </c>
    </row>
    <row r="1073" spans="20:21" x14ac:dyDescent="0.3">
      <c r="T1073" t="str">
        <f>IF(ISERROR(MATCH('Analysis backend'!$M$1,E1073:N1073,0)),"",'Analysis backend'!$L$1)</f>
        <v/>
      </c>
      <c r="U1073" t="str">
        <f>IF(T1073='Analysis backend'!$L$1,IF(ISERROR(MATCH('Analysis backend'!$M$1,E1073:I1073,0)),"Dire","Radiant"),"")</f>
        <v/>
      </c>
    </row>
    <row r="1074" spans="20:21" x14ac:dyDescent="0.3">
      <c r="T1074" t="str">
        <f>IF(ISERROR(MATCH('Analysis backend'!$M$1,E1074:N1074,0)),"",'Analysis backend'!$L$1)</f>
        <v/>
      </c>
      <c r="U1074" t="str">
        <f>IF(T1074='Analysis backend'!$L$1,IF(ISERROR(MATCH('Analysis backend'!$M$1,E1074:I1074,0)),"Dire","Radiant"),"")</f>
        <v/>
      </c>
    </row>
    <row r="1075" spans="20:21" x14ac:dyDescent="0.3">
      <c r="T1075" t="str">
        <f>IF(ISERROR(MATCH('Analysis backend'!$M$1,E1075:N1075,0)),"",'Analysis backend'!$L$1)</f>
        <v/>
      </c>
      <c r="U1075" t="str">
        <f>IF(T1075='Analysis backend'!$L$1,IF(ISERROR(MATCH('Analysis backend'!$M$1,E1075:I1075,0)),"Dire","Radiant"),"")</f>
        <v/>
      </c>
    </row>
    <row r="1076" spans="20:21" x14ac:dyDescent="0.3">
      <c r="T1076" t="str">
        <f>IF(ISERROR(MATCH('Analysis backend'!$M$1,E1076:N1076,0)),"",'Analysis backend'!$L$1)</f>
        <v/>
      </c>
      <c r="U1076" t="str">
        <f>IF(T1076='Analysis backend'!$L$1,IF(ISERROR(MATCH('Analysis backend'!$M$1,E1076:I1076,0)),"Dire","Radiant"),"")</f>
        <v/>
      </c>
    </row>
    <row r="1077" spans="20:21" x14ac:dyDescent="0.3">
      <c r="T1077" t="str">
        <f>IF(ISERROR(MATCH('Analysis backend'!$M$1,E1077:N1077,0)),"",'Analysis backend'!$L$1)</f>
        <v/>
      </c>
      <c r="U1077" t="str">
        <f>IF(T1077='Analysis backend'!$L$1,IF(ISERROR(MATCH('Analysis backend'!$M$1,E1077:I1077,0)),"Dire","Radiant"),"")</f>
        <v/>
      </c>
    </row>
    <row r="1078" spans="20:21" x14ac:dyDescent="0.3">
      <c r="T1078" t="str">
        <f>IF(ISERROR(MATCH('Analysis backend'!$M$1,E1078:N1078,0)),"",'Analysis backend'!$L$1)</f>
        <v/>
      </c>
      <c r="U1078" t="str">
        <f>IF(T1078='Analysis backend'!$L$1,IF(ISERROR(MATCH('Analysis backend'!$M$1,E1078:I1078,0)),"Dire","Radiant"),"")</f>
        <v/>
      </c>
    </row>
    <row r="1079" spans="20:21" x14ac:dyDescent="0.3">
      <c r="T1079" t="str">
        <f>IF(ISERROR(MATCH('Analysis backend'!$M$1,E1079:N1079,0)),"",'Analysis backend'!$L$1)</f>
        <v/>
      </c>
      <c r="U1079" t="str">
        <f>IF(T1079='Analysis backend'!$L$1,IF(ISERROR(MATCH('Analysis backend'!$M$1,E1079:I1079,0)),"Dire","Radiant"),"")</f>
        <v/>
      </c>
    </row>
    <row r="1080" spans="20:21" x14ac:dyDescent="0.3">
      <c r="T1080" t="str">
        <f>IF(ISERROR(MATCH('Analysis backend'!$M$1,E1080:N1080,0)),"",'Analysis backend'!$L$1)</f>
        <v/>
      </c>
      <c r="U1080" t="str">
        <f>IF(T1080='Analysis backend'!$L$1,IF(ISERROR(MATCH('Analysis backend'!$M$1,E1080:I1080,0)),"Dire","Radiant"),"")</f>
        <v/>
      </c>
    </row>
    <row r="1081" spans="20:21" x14ac:dyDescent="0.3">
      <c r="T1081" t="str">
        <f>IF(ISERROR(MATCH('Analysis backend'!$M$1,E1081:N1081,0)),"",'Analysis backend'!$L$1)</f>
        <v/>
      </c>
      <c r="U1081" t="str">
        <f>IF(T1081='Analysis backend'!$L$1,IF(ISERROR(MATCH('Analysis backend'!$M$1,E1081:I1081,0)),"Dire","Radiant"),"")</f>
        <v/>
      </c>
    </row>
    <row r="1082" spans="20:21" x14ac:dyDescent="0.3">
      <c r="T1082" t="str">
        <f>IF(ISERROR(MATCH('Analysis backend'!$M$1,E1082:N1082,0)),"",'Analysis backend'!$L$1)</f>
        <v/>
      </c>
      <c r="U1082" t="str">
        <f>IF(T1082='Analysis backend'!$L$1,IF(ISERROR(MATCH('Analysis backend'!$M$1,E1082:I1082,0)),"Dire","Radiant"),"")</f>
        <v/>
      </c>
    </row>
    <row r="1083" spans="20:21" x14ac:dyDescent="0.3">
      <c r="T1083" t="str">
        <f>IF(ISERROR(MATCH('Analysis backend'!$M$1,E1083:N1083,0)),"",'Analysis backend'!$L$1)</f>
        <v/>
      </c>
      <c r="U1083" t="str">
        <f>IF(T1083='Analysis backend'!$L$1,IF(ISERROR(MATCH('Analysis backend'!$M$1,E1083:I1083,0)),"Dire","Radiant"),"")</f>
        <v/>
      </c>
    </row>
    <row r="1084" spans="20:21" x14ac:dyDescent="0.3">
      <c r="T1084" t="str">
        <f>IF(ISERROR(MATCH('Analysis backend'!$M$1,E1084:N1084,0)),"",'Analysis backend'!$L$1)</f>
        <v/>
      </c>
      <c r="U1084" t="str">
        <f>IF(T1084='Analysis backend'!$L$1,IF(ISERROR(MATCH('Analysis backend'!$M$1,E1084:I1084,0)),"Dire","Radiant"),"")</f>
        <v/>
      </c>
    </row>
    <row r="1085" spans="20:21" x14ac:dyDescent="0.3">
      <c r="T1085" t="str">
        <f>IF(ISERROR(MATCH('Analysis backend'!$M$1,E1085:N1085,0)),"",'Analysis backend'!$L$1)</f>
        <v/>
      </c>
      <c r="U1085" t="str">
        <f>IF(T1085='Analysis backend'!$L$1,IF(ISERROR(MATCH('Analysis backend'!$M$1,E1085:I1085,0)),"Dire","Radiant"),"")</f>
        <v/>
      </c>
    </row>
    <row r="1086" spans="20:21" x14ac:dyDescent="0.3">
      <c r="T1086" t="str">
        <f>IF(ISERROR(MATCH('Analysis backend'!$M$1,E1086:N1086,0)),"",'Analysis backend'!$L$1)</f>
        <v/>
      </c>
      <c r="U1086" t="str">
        <f>IF(T1086='Analysis backend'!$L$1,IF(ISERROR(MATCH('Analysis backend'!$M$1,E1086:I1086,0)),"Dire","Radiant"),"")</f>
        <v/>
      </c>
    </row>
    <row r="1087" spans="20:21" x14ac:dyDescent="0.3">
      <c r="T1087" t="str">
        <f>IF(ISERROR(MATCH('Analysis backend'!$M$1,E1087:N1087,0)),"",'Analysis backend'!$L$1)</f>
        <v/>
      </c>
      <c r="U1087" t="str">
        <f>IF(T1087='Analysis backend'!$L$1,IF(ISERROR(MATCH('Analysis backend'!$M$1,E1087:I1087,0)),"Dire","Radiant"),"")</f>
        <v/>
      </c>
    </row>
    <row r="1088" spans="20:21" x14ac:dyDescent="0.3">
      <c r="T1088" t="str">
        <f>IF(ISERROR(MATCH('Analysis backend'!$M$1,E1088:N1088,0)),"",'Analysis backend'!$L$1)</f>
        <v/>
      </c>
      <c r="U1088" t="str">
        <f>IF(T1088='Analysis backend'!$L$1,IF(ISERROR(MATCH('Analysis backend'!$M$1,E1088:I1088,0)),"Dire","Radiant"),"")</f>
        <v/>
      </c>
    </row>
    <row r="1089" spans="20:21" x14ac:dyDescent="0.3">
      <c r="T1089" t="str">
        <f>IF(ISERROR(MATCH('Analysis backend'!$M$1,E1089:N1089,0)),"",'Analysis backend'!$L$1)</f>
        <v/>
      </c>
      <c r="U1089" t="str">
        <f>IF(T1089='Analysis backend'!$L$1,IF(ISERROR(MATCH('Analysis backend'!$M$1,E1089:I1089,0)),"Dire","Radiant"),"")</f>
        <v/>
      </c>
    </row>
    <row r="1090" spans="20:21" x14ac:dyDescent="0.3">
      <c r="T1090" t="str">
        <f>IF(ISERROR(MATCH('Analysis backend'!$M$1,E1090:N1090,0)),"",'Analysis backend'!$L$1)</f>
        <v/>
      </c>
      <c r="U1090" t="str">
        <f>IF(T1090='Analysis backend'!$L$1,IF(ISERROR(MATCH('Analysis backend'!$M$1,E1090:I1090,0)),"Dire","Radiant"),"")</f>
        <v/>
      </c>
    </row>
    <row r="1091" spans="20:21" x14ac:dyDescent="0.3">
      <c r="T1091" t="str">
        <f>IF(ISERROR(MATCH('Analysis backend'!$M$1,E1091:N1091,0)),"",'Analysis backend'!$L$1)</f>
        <v/>
      </c>
      <c r="U1091" t="str">
        <f>IF(T1091='Analysis backend'!$L$1,IF(ISERROR(MATCH('Analysis backend'!$M$1,E1091:I1091,0)),"Dire","Radiant"),"")</f>
        <v/>
      </c>
    </row>
    <row r="1092" spans="20:21" x14ac:dyDescent="0.3">
      <c r="T1092" t="str">
        <f>IF(ISERROR(MATCH('Analysis backend'!$M$1,E1092:N1092,0)),"",'Analysis backend'!$L$1)</f>
        <v/>
      </c>
      <c r="U1092" t="str">
        <f>IF(T1092='Analysis backend'!$L$1,IF(ISERROR(MATCH('Analysis backend'!$M$1,E1092:I1092,0)),"Dire","Radiant"),"")</f>
        <v/>
      </c>
    </row>
    <row r="1093" spans="20:21" x14ac:dyDescent="0.3">
      <c r="T1093" t="str">
        <f>IF(ISERROR(MATCH('Analysis backend'!$M$1,E1093:N1093,0)),"",'Analysis backend'!$L$1)</f>
        <v/>
      </c>
      <c r="U1093" t="str">
        <f>IF(T1093='Analysis backend'!$L$1,IF(ISERROR(MATCH('Analysis backend'!$M$1,E1093:I1093,0)),"Dire","Radiant"),"")</f>
        <v/>
      </c>
    </row>
    <row r="1094" spans="20:21" x14ac:dyDescent="0.3">
      <c r="T1094" t="str">
        <f>IF(ISERROR(MATCH('Analysis backend'!$M$1,E1094:N1094,0)),"",'Analysis backend'!$L$1)</f>
        <v/>
      </c>
      <c r="U1094" t="str">
        <f>IF(T1094='Analysis backend'!$L$1,IF(ISERROR(MATCH('Analysis backend'!$M$1,E1094:I1094,0)),"Dire","Radiant"),"")</f>
        <v/>
      </c>
    </row>
    <row r="1095" spans="20:21" x14ac:dyDescent="0.3">
      <c r="T1095" t="str">
        <f>IF(ISERROR(MATCH('Analysis backend'!$M$1,E1095:N1095,0)),"",'Analysis backend'!$L$1)</f>
        <v/>
      </c>
      <c r="U1095" t="str">
        <f>IF(T1095='Analysis backend'!$L$1,IF(ISERROR(MATCH('Analysis backend'!$M$1,E1095:I1095,0)),"Dire","Radiant"),"")</f>
        <v/>
      </c>
    </row>
    <row r="1096" spans="20:21" x14ac:dyDescent="0.3">
      <c r="T1096" t="str">
        <f>IF(ISERROR(MATCH('Analysis backend'!$M$1,E1096:N1096,0)),"",'Analysis backend'!$L$1)</f>
        <v/>
      </c>
      <c r="U1096" t="str">
        <f>IF(T1096='Analysis backend'!$L$1,IF(ISERROR(MATCH('Analysis backend'!$M$1,E1096:I1096,0)),"Dire","Radiant"),"")</f>
        <v/>
      </c>
    </row>
    <row r="1097" spans="20:21" x14ac:dyDescent="0.3">
      <c r="T1097" t="str">
        <f>IF(ISERROR(MATCH('Analysis backend'!$M$1,E1097:N1097,0)),"",'Analysis backend'!$L$1)</f>
        <v/>
      </c>
      <c r="U1097" t="str">
        <f>IF(T1097='Analysis backend'!$L$1,IF(ISERROR(MATCH('Analysis backend'!$M$1,E1097:I1097,0)),"Dire","Radiant"),"")</f>
        <v/>
      </c>
    </row>
    <row r="1098" spans="20:21" x14ac:dyDescent="0.3">
      <c r="T1098" t="str">
        <f>IF(ISERROR(MATCH('Analysis backend'!$M$1,E1098:N1098,0)),"",'Analysis backend'!$L$1)</f>
        <v/>
      </c>
      <c r="U1098" t="str">
        <f>IF(T1098='Analysis backend'!$L$1,IF(ISERROR(MATCH('Analysis backend'!$M$1,E1098:I1098,0)),"Dire","Radiant"),"")</f>
        <v/>
      </c>
    </row>
    <row r="1099" spans="20:21" x14ac:dyDescent="0.3">
      <c r="T1099" t="str">
        <f>IF(ISERROR(MATCH('Analysis backend'!$M$1,E1099:N1099,0)),"",'Analysis backend'!$L$1)</f>
        <v/>
      </c>
      <c r="U1099" t="str">
        <f>IF(T1099='Analysis backend'!$L$1,IF(ISERROR(MATCH('Analysis backend'!$M$1,E1099:I1099,0)),"Dire","Radiant"),"")</f>
        <v/>
      </c>
    </row>
    <row r="1100" spans="20:21" x14ac:dyDescent="0.3">
      <c r="T1100" t="str">
        <f>IF(ISERROR(MATCH('Analysis backend'!$M$1,E1100:N1100,0)),"",'Analysis backend'!$L$1)</f>
        <v/>
      </c>
      <c r="U1100" t="str">
        <f>IF(T1100='Analysis backend'!$L$1,IF(ISERROR(MATCH('Analysis backend'!$M$1,E1100:I1100,0)),"Dire","Radiant"),"")</f>
        <v/>
      </c>
    </row>
    <row r="1101" spans="20:21" x14ac:dyDescent="0.3">
      <c r="T1101" t="str">
        <f>IF(ISERROR(MATCH('Analysis backend'!$M$1,E1101:N1101,0)),"",'Analysis backend'!$L$1)</f>
        <v/>
      </c>
      <c r="U1101" t="str">
        <f>IF(T1101='Analysis backend'!$L$1,IF(ISERROR(MATCH('Analysis backend'!$M$1,E1101:I1101,0)),"Dire","Radiant"),"")</f>
        <v/>
      </c>
    </row>
    <row r="1102" spans="20:21" x14ac:dyDescent="0.3">
      <c r="T1102" t="str">
        <f>IF(ISERROR(MATCH('Analysis backend'!$M$1,E1102:N1102,0)),"",'Analysis backend'!$L$1)</f>
        <v/>
      </c>
      <c r="U1102" t="str">
        <f>IF(T1102='Analysis backend'!$L$1,IF(ISERROR(MATCH('Analysis backend'!$M$1,E1102:I1102,0)),"Dire","Radiant"),"")</f>
        <v/>
      </c>
    </row>
    <row r="1103" spans="20:21" x14ac:dyDescent="0.3">
      <c r="T1103" t="str">
        <f>IF(ISERROR(MATCH('Analysis backend'!$M$1,E1103:N1103,0)),"",'Analysis backend'!$L$1)</f>
        <v/>
      </c>
      <c r="U1103" t="str">
        <f>IF(T1103='Analysis backend'!$L$1,IF(ISERROR(MATCH('Analysis backend'!$M$1,E1103:I1103,0)),"Dire","Radiant"),"")</f>
        <v/>
      </c>
    </row>
    <row r="1104" spans="20:21" x14ac:dyDescent="0.3">
      <c r="T1104" t="str">
        <f>IF(ISERROR(MATCH('Analysis backend'!$M$1,E1104:N1104,0)),"",'Analysis backend'!$L$1)</f>
        <v/>
      </c>
      <c r="U1104" t="str">
        <f>IF(T1104='Analysis backend'!$L$1,IF(ISERROR(MATCH('Analysis backend'!$M$1,E1104:I1104,0)),"Dire","Radiant"),"")</f>
        <v/>
      </c>
    </row>
    <row r="1105" spans="20:21" x14ac:dyDescent="0.3">
      <c r="T1105" t="str">
        <f>IF(ISERROR(MATCH('Analysis backend'!$M$1,E1105:N1105,0)),"",'Analysis backend'!$L$1)</f>
        <v/>
      </c>
      <c r="U1105" t="str">
        <f>IF(T1105='Analysis backend'!$L$1,IF(ISERROR(MATCH('Analysis backend'!$M$1,E1105:I1105,0)),"Dire","Radiant"),"")</f>
        <v/>
      </c>
    </row>
    <row r="1106" spans="20:21" x14ac:dyDescent="0.3">
      <c r="T1106" t="str">
        <f>IF(ISERROR(MATCH('Analysis backend'!$M$1,E1106:N1106,0)),"",'Analysis backend'!$L$1)</f>
        <v/>
      </c>
      <c r="U1106" t="str">
        <f>IF(T1106='Analysis backend'!$L$1,IF(ISERROR(MATCH('Analysis backend'!$M$1,E1106:I1106,0)),"Dire","Radiant"),"")</f>
        <v/>
      </c>
    </row>
    <row r="1107" spans="20:21" x14ac:dyDescent="0.3">
      <c r="T1107" t="str">
        <f>IF(ISERROR(MATCH('Analysis backend'!$M$1,E1107:N1107,0)),"",'Analysis backend'!$L$1)</f>
        <v/>
      </c>
      <c r="U1107" t="str">
        <f>IF(T1107='Analysis backend'!$L$1,IF(ISERROR(MATCH('Analysis backend'!$M$1,E1107:I1107,0)),"Dire","Radiant"),"")</f>
        <v/>
      </c>
    </row>
    <row r="1108" spans="20:21" x14ac:dyDescent="0.3">
      <c r="T1108" t="str">
        <f>IF(ISERROR(MATCH('Analysis backend'!$M$1,E1108:N1108,0)),"",'Analysis backend'!$L$1)</f>
        <v/>
      </c>
      <c r="U1108" t="str">
        <f>IF(T1108='Analysis backend'!$L$1,IF(ISERROR(MATCH('Analysis backend'!$M$1,E1108:I1108,0)),"Dire","Radiant"),"")</f>
        <v/>
      </c>
    </row>
    <row r="1109" spans="20:21" x14ac:dyDescent="0.3">
      <c r="T1109" t="str">
        <f>IF(ISERROR(MATCH('Analysis backend'!$M$1,E1109:N1109,0)),"",'Analysis backend'!$L$1)</f>
        <v/>
      </c>
      <c r="U1109" t="str">
        <f>IF(T1109='Analysis backend'!$L$1,IF(ISERROR(MATCH('Analysis backend'!$M$1,E1109:I1109,0)),"Dire","Radiant"),"")</f>
        <v/>
      </c>
    </row>
    <row r="1110" spans="20:21" x14ac:dyDescent="0.3">
      <c r="T1110" t="str">
        <f>IF(ISERROR(MATCH('Analysis backend'!$M$1,E1110:N1110,0)),"",'Analysis backend'!$L$1)</f>
        <v/>
      </c>
      <c r="U1110" t="str">
        <f>IF(T1110='Analysis backend'!$L$1,IF(ISERROR(MATCH('Analysis backend'!$M$1,E1110:I1110,0)),"Dire","Radiant"),"")</f>
        <v/>
      </c>
    </row>
    <row r="1111" spans="20:21" x14ac:dyDescent="0.3">
      <c r="T1111" t="str">
        <f>IF(ISERROR(MATCH('Analysis backend'!$M$1,E1111:N1111,0)),"",'Analysis backend'!$L$1)</f>
        <v/>
      </c>
      <c r="U1111" t="str">
        <f>IF(T1111='Analysis backend'!$L$1,IF(ISERROR(MATCH('Analysis backend'!$M$1,E1111:I1111,0)),"Dire","Radiant"),"")</f>
        <v/>
      </c>
    </row>
    <row r="1112" spans="20:21" x14ac:dyDescent="0.3">
      <c r="T1112" t="str">
        <f>IF(ISERROR(MATCH('Analysis backend'!$M$1,E1112:N1112,0)),"",'Analysis backend'!$L$1)</f>
        <v/>
      </c>
      <c r="U1112" t="str">
        <f>IF(T1112='Analysis backend'!$L$1,IF(ISERROR(MATCH('Analysis backend'!$M$1,E1112:I1112,0)),"Dire","Radiant"),"")</f>
        <v/>
      </c>
    </row>
    <row r="1113" spans="20:21" x14ac:dyDescent="0.3">
      <c r="T1113" t="str">
        <f>IF(ISERROR(MATCH('Analysis backend'!$M$1,E1113:N1113,0)),"",'Analysis backend'!$L$1)</f>
        <v/>
      </c>
      <c r="U1113" t="str">
        <f>IF(T1113='Analysis backend'!$L$1,IF(ISERROR(MATCH('Analysis backend'!$M$1,E1113:I1113,0)),"Dire","Radiant"),"")</f>
        <v/>
      </c>
    </row>
    <row r="1114" spans="20:21" x14ac:dyDescent="0.3">
      <c r="T1114" t="str">
        <f>IF(ISERROR(MATCH('Analysis backend'!$M$1,E1114:N1114,0)),"",'Analysis backend'!$L$1)</f>
        <v/>
      </c>
      <c r="U1114" t="str">
        <f>IF(T1114='Analysis backend'!$L$1,IF(ISERROR(MATCH('Analysis backend'!$M$1,E1114:I1114,0)),"Dire","Radiant"),"")</f>
        <v/>
      </c>
    </row>
    <row r="1115" spans="20:21" x14ac:dyDescent="0.3">
      <c r="T1115" t="str">
        <f>IF(ISERROR(MATCH('Analysis backend'!$M$1,E1115:N1115,0)),"",'Analysis backend'!$L$1)</f>
        <v/>
      </c>
      <c r="U1115" t="str">
        <f>IF(T1115='Analysis backend'!$L$1,IF(ISERROR(MATCH('Analysis backend'!$M$1,E1115:I1115,0)),"Dire","Radiant"),"")</f>
        <v/>
      </c>
    </row>
    <row r="1116" spans="20:21" x14ac:dyDescent="0.3">
      <c r="T1116" t="str">
        <f>IF(ISERROR(MATCH('Analysis backend'!$M$1,E1116:N1116,0)),"",'Analysis backend'!$L$1)</f>
        <v/>
      </c>
      <c r="U1116" t="str">
        <f>IF(T1116='Analysis backend'!$L$1,IF(ISERROR(MATCH('Analysis backend'!$M$1,E1116:I1116,0)),"Dire","Radiant"),"")</f>
        <v/>
      </c>
    </row>
    <row r="1117" spans="20:21" x14ac:dyDescent="0.3">
      <c r="T1117" t="str">
        <f>IF(ISERROR(MATCH('Analysis backend'!$M$1,E1117:N1117,0)),"",'Analysis backend'!$L$1)</f>
        <v/>
      </c>
      <c r="U1117" t="str">
        <f>IF(T1117='Analysis backend'!$L$1,IF(ISERROR(MATCH('Analysis backend'!$M$1,E1117:I1117,0)),"Dire","Radiant"),"")</f>
        <v/>
      </c>
    </row>
    <row r="1118" spans="20:21" x14ac:dyDescent="0.3">
      <c r="T1118" t="str">
        <f>IF(ISERROR(MATCH('Analysis backend'!$M$1,E1118:N1118,0)),"",'Analysis backend'!$L$1)</f>
        <v/>
      </c>
      <c r="U1118" t="str">
        <f>IF(T1118='Analysis backend'!$L$1,IF(ISERROR(MATCH('Analysis backend'!$M$1,E1118:I1118,0)),"Dire","Radiant"),"")</f>
        <v/>
      </c>
    </row>
    <row r="1119" spans="20:21" x14ac:dyDescent="0.3">
      <c r="T1119" t="str">
        <f>IF(ISERROR(MATCH('Analysis backend'!$M$1,E1119:N1119,0)),"",'Analysis backend'!$L$1)</f>
        <v/>
      </c>
      <c r="U1119" t="str">
        <f>IF(T1119='Analysis backend'!$L$1,IF(ISERROR(MATCH('Analysis backend'!$M$1,E1119:I1119,0)),"Dire","Radiant"),"")</f>
        <v/>
      </c>
    </row>
    <row r="1120" spans="20:21" x14ac:dyDescent="0.3">
      <c r="T1120" t="str">
        <f>IF(ISERROR(MATCH('Analysis backend'!$M$1,E1120:N1120,0)),"",'Analysis backend'!$L$1)</f>
        <v/>
      </c>
      <c r="U1120" t="str">
        <f>IF(T1120='Analysis backend'!$L$1,IF(ISERROR(MATCH('Analysis backend'!$M$1,E1120:I1120,0)),"Dire","Radiant"),"")</f>
        <v/>
      </c>
    </row>
    <row r="1121" spans="20:21" x14ac:dyDescent="0.3">
      <c r="T1121" t="str">
        <f>IF(ISERROR(MATCH('Analysis backend'!$M$1,E1121:N1121,0)),"",'Analysis backend'!$L$1)</f>
        <v/>
      </c>
      <c r="U1121" t="str">
        <f>IF(T1121='Analysis backend'!$L$1,IF(ISERROR(MATCH('Analysis backend'!$M$1,E1121:I1121,0)),"Dire","Radiant"),"")</f>
        <v/>
      </c>
    </row>
    <row r="1122" spans="20:21" x14ac:dyDescent="0.3">
      <c r="T1122" t="str">
        <f>IF(ISERROR(MATCH('Analysis backend'!$M$1,E1122:N1122,0)),"",'Analysis backend'!$L$1)</f>
        <v/>
      </c>
      <c r="U1122" t="str">
        <f>IF(T1122='Analysis backend'!$L$1,IF(ISERROR(MATCH('Analysis backend'!$M$1,E1122:I1122,0)),"Dire","Radiant"),"")</f>
        <v/>
      </c>
    </row>
    <row r="1123" spans="20:21" x14ac:dyDescent="0.3">
      <c r="T1123" t="str">
        <f>IF(ISERROR(MATCH('Analysis backend'!$M$1,E1123:N1123,0)),"",'Analysis backend'!$L$1)</f>
        <v/>
      </c>
      <c r="U1123" t="str">
        <f>IF(T1123='Analysis backend'!$L$1,IF(ISERROR(MATCH('Analysis backend'!$M$1,E1123:I1123,0)),"Dire","Radiant"),"")</f>
        <v/>
      </c>
    </row>
    <row r="1124" spans="20:21" x14ac:dyDescent="0.3">
      <c r="T1124" t="str">
        <f>IF(ISERROR(MATCH('Analysis backend'!$M$1,E1124:N1124,0)),"",'Analysis backend'!$L$1)</f>
        <v/>
      </c>
      <c r="U1124" t="str">
        <f>IF(T1124='Analysis backend'!$L$1,IF(ISERROR(MATCH('Analysis backend'!$M$1,E1124:I1124,0)),"Dire","Radiant"),"")</f>
        <v/>
      </c>
    </row>
    <row r="1125" spans="20:21" x14ac:dyDescent="0.3">
      <c r="T1125" t="str">
        <f>IF(ISERROR(MATCH('Analysis backend'!$M$1,E1125:N1125,0)),"",'Analysis backend'!$L$1)</f>
        <v/>
      </c>
      <c r="U1125" t="str">
        <f>IF(T1125='Analysis backend'!$L$1,IF(ISERROR(MATCH('Analysis backend'!$M$1,E1125:I1125,0)),"Dire","Radiant"),"")</f>
        <v/>
      </c>
    </row>
    <row r="1126" spans="20:21" x14ac:dyDescent="0.3">
      <c r="T1126" t="str">
        <f>IF(ISERROR(MATCH('Analysis backend'!$M$1,E1126:N1126,0)),"",'Analysis backend'!$L$1)</f>
        <v/>
      </c>
      <c r="U1126" t="str">
        <f>IF(T1126='Analysis backend'!$L$1,IF(ISERROR(MATCH('Analysis backend'!$M$1,E1126:I1126,0)),"Dire","Radiant"),"")</f>
        <v/>
      </c>
    </row>
    <row r="1127" spans="20:21" x14ac:dyDescent="0.3">
      <c r="T1127" t="str">
        <f>IF(ISERROR(MATCH('Analysis backend'!$M$1,E1127:N1127,0)),"",'Analysis backend'!$L$1)</f>
        <v/>
      </c>
      <c r="U1127" t="str">
        <f>IF(T1127='Analysis backend'!$L$1,IF(ISERROR(MATCH('Analysis backend'!$M$1,E1127:I1127,0)),"Dire","Radiant"),"")</f>
        <v/>
      </c>
    </row>
    <row r="1128" spans="20:21" x14ac:dyDescent="0.3">
      <c r="T1128" t="str">
        <f>IF(ISERROR(MATCH('Analysis backend'!$M$1,E1128:N1128,0)),"",'Analysis backend'!$L$1)</f>
        <v/>
      </c>
      <c r="U1128" t="str">
        <f>IF(T1128='Analysis backend'!$L$1,IF(ISERROR(MATCH('Analysis backend'!$M$1,E1128:I1128,0)),"Dire","Radiant"),"")</f>
        <v/>
      </c>
    </row>
    <row r="1129" spans="20:21" x14ac:dyDescent="0.3">
      <c r="T1129" t="str">
        <f>IF(ISERROR(MATCH('Analysis backend'!$M$1,E1129:N1129,0)),"",'Analysis backend'!$L$1)</f>
        <v/>
      </c>
      <c r="U1129" t="str">
        <f>IF(T1129='Analysis backend'!$L$1,IF(ISERROR(MATCH('Analysis backend'!$M$1,E1129:I1129,0)),"Dire","Radiant"),"")</f>
        <v/>
      </c>
    </row>
    <row r="1130" spans="20:21" x14ac:dyDescent="0.3">
      <c r="T1130" t="str">
        <f>IF(ISERROR(MATCH('Analysis backend'!$M$1,E1130:N1130,0)),"",'Analysis backend'!$L$1)</f>
        <v/>
      </c>
      <c r="U1130" t="str">
        <f>IF(T1130='Analysis backend'!$L$1,IF(ISERROR(MATCH('Analysis backend'!$M$1,E1130:I1130,0)),"Dire","Radiant"),"")</f>
        <v/>
      </c>
    </row>
    <row r="1131" spans="20:21" x14ac:dyDescent="0.3">
      <c r="T1131" t="str">
        <f>IF(ISERROR(MATCH('Analysis backend'!$M$1,E1131:N1131,0)),"",'Analysis backend'!$L$1)</f>
        <v/>
      </c>
      <c r="U1131" t="str">
        <f>IF(T1131='Analysis backend'!$L$1,IF(ISERROR(MATCH('Analysis backend'!$M$1,E1131:I1131,0)),"Dire","Radiant"),"")</f>
        <v/>
      </c>
    </row>
    <row r="1132" spans="20:21" x14ac:dyDescent="0.3">
      <c r="T1132" t="str">
        <f>IF(ISERROR(MATCH('Analysis backend'!$M$1,E1132:N1132,0)),"",'Analysis backend'!$L$1)</f>
        <v/>
      </c>
      <c r="U1132" t="str">
        <f>IF(T1132='Analysis backend'!$L$1,IF(ISERROR(MATCH('Analysis backend'!$M$1,E1132:I1132,0)),"Dire","Radiant"),"")</f>
        <v/>
      </c>
    </row>
    <row r="1133" spans="20:21" x14ac:dyDescent="0.3">
      <c r="T1133" t="str">
        <f>IF(ISERROR(MATCH('Analysis backend'!$M$1,E1133:N1133,0)),"",'Analysis backend'!$L$1)</f>
        <v/>
      </c>
      <c r="U1133" t="str">
        <f>IF(T1133='Analysis backend'!$L$1,IF(ISERROR(MATCH('Analysis backend'!$M$1,E1133:I1133,0)),"Dire","Radiant"),"")</f>
        <v/>
      </c>
    </row>
    <row r="1134" spans="20:21" x14ac:dyDescent="0.3">
      <c r="T1134" t="str">
        <f>IF(ISERROR(MATCH('Analysis backend'!$M$1,E1134:N1134,0)),"",'Analysis backend'!$L$1)</f>
        <v/>
      </c>
      <c r="U1134" t="str">
        <f>IF(T1134='Analysis backend'!$L$1,IF(ISERROR(MATCH('Analysis backend'!$M$1,E1134:I1134,0)),"Dire","Radiant"),"")</f>
        <v/>
      </c>
    </row>
    <row r="1135" spans="20:21" x14ac:dyDescent="0.3">
      <c r="T1135" t="str">
        <f>IF(ISERROR(MATCH('Analysis backend'!$M$1,E1135:N1135,0)),"",'Analysis backend'!$L$1)</f>
        <v/>
      </c>
      <c r="U1135" t="str">
        <f>IF(T1135='Analysis backend'!$L$1,IF(ISERROR(MATCH('Analysis backend'!$M$1,E1135:I1135,0)),"Dire","Radiant"),"")</f>
        <v/>
      </c>
    </row>
    <row r="1136" spans="20:21" x14ac:dyDescent="0.3">
      <c r="T1136" t="str">
        <f>IF(ISERROR(MATCH('Analysis backend'!$M$1,E1136:N1136,0)),"",'Analysis backend'!$L$1)</f>
        <v/>
      </c>
      <c r="U1136" t="str">
        <f>IF(T1136='Analysis backend'!$L$1,IF(ISERROR(MATCH('Analysis backend'!$M$1,E1136:I1136,0)),"Dire","Radiant"),"")</f>
        <v/>
      </c>
    </row>
    <row r="1137" spans="20:21" x14ac:dyDescent="0.3">
      <c r="T1137" t="str">
        <f>IF(ISERROR(MATCH('Analysis backend'!$M$1,E1137:N1137,0)),"",'Analysis backend'!$L$1)</f>
        <v/>
      </c>
      <c r="U1137" t="str">
        <f>IF(T1137='Analysis backend'!$L$1,IF(ISERROR(MATCH('Analysis backend'!$M$1,E1137:I1137,0)),"Dire","Radiant"),"")</f>
        <v/>
      </c>
    </row>
    <row r="1138" spans="20:21" x14ac:dyDescent="0.3">
      <c r="T1138" t="str">
        <f>IF(ISERROR(MATCH('Analysis backend'!$M$1,E1138:N1138,0)),"",'Analysis backend'!$L$1)</f>
        <v/>
      </c>
      <c r="U1138" t="str">
        <f>IF(T1138='Analysis backend'!$L$1,IF(ISERROR(MATCH('Analysis backend'!$M$1,E1138:I1138,0)),"Dire","Radiant"),"")</f>
        <v/>
      </c>
    </row>
    <row r="1139" spans="20:21" x14ac:dyDescent="0.3">
      <c r="T1139" t="str">
        <f>IF(ISERROR(MATCH('Analysis backend'!$M$1,E1139:N1139,0)),"",'Analysis backend'!$L$1)</f>
        <v/>
      </c>
      <c r="U1139" t="str">
        <f>IF(T1139='Analysis backend'!$L$1,IF(ISERROR(MATCH('Analysis backend'!$M$1,E1139:I1139,0)),"Dire","Radiant"),"")</f>
        <v/>
      </c>
    </row>
    <row r="1140" spans="20:21" x14ac:dyDescent="0.3">
      <c r="T1140" t="str">
        <f>IF(ISERROR(MATCH('Analysis backend'!$M$1,E1140:N1140,0)),"",'Analysis backend'!$L$1)</f>
        <v/>
      </c>
      <c r="U1140" t="str">
        <f>IF(T1140='Analysis backend'!$L$1,IF(ISERROR(MATCH('Analysis backend'!$M$1,E1140:I1140,0)),"Dire","Radiant"),"")</f>
        <v/>
      </c>
    </row>
    <row r="1141" spans="20:21" x14ac:dyDescent="0.3">
      <c r="T1141" t="str">
        <f>IF(ISERROR(MATCH('Analysis backend'!$M$1,E1141:N1141,0)),"",'Analysis backend'!$L$1)</f>
        <v/>
      </c>
      <c r="U1141" t="str">
        <f>IF(T1141='Analysis backend'!$L$1,IF(ISERROR(MATCH('Analysis backend'!$M$1,E1141:I1141,0)),"Dire","Radiant"),"")</f>
        <v/>
      </c>
    </row>
    <row r="1142" spans="20:21" x14ac:dyDescent="0.3">
      <c r="T1142" t="str">
        <f>IF(ISERROR(MATCH('Analysis backend'!$M$1,E1142:N1142,0)),"",'Analysis backend'!$L$1)</f>
        <v/>
      </c>
      <c r="U1142" t="str">
        <f>IF(T1142='Analysis backend'!$L$1,IF(ISERROR(MATCH('Analysis backend'!$M$1,E1142:I1142,0)),"Dire","Radiant"),"")</f>
        <v/>
      </c>
    </row>
    <row r="1143" spans="20:21" x14ac:dyDescent="0.3">
      <c r="T1143" t="str">
        <f>IF(ISERROR(MATCH('Analysis backend'!$M$1,E1143:N1143,0)),"",'Analysis backend'!$L$1)</f>
        <v/>
      </c>
      <c r="U1143" t="str">
        <f>IF(T1143='Analysis backend'!$L$1,IF(ISERROR(MATCH('Analysis backend'!$M$1,E1143:I1143,0)),"Dire","Radiant"),"")</f>
        <v/>
      </c>
    </row>
    <row r="1144" spans="20:21" x14ac:dyDescent="0.3">
      <c r="T1144" t="str">
        <f>IF(ISERROR(MATCH('Analysis backend'!$M$1,E1144:N1144,0)),"",'Analysis backend'!$L$1)</f>
        <v/>
      </c>
      <c r="U1144" t="str">
        <f>IF(T1144='Analysis backend'!$L$1,IF(ISERROR(MATCH('Analysis backend'!$M$1,E1144:I1144,0)),"Dire","Radiant"),"")</f>
        <v/>
      </c>
    </row>
    <row r="1145" spans="20:21" x14ac:dyDescent="0.3">
      <c r="T1145" t="str">
        <f>IF(ISERROR(MATCH('Analysis backend'!$M$1,E1145:N1145,0)),"",'Analysis backend'!$L$1)</f>
        <v/>
      </c>
      <c r="U1145" t="str">
        <f>IF(T1145='Analysis backend'!$L$1,IF(ISERROR(MATCH('Analysis backend'!$M$1,E1145:I1145,0)),"Dire","Radiant"),"")</f>
        <v/>
      </c>
    </row>
    <row r="1146" spans="20:21" x14ac:dyDescent="0.3">
      <c r="T1146" t="str">
        <f>IF(ISERROR(MATCH('Analysis backend'!$M$1,E1146:N1146,0)),"",'Analysis backend'!$L$1)</f>
        <v/>
      </c>
      <c r="U1146" t="str">
        <f>IF(T1146='Analysis backend'!$L$1,IF(ISERROR(MATCH('Analysis backend'!$M$1,E1146:I1146,0)),"Dire","Radiant"),"")</f>
        <v/>
      </c>
    </row>
    <row r="1147" spans="20:21" x14ac:dyDescent="0.3">
      <c r="T1147" t="str">
        <f>IF(ISERROR(MATCH('Analysis backend'!$M$1,E1147:N1147,0)),"",'Analysis backend'!$L$1)</f>
        <v/>
      </c>
      <c r="U1147" t="str">
        <f>IF(T1147='Analysis backend'!$L$1,IF(ISERROR(MATCH('Analysis backend'!$M$1,E1147:I1147,0)),"Dire","Radiant"),"")</f>
        <v/>
      </c>
    </row>
    <row r="1148" spans="20:21" x14ac:dyDescent="0.3">
      <c r="T1148" t="str">
        <f>IF(ISERROR(MATCH('Analysis backend'!$M$1,E1148:N1148,0)),"",'Analysis backend'!$L$1)</f>
        <v/>
      </c>
      <c r="U1148" t="str">
        <f>IF(T1148='Analysis backend'!$L$1,IF(ISERROR(MATCH('Analysis backend'!$M$1,E1148:I1148,0)),"Dire","Radiant"),"")</f>
        <v/>
      </c>
    </row>
    <row r="1149" spans="20:21" x14ac:dyDescent="0.3">
      <c r="T1149" t="str">
        <f>IF(ISERROR(MATCH('Analysis backend'!$M$1,E1149:N1149,0)),"",'Analysis backend'!$L$1)</f>
        <v/>
      </c>
      <c r="U1149" t="str">
        <f>IF(T1149='Analysis backend'!$L$1,IF(ISERROR(MATCH('Analysis backend'!$M$1,E1149:I1149,0)),"Dire","Radiant"),"")</f>
        <v/>
      </c>
    </row>
    <row r="1150" spans="20:21" x14ac:dyDescent="0.3">
      <c r="T1150" t="str">
        <f>IF(ISERROR(MATCH('Analysis backend'!$M$1,E1150:N1150,0)),"",'Analysis backend'!$L$1)</f>
        <v/>
      </c>
      <c r="U1150" t="str">
        <f>IF(T1150='Analysis backend'!$L$1,IF(ISERROR(MATCH('Analysis backend'!$M$1,E1150:I1150,0)),"Dire","Radiant"),"")</f>
        <v/>
      </c>
    </row>
    <row r="1151" spans="20:21" x14ac:dyDescent="0.3">
      <c r="T1151" t="str">
        <f>IF(ISERROR(MATCH('Analysis backend'!$M$1,E1151:N1151,0)),"",'Analysis backend'!$L$1)</f>
        <v/>
      </c>
      <c r="U1151" t="str">
        <f>IF(T1151='Analysis backend'!$L$1,IF(ISERROR(MATCH('Analysis backend'!$M$1,E1151:I1151,0)),"Dire","Radiant"),"")</f>
        <v/>
      </c>
    </row>
    <row r="1152" spans="20:21" x14ac:dyDescent="0.3">
      <c r="T1152" t="str">
        <f>IF(ISERROR(MATCH('Analysis backend'!$M$1,E1152:N1152,0)),"",'Analysis backend'!$L$1)</f>
        <v/>
      </c>
      <c r="U1152" t="str">
        <f>IF(T1152='Analysis backend'!$L$1,IF(ISERROR(MATCH('Analysis backend'!$M$1,E1152:I1152,0)),"Dire","Radiant"),"")</f>
        <v/>
      </c>
    </row>
    <row r="1153" spans="20:21" x14ac:dyDescent="0.3">
      <c r="T1153" t="str">
        <f>IF(ISERROR(MATCH('Analysis backend'!$M$1,E1153:N1153,0)),"",'Analysis backend'!$L$1)</f>
        <v/>
      </c>
      <c r="U1153" t="str">
        <f>IF(T1153='Analysis backend'!$L$1,IF(ISERROR(MATCH('Analysis backend'!$M$1,E1153:I1153,0)),"Dire","Radiant"),"")</f>
        <v/>
      </c>
    </row>
    <row r="1154" spans="20:21" x14ac:dyDescent="0.3">
      <c r="T1154" t="str">
        <f>IF(ISERROR(MATCH('Analysis backend'!$M$1,E1154:N1154,0)),"",'Analysis backend'!$L$1)</f>
        <v/>
      </c>
      <c r="U1154" t="str">
        <f>IF(T1154='Analysis backend'!$L$1,IF(ISERROR(MATCH('Analysis backend'!$M$1,E1154:I1154,0)),"Dire","Radiant"),"")</f>
        <v/>
      </c>
    </row>
    <row r="1155" spans="20:21" x14ac:dyDescent="0.3">
      <c r="T1155" t="str">
        <f>IF(ISERROR(MATCH('Analysis backend'!$M$1,E1155:N1155,0)),"",'Analysis backend'!$L$1)</f>
        <v/>
      </c>
      <c r="U1155" t="str">
        <f>IF(T1155='Analysis backend'!$L$1,IF(ISERROR(MATCH('Analysis backend'!$M$1,E1155:I1155,0)),"Dire","Radiant"),"")</f>
        <v/>
      </c>
    </row>
    <row r="1156" spans="20:21" x14ac:dyDescent="0.3">
      <c r="T1156" t="str">
        <f>IF(ISERROR(MATCH('Analysis backend'!$M$1,E1156:N1156,0)),"",'Analysis backend'!$L$1)</f>
        <v/>
      </c>
      <c r="U1156" t="str">
        <f>IF(T1156='Analysis backend'!$L$1,IF(ISERROR(MATCH('Analysis backend'!$M$1,E1156:I1156,0)),"Dire","Radiant"),"")</f>
        <v/>
      </c>
    </row>
    <row r="1157" spans="20:21" x14ac:dyDescent="0.3">
      <c r="T1157" t="str">
        <f>IF(ISERROR(MATCH('Analysis backend'!$M$1,E1157:N1157,0)),"",'Analysis backend'!$L$1)</f>
        <v/>
      </c>
      <c r="U1157" t="str">
        <f>IF(T1157='Analysis backend'!$L$1,IF(ISERROR(MATCH('Analysis backend'!$M$1,E1157:I1157,0)),"Dire","Radiant"),"")</f>
        <v/>
      </c>
    </row>
    <row r="1158" spans="20:21" x14ac:dyDescent="0.3">
      <c r="T1158" t="str">
        <f>IF(ISERROR(MATCH('Analysis backend'!$M$1,E1158:N1158,0)),"",'Analysis backend'!$L$1)</f>
        <v/>
      </c>
      <c r="U1158" t="str">
        <f>IF(T1158='Analysis backend'!$L$1,IF(ISERROR(MATCH('Analysis backend'!$M$1,E1158:I1158,0)),"Dire","Radiant"),"")</f>
        <v/>
      </c>
    </row>
    <row r="1159" spans="20:21" x14ac:dyDescent="0.3">
      <c r="T1159" t="str">
        <f>IF(ISERROR(MATCH('Analysis backend'!$M$1,E1159:N1159,0)),"",'Analysis backend'!$L$1)</f>
        <v/>
      </c>
      <c r="U1159" t="str">
        <f>IF(T1159='Analysis backend'!$L$1,IF(ISERROR(MATCH('Analysis backend'!$M$1,E1159:I1159,0)),"Dire","Radiant"),"")</f>
        <v/>
      </c>
    </row>
    <row r="1160" spans="20:21" x14ac:dyDescent="0.3">
      <c r="T1160" t="str">
        <f>IF(ISERROR(MATCH('Analysis backend'!$M$1,E1160:N1160,0)),"",'Analysis backend'!$L$1)</f>
        <v/>
      </c>
      <c r="U1160" t="str">
        <f>IF(T1160='Analysis backend'!$L$1,IF(ISERROR(MATCH('Analysis backend'!$M$1,E1160:I1160,0)),"Dire","Radiant"),"")</f>
        <v/>
      </c>
    </row>
    <row r="1161" spans="20:21" x14ac:dyDescent="0.3">
      <c r="T1161" t="str">
        <f>IF(ISERROR(MATCH('Analysis backend'!$M$1,E1161:N1161,0)),"",'Analysis backend'!$L$1)</f>
        <v/>
      </c>
      <c r="U1161" t="str">
        <f>IF(T1161='Analysis backend'!$L$1,IF(ISERROR(MATCH('Analysis backend'!$M$1,E1161:I1161,0)),"Dire","Radiant"),"")</f>
        <v/>
      </c>
    </row>
    <row r="1162" spans="20:21" x14ac:dyDescent="0.3">
      <c r="T1162" t="str">
        <f>IF(ISERROR(MATCH('Analysis backend'!$M$1,E1162:N1162,0)),"",'Analysis backend'!$L$1)</f>
        <v/>
      </c>
      <c r="U1162" t="str">
        <f>IF(T1162='Analysis backend'!$L$1,IF(ISERROR(MATCH('Analysis backend'!$M$1,E1162:I1162,0)),"Dire","Radiant"),"")</f>
        <v/>
      </c>
    </row>
    <row r="1163" spans="20:21" x14ac:dyDescent="0.3">
      <c r="T1163" t="str">
        <f>IF(ISERROR(MATCH('Analysis backend'!$M$1,E1163:N1163,0)),"",'Analysis backend'!$L$1)</f>
        <v/>
      </c>
      <c r="U1163" t="str">
        <f>IF(T1163='Analysis backend'!$L$1,IF(ISERROR(MATCH('Analysis backend'!$M$1,E1163:I1163,0)),"Dire","Radiant"),"")</f>
        <v/>
      </c>
    </row>
    <row r="1164" spans="20:21" x14ac:dyDescent="0.3">
      <c r="T1164" t="str">
        <f>IF(ISERROR(MATCH('Analysis backend'!$M$1,E1164:N1164,0)),"",'Analysis backend'!$L$1)</f>
        <v/>
      </c>
      <c r="U1164" t="str">
        <f>IF(T1164='Analysis backend'!$L$1,IF(ISERROR(MATCH('Analysis backend'!$M$1,E1164:I1164,0)),"Dire","Radiant"),"")</f>
        <v/>
      </c>
    </row>
    <row r="1165" spans="20:21" x14ac:dyDescent="0.3">
      <c r="T1165" t="str">
        <f>IF(ISERROR(MATCH('Analysis backend'!$M$1,E1165:N1165,0)),"",'Analysis backend'!$L$1)</f>
        <v/>
      </c>
      <c r="U1165" t="str">
        <f>IF(T1165='Analysis backend'!$L$1,IF(ISERROR(MATCH('Analysis backend'!$M$1,E1165:I1165,0)),"Dire","Radiant"),"")</f>
        <v/>
      </c>
    </row>
    <row r="1166" spans="20:21" x14ac:dyDescent="0.3">
      <c r="T1166" t="str">
        <f>IF(ISERROR(MATCH('Analysis backend'!$M$1,E1166:N1166,0)),"",'Analysis backend'!$L$1)</f>
        <v/>
      </c>
      <c r="U1166" t="str">
        <f>IF(T1166='Analysis backend'!$L$1,IF(ISERROR(MATCH('Analysis backend'!$M$1,E1166:I1166,0)),"Dire","Radiant"),"")</f>
        <v/>
      </c>
    </row>
    <row r="1167" spans="20:21" x14ac:dyDescent="0.3">
      <c r="T1167" t="str">
        <f>IF(ISERROR(MATCH('Analysis backend'!$M$1,E1167:N1167,0)),"",'Analysis backend'!$L$1)</f>
        <v/>
      </c>
      <c r="U1167" t="str">
        <f>IF(T1167='Analysis backend'!$L$1,IF(ISERROR(MATCH('Analysis backend'!$M$1,E1167:I1167,0)),"Dire","Radiant"),"")</f>
        <v/>
      </c>
    </row>
    <row r="1168" spans="20:21" x14ac:dyDescent="0.3">
      <c r="T1168" t="str">
        <f>IF(ISERROR(MATCH('Analysis backend'!$M$1,E1168:N1168,0)),"",'Analysis backend'!$L$1)</f>
        <v/>
      </c>
      <c r="U1168" t="str">
        <f>IF(T1168='Analysis backend'!$L$1,IF(ISERROR(MATCH('Analysis backend'!$M$1,E1168:I1168,0)),"Dire","Radiant"),"")</f>
        <v/>
      </c>
    </row>
    <row r="1169" spans="20:21" x14ac:dyDescent="0.3">
      <c r="T1169" t="str">
        <f>IF(ISERROR(MATCH('Analysis backend'!$M$1,E1169:N1169,0)),"",'Analysis backend'!$L$1)</f>
        <v/>
      </c>
      <c r="U1169" t="str">
        <f>IF(T1169='Analysis backend'!$L$1,IF(ISERROR(MATCH('Analysis backend'!$M$1,E1169:I1169,0)),"Dire","Radiant"),"")</f>
        <v/>
      </c>
    </row>
    <row r="1170" spans="20:21" x14ac:dyDescent="0.3">
      <c r="T1170" t="str">
        <f>IF(ISERROR(MATCH('Analysis backend'!$M$1,E1170:N1170,0)),"",'Analysis backend'!$L$1)</f>
        <v/>
      </c>
      <c r="U1170" t="str">
        <f>IF(T1170='Analysis backend'!$L$1,IF(ISERROR(MATCH('Analysis backend'!$M$1,E1170:I1170,0)),"Dire","Radiant"),"")</f>
        <v/>
      </c>
    </row>
    <row r="1171" spans="20:21" x14ac:dyDescent="0.3">
      <c r="T1171" t="str">
        <f>IF(ISERROR(MATCH('Analysis backend'!$M$1,E1171:N1171,0)),"",'Analysis backend'!$L$1)</f>
        <v/>
      </c>
      <c r="U1171" t="str">
        <f>IF(T1171='Analysis backend'!$L$1,IF(ISERROR(MATCH('Analysis backend'!$M$1,E1171:I1171,0)),"Dire","Radiant"),"")</f>
        <v/>
      </c>
    </row>
    <row r="1172" spans="20:21" x14ac:dyDescent="0.3">
      <c r="T1172" t="str">
        <f>IF(ISERROR(MATCH('Analysis backend'!$M$1,E1172:N1172,0)),"",'Analysis backend'!$L$1)</f>
        <v/>
      </c>
      <c r="U1172" t="str">
        <f>IF(T1172='Analysis backend'!$L$1,IF(ISERROR(MATCH('Analysis backend'!$M$1,E1172:I1172,0)),"Dire","Radiant"),"")</f>
        <v/>
      </c>
    </row>
    <row r="1173" spans="20:21" x14ac:dyDescent="0.3">
      <c r="T1173" t="str">
        <f>IF(ISERROR(MATCH('Analysis backend'!$M$1,E1173:N1173,0)),"",'Analysis backend'!$L$1)</f>
        <v/>
      </c>
      <c r="U1173" t="str">
        <f>IF(T1173='Analysis backend'!$L$1,IF(ISERROR(MATCH('Analysis backend'!$M$1,E1173:I1173,0)),"Dire","Radiant"),"")</f>
        <v/>
      </c>
    </row>
    <row r="1174" spans="20:21" x14ac:dyDescent="0.3">
      <c r="T1174" t="str">
        <f>IF(ISERROR(MATCH('Analysis backend'!$M$1,E1174:N1174,0)),"",'Analysis backend'!$L$1)</f>
        <v/>
      </c>
      <c r="U1174" t="str">
        <f>IF(T1174='Analysis backend'!$L$1,IF(ISERROR(MATCH('Analysis backend'!$M$1,E1174:I1174,0)),"Dire","Radiant"),"")</f>
        <v/>
      </c>
    </row>
    <row r="1175" spans="20:21" x14ac:dyDescent="0.3">
      <c r="T1175" t="str">
        <f>IF(ISERROR(MATCH('Analysis backend'!$M$1,E1175:N1175,0)),"",'Analysis backend'!$L$1)</f>
        <v/>
      </c>
      <c r="U1175" t="str">
        <f>IF(T1175='Analysis backend'!$L$1,IF(ISERROR(MATCH('Analysis backend'!$M$1,E1175:I1175,0)),"Dire","Radiant"),"")</f>
        <v/>
      </c>
    </row>
    <row r="1176" spans="20:21" x14ac:dyDescent="0.3">
      <c r="T1176" t="str">
        <f>IF(ISERROR(MATCH('Analysis backend'!$M$1,E1176:N1176,0)),"",'Analysis backend'!$L$1)</f>
        <v/>
      </c>
      <c r="U1176" t="str">
        <f>IF(T1176='Analysis backend'!$L$1,IF(ISERROR(MATCH('Analysis backend'!$M$1,E1176:I1176,0)),"Dire","Radiant"),"")</f>
        <v/>
      </c>
    </row>
    <row r="1177" spans="20:21" x14ac:dyDescent="0.3">
      <c r="T1177" t="str">
        <f>IF(ISERROR(MATCH('Analysis backend'!$M$1,E1177:N1177,0)),"",'Analysis backend'!$L$1)</f>
        <v/>
      </c>
      <c r="U1177" t="str">
        <f>IF(T1177='Analysis backend'!$L$1,IF(ISERROR(MATCH('Analysis backend'!$M$1,E1177:I1177,0)),"Dire","Radiant"),"")</f>
        <v/>
      </c>
    </row>
    <row r="1178" spans="20:21" x14ac:dyDescent="0.3">
      <c r="T1178" t="str">
        <f>IF(ISERROR(MATCH('Analysis backend'!$M$1,E1178:N1178,0)),"",'Analysis backend'!$L$1)</f>
        <v/>
      </c>
      <c r="U1178" t="str">
        <f>IF(T1178='Analysis backend'!$L$1,IF(ISERROR(MATCH('Analysis backend'!$M$1,E1178:I1178,0)),"Dire","Radiant"),"")</f>
        <v/>
      </c>
    </row>
    <row r="1179" spans="20:21" x14ac:dyDescent="0.3">
      <c r="T1179" t="str">
        <f>IF(ISERROR(MATCH('Analysis backend'!$M$1,E1179:N1179,0)),"",'Analysis backend'!$L$1)</f>
        <v/>
      </c>
      <c r="U1179" t="str">
        <f>IF(T1179='Analysis backend'!$L$1,IF(ISERROR(MATCH('Analysis backend'!$M$1,E1179:I1179,0)),"Dire","Radiant"),"")</f>
        <v/>
      </c>
    </row>
    <row r="1180" spans="20:21" x14ac:dyDescent="0.3">
      <c r="T1180" t="str">
        <f>IF(ISERROR(MATCH('Analysis backend'!$M$1,E1180:N1180,0)),"",'Analysis backend'!$L$1)</f>
        <v/>
      </c>
      <c r="U1180" t="str">
        <f>IF(T1180='Analysis backend'!$L$1,IF(ISERROR(MATCH('Analysis backend'!$M$1,E1180:I1180,0)),"Dire","Radiant"),"")</f>
        <v/>
      </c>
    </row>
    <row r="1181" spans="20:21" x14ac:dyDescent="0.3">
      <c r="T1181" t="str">
        <f>IF(ISERROR(MATCH('Analysis backend'!$M$1,E1181:N1181,0)),"",'Analysis backend'!$L$1)</f>
        <v/>
      </c>
      <c r="U1181" t="str">
        <f>IF(T1181='Analysis backend'!$L$1,IF(ISERROR(MATCH('Analysis backend'!$M$1,E1181:I1181,0)),"Dire","Radiant"),"")</f>
        <v/>
      </c>
    </row>
    <row r="1182" spans="20:21" x14ac:dyDescent="0.3">
      <c r="T1182" t="str">
        <f>IF(ISERROR(MATCH('Analysis backend'!$M$1,E1182:N1182,0)),"",'Analysis backend'!$L$1)</f>
        <v/>
      </c>
      <c r="U1182" t="str">
        <f>IF(T1182='Analysis backend'!$L$1,IF(ISERROR(MATCH('Analysis backend'!$M$1,E1182:I1182,0)),"Dire","Radiant"),"")</f>
        <v/>
      </c>
    </row>
    <row r="1183" spans="20:21" x14ac:dyDescent="0.3">
      <c r="T1183" t="str">
        <f>IF(ISERROR(MATCH('Analysis backend'!$M$1,E1183:N1183,0)),"",'Analysis backend'!$L$1)</f>
        <v/>
      </c>
      <c r="U1183" t="str">
        <f>IF(T1183='Analysis backend'!$L$1,IF(ISERROR(MATCH('Analysis backend'!$M$1,E1183:I1183,0)),"Dire","Radiant"),"")</f>
        <v/>
      </c>
    </row>
    <row r="1184" spans="20:21" x14ac:dyDescent="0.3">
      <c r="T1184" t="str">
        <f>IF(ISERROR(MATCH('Analysis backend'!$M$1,E1184:N1184,0)),"",'Analysis backend'!$L$1)</f>
        <v/>
      </c>
      <c r="U1184" t="str">
        <f>IF(T1184='Analysis backend'!$L$1,IF(ISERROR(MATCH('Analysis backend'!$M$1,E1184:I1184,0)),"Dire","Radiant"),"")</f>
        <v/>
      </c>
    </row>
    <row r="1185" spans="20:21" x14ac:dyDescent="0.3">
      <c r="T1185" t="str">
        <f>IF(ISERROR(MATCH('Analysis backend'!$M$1,E1185:N1185,0)),"",'Analysis backend'!$L$1)</f>
        <v/>
      </c>
      <c r="U1185" t="str">
        <f>IF(T1185='Analysis backend'!$L$1,IF(ISERROR(MATCH('Analysis backend'!$M$1,E1185:I1185,0)),"Dire","Radiant"),"")</f>
        <v/>
      </c>
    </row>
    <row r="1186" spans="20:21" x14ac:dyDescent="0.3">
      <c r="T1186" t="str">
        <f>IF(ISERROR(MATCH('Analysis backend'!$M$1,E1186:N1186,0)),"",'Analysis backend'!$L$1)</f>
        <v/>
      </c>
      <c r="U1186" t="str">
        <f>IF(T1186='Analysis backend'!$L$1,IF(ISERROR(MATCH('Analysis backend'!$M$1,E1186:I1186,0)),"Dire","Radiant"),"")</f>
        <v/>
      </c>
    </row>
    <row r="1187" spans="20:21" x14ac:dyDescent="0.3">
      <c r="T1187" t="str">
        <f>IF(ISERROR(MATCH('Analysis backend'!$M$1,E1187:N1187,0)),"",'Analysis backend'!$L$1)</f>
        <v/>
      </c>
      <c r="U1187" t="str">
        <f>IF(T1187='Analysis backend'!$L$1,IF(ISERROR(MATCH('Analysis backend'!$M$1,E1187:I1187,0)),"Dire","Radiant"),"")</f>
        <v/>
      </c>
    </row>
    <row r="1188" spans="20:21" x14ac:dyDescent="0.3">
      <c r="T1188" t="str">
        <f>IF(ISERROR(MATCH('Analysis backend'!$M$1,E1188:N1188,0)),"",'Analysis backend'!$L$1)</f>
        <v/>
      </c>
      <c r="U1188" t="str">
        <f>IF(T1188='Analysis backend'!$L$1,IF(ISERROR(MATCH('Analysis backend'!$M$1,E1188:I1188,0)),"Dire","Radiant"),"")</f>
        <v/>
      </c>
    </row>
    <row r="1189" spans="20:21" x14ac:dyDescent="0.3">
      <c r="T1189" t="str">
        <f>IF(ISERROR(MATCH('Analysis backend'!$M$1,E1189:N1189,0)),"",'Analysis backend'!$L$1)</f>
        <v/>
      </c>
      <c r="U1189" t="str">
        <f>IF(T1189='Analysis backend'!$L$1,IF(ISERROR(MATCH('Analysis backend'!$M$1,E1189:I1189,0)),"Dire","Radiant"),"")</f>
        <v/>
      </c>
    </row>
    <row r="1190" spans="20:21" x14ac:dyDescent="0.3">
      <c r="T1190" t="str">
        <f>IF(ISERROR(MATCH('Analysis backend'!$M$1,E1190:N1190,0)),"",'Analysis backend'!$L$1)</f>
        <v/>
      </c>
      <c r="U1190" t="str">
        <f>IF(T1190='Analysis backend'!$L$1,IF(ISERROR(MATCH('Analysis backend'!$M$1,E1190:I1190,0)),"Dire","Radiant"),"")</f>
        <v/>
      </c>
    </row>
    <row r="1191" spans="20:21" x14ac:dyDescent="0.3">
      <c r="T1191" t="str">
        <f>IF(ISERROR(MATCH('Analysis backend'!$M$1,E1191:N1191,0)),"",'Analysis backend'!$L$1)</f>
        <v/>
      </c>
      <c r="U1191" t="str">
        <f>IF(T1191='Analysis backend'!$L$1,IF(ISERROR(MATCH('Analysis backend'!$M$1,E1191:I1191,0)),"Dire","Radiant"),"")</f>
        <v/>
      </c>
    </row>
    <row r="1192" spans="20:21" x14ac:dyDescent="0.3">
      <c r="T1192" t="str">
        <f>IF(ISERROR(MATCH('Analysis backend'!$M$1,E1192:N1192,0)),"",'Analysis backend'!$L$1)</f>
        <v/>
      </c>
      <c r="U1192" t="str">
        <f>IF(T1192='Analysis backend'!$L$1,IF(ISERROR(MATCH('Analysis backend'!$M$1,E1192:I1192,0)),"Dire","Radiant"),"")</f>
        <v/>
      </c>
    </row>
    <row r="1193" spans="20:21" x14ac:dyDescent="0.3">
      <c r="T1193" t="str">
        <f>IF(ISERROR(MATCH('Analysis backend'!$M$1,E1193:N1193,0)),"",'Analysis backend'!$L$1)</f>
        <v/>
      </c>
      <c r="U1193" t="str">
        <f>IF(T1193='Analysis backend'!$L$1,IF(ISERROR(MATCH('Analysis backend'!$M$1,E1193:I1193,0)),"Dire","Radiant"),"")</f>
        <v/>
      </c>
    </row>
    <row r="1194" spans="20:21" x14ac:dyDescent="0.3">
      <c r="T1194" t="str">
        <f>IF(ISERROR(MATCH('Analysis backend'!$M$1,E1194:N1194,0)),"",'Analysis backend'!$L$1)</f>
        <v/>
      </c>
      <c r="U1194" t="str">
        <f>IF(T1194='Analysis backend'!$L$1,IF(ISERROR(MATCH('Analysis backend'!$M$1,E1194:I1194,0)),"Dire","Radiant"),"")</f>
        <v/>
      </c>
    </row>
    <row r="1195" spans="20:21" x14ac:dyDescent="0.3">
      <c r="T1195" t="str">
        <f>IF(ISERROR(MATCH('Analysis backend'!$M$1,E1195:N1195,0)),"",'Analysis backend'!$L$1)</f>
        <v/>
      </c>
      <c r="U1195" t="str">
        <f>IF(T1195='Analysis backend'!$L$1,IF(ISERROR(MATCH('Analysis backend'!$M$1,E1195:I1195,0)),"Dire","Radiant"),"")</f>
        <v/>
      </c>
    </row>
    <row r="1196" spans="20:21" x14ac:dyDescent="0.3">
      <c r="T1196" t="str">
        <f>IF(ISERROR(MATCH('Analysis backend'!$M$1,E1196:N1196,0)),"",'Analysis backend'!$L$1)</f>
        <v/>
      </c>
      <c r="U1196" t="str">
        <f>IF(T1196='Analysis backend'!$L$1,IF(ISERROR(MATCH('Analysis backend'!$M$1,E1196:I1196,0)),"Dire","Radiant"),"")</f>
        <v/>
      </c>
    </row>
    <row r="1197" spans="20:21" x14ac:dyDescent="0.3">
      <c r="T1197" t="str">
        <f>IF(ISERROR(MATCH('Analysis backend'!$M$1,E1197:N1197,0)),"",'Analysis backend'!$L$1)</f>
        <v/>
      </c>
      <c r="U1197" t="str">
        <f>IF(T1197='Analysis backend'!$L$1,IF(ISERROR(MATCH('Analysis backend'!$M$1,E1197:I1197,0)),"Dire","Radiant"),"")</f>
        <v/>
      </c>
    </row>
    <row r="1198" spans="20:21" x14ac:dyDescent="0.3">
      <c r="T1198" t="str">
        <f>IF(ISERROR(MATCH('Analysis backend'!$M$1,E1198:N1198,0)),"",'Analysis backend'!$L$1)</f>
        <v/>
      </c>
      <c r="U1198" t="str">
        <f>IF(T1198='Analysis backend'!$L$1,IF(ISERROR(MATCH('Analysis backend'!$M$1,E1198:I1198,0)),"Dire","Radiant"),"")</f>
        <v/>
      </c>
    </row>
    <row r="1199" spans="20:21" x14ac:dyDescent="0.3">
      <c r="T1199" t="str">
        <f>IF(ISERROR(MATCH('Analysis backend'!$M$1,E1199:N1199,0)),"",'Analysis backend'!$L$1)</f>
        <v/>
      </c>
      <c r="U1199" t="str">
        <f>IF(T1199='Analysis backend'!$L$1,IF(ISERROR(MATCH('Analysis backend'!$M$1,E1199:I1199,0)),"Dire","Radiant"),"")</f>
        <v/>
      </c>
    </row>
    <row r="1200" spans="20:21" x14ac:dyDescent="0.3">
      <c r="T1200" t="str">
        <f>IF(ISERROR(MATCH('Analysis backend'!$M$1,E1200:N1200,0)),"",'Analysis backend'!$L$1)</f>
        <v/>
      </c>
      <c r="U1200" t="str">
        <f>IF(T1200='Analysis backend'!$L$1,IF(ISERROR(MATCH('Analysis backend'!$M$1,E1200:I1200,0)),"Dire","Radiant"),"")</f>
        <v/>
      </c>
    </row>
    <row r="1201" spans="20:21" x14ac:dyDescent="0.3">
      <c r="T1201" t="str">
        <f>IF(ISERROR(MATCH('Analysis backend'!$M$1,E1201:N1201,0)),"",'Analysis backend'!$L$1)</f>
        <v/>
      </c>
      <c r="U1201" t="str">
        <f>IF(T1201='Analysis backend'!$L$1,IF(ISERROR(MATCH('Analysis backend'!$M$1,E1201:I1201,0)),"Dire","Radiant"),"")</f>
        <v/>
      </c>
    </row>
    <row r="1202" spans="20:21" x14ac:dyDescent="0.3">
      <c r="T1202" t="str">
        <f>IF(ISERROR(MATCH('Analysis backend'!$M$1,E1202:N1202,0)),"",'Analysis backend'!$L$1)</f>
        <v/>
      </c>
      <c r="U1202" t="str">
        <f>IF(T1202='Analysis backend'!$L$1,IF(ISERROR(MATCH('Analysis backend'!$M$1,E1202:I1202,0)),"Dire","Radiant"),"")</f>
        <v/>
      </c>
    </row>
    <row r="1203" spans="20:21" x14ac:dyDescent="0.3">
      <c r="T1203" t="str">
        <f>IF(ISERROR(MATCH('Analysis backend'!$M$1,E1203:N1203,0)),"",'Analysis backend'!$L$1)</f>
        <v/>
      </c>
      <c r="U1203" t="str">
        <f>IF(T1203='Analysis backend'!$L$1,IF(ISERROR(MATCH('Analysis backend'!$M$1,E1203:I1203,0)),"Dire","Radiant"),"")</f>
        <v/>
      </c>
    </row>
    <row r="1204" spans="20:21" x14ac:dyDescent="0.3">
      <c r="T1204" t="str">
        <f>IF(ISERROR(MATCH('Analysis backend'!$M$1,E1204:N1204,0)),"",'Analysis backend'!$L$1)</f>
        <v/>
      </c>
      <c r="U1204" t="str">
        <f>IF(T1204='Analysis backend'!$L$1,IF(ISERROR(MATCH('Analysis backend'!$M$1,E1204:I1204,0)),"Dire","Radiant"),"")</f>
        <v/>
      </c>
    </row>
    <row r="1205" spans="20:21" x14ac:dyDescent="0.3">
      <c r="T1205" t="str">
        <f>IF(ISERROR(MATCH('Analysis backend'!$M$1,E1205:N1205,0)),"",'Analysis backend'!$L$1)</f>
        <v/>
      </c>
      <c r="U1205" t="str">
        <f>IF(T1205='Analysis backend'!$L$1,IF(ISERROR(MATCH('Analysis backend'!$M$1,E1205:I1205,0)),"Dire","Radiant"),"")</f>
        <v/>
      </c>
    </row>
    <row r="1206" spans="20:21" x14ac:dyDescent="0.3">
      <c r="T1206" t="str">
        <f>IF(ISERROR(MATCH('Analysis backend'!$M$1,E1206:N1206,0)),"",'Analysis backend'!$L$1)</f>
        <v/>
      </c>
      <c r="U1206" t="str">
        <f>IF(T1206='Analysis backend'!$L$1,IF(ISERROR(MATCH('Analysis backend'!$M$1,E1206:I1206,0)),"Dire","Radiant"),"")</f>
        <v/>
      </c>
    </row>
    <row r="1207" spans="20:21" x14ac:dyDescent="0.3">
      <c r="T1207" t="str">
        <f>IF(ISERROR(MATCH('Analysis backend'!$M$1,E1207:N1207,0)),"",'Analysis backend'!$L$1)</f>
        <v/>
      </c>
      <c r="U1207" t="str">
        <f>IF(T1207='Analysis backend'!$L$1,IF(ISERROR(MATCH('Analysis backend'!$M$1,E1207:I1207,0)),"Dire","Radiant"),"")</f>
        <v/>
      </c>
    </row>
    <row r="1208" spans="20:21" x14ac:dyDescent="0.3">
      <c r="T1208" t="str">
        <f>IF(ISERROR(MATCH('Analysis backend'!$M$1,E1208:N1208,0)),"",'Analysis backend'!$L$1)</f>
        <v/>
      </c>
      <c r="U1208" t="str">
        <f>IF(T1208='Analysis backend'!$L$1,IF(ISERROR(MATCH('Analysis backend'!$M$1,E1208:I1208,0)),"Dire","Radiant"),"")</f>
        <v/>
      </c>
    </row>
    <row r="1209" spans="20:21" x14ac:dyDescent="0.3">
      <c r="T1209" t="str">
        <f>IF(ISERROR(MATCH('Analysis backend'!$M$1,E1209:N1209,0)),"",'Analysis backend'!$L$1)</f>
        <v/>
      </c>
      <c r="U1209" t="str">
        <f>IF(T1209='Analysis backend'!$L$1,IF(ISERROR(MATCH('Analysis backend'!$M$1,E1209:I1209,0)),"Dire","Radiant"),"")</f>
        <v/>
      </c>
    </row>
    <row r="1210" spans="20:21" x14ac:dyDescent="0.3">
      <c r="T1210" t="str">
        <f>IF(ISERROR(MATCH('Analysis backend'!$M$1,E1210:N1210,0)),"",'Analysis backend'!$L$1)</f>
        <v/>
      </c>
      <c r="U1210" t="str">
        <f>IF(T1210='Analysis backend'!$L$1,IF(ISERROR(MATCH('Analysis backend'!$M$1,E1210:I1210,0)),"Dire","Radiant"),"")</f>
        <v/>
      </c>
    </row>
    <row r="1211" spans="20:21" x14ac:dyDescent="0.3">
      <c r="T1211" t="str">
        <f>IF(ISERROR(MATCH('Analysis backend'!$M$1,E1211:N1211,0)),"",'Analysis backend'!$L$1)</f>
        <v/>
      </c>
      <c r="U1211" t="str">
        <f>IF(T1211='Analysis backend'!$L$1,IF(ISERROR(MATCH('Analysis backend'!$M$1,E1211:I1211,0)),"Dire","Radiant"),"")</f>
        <v/>
      </c>
    </row>
    <row r="1212" spans="20:21" x14ac:dyDescent="0.3">
      <c r="T1212" t="str">
        <f>IF(ISERROR(MATCH('Analysis backend'!$M$1,E1212:N1212,0)),"",'Analysis backend'!$L$1)</f>
        <v/>
      </c>
      <c r="U1212" t="str">
        <f>IF(T1212='Analysis backend'!$L$1,IF(ISERROR(MATCH('Analysis backend'!$M$1,E1212:I1212,0)),"Dire","Radiant"),"")</f>
        <v/>
      </c>
    </row>
    <row r="1213" spans="20:21" x14ac:dyDescent="0.3">
      <c r="T1213" t="str">
        <f>IF(ISERROR(MATCH('Analysis backend'!$M$1,E1213:N1213,0)),"",'Analysis backend'!$L$1)</f>
        <v/>
      </c>
      <c r="U1213" t="str">
        <f>IF(T1213='Analysis backend'!$L$1,IF(ISERROR(MATCH('Analysis backend'!$M$1,E1213:I1213,0)),"Dire","Radiant"),"")</f>
        <v/>
      </c>
    </row>
    <row r="1214" spans="20:21" x14ac:dyDescent="0.3">
      <c r="T1214" t="str">
        <f>IF(ISERROR(MATCH('Analysis backend'!$M$1,E1214:N1214,0)),"",'Analysis backend'!$L$1)</f>
        <v/>
      </c>
      <c r="U1214" t="str">
        <f>IF(T1214='Analysis backend'!$L$1,IF(ISERROR(MATCH('Analysis backend'!$M$1,E1214:I1214,0)),"Dire","Radiant"),"")</f>
        <v/>
      </c>
    </row>
    <row r="1215" spans="20:21" x14ac:dyDescent="0.3">
      <c r="T1215" t="str">
        <f>IF(ISERROR(MATCH('Analysis backend'!$M$1,E1215:N1215,0)),"",'Analysis backend'!$L$1)</f>
        <v/>
      </c>
      <c r="U1215" t="str">
        <f>IF(T1215='Analysis backend'!$L$1,IF(ISERROR(MATCH('Analysis backend'!$M$1,E1215:I1215,0)),"Dire","Radiant"),"")</f>
        <v/>
      </c>
    </row>
    <row r="1216" spans="20:21" x14ac:dyDescent="0.3">
      <c r="T1216" t="str">
        <f>IF(ISERROR(MATCH('Analysis backend'!$M$1,E1216:N1216,0)),"",'Analysis backend'!$L$1)</f>
        <v/>
      </c>
      <c r="U1216" t="str">
        <f>IF(T1216='Analysis backend'!$L$1,IF(ISERROR(MATCH('Analysis backend'!$M$1,E1216:I1216,0)),"Dire","Radiant"),"")</f>
        <v/>
      </c>
    </row>
    <row r="1217" spans="20:21" x14ac:dyDescent="0.3">
      <c r="T1217" t="str">
        <f>IF(ISERROR(MATCH('Analysis backend'!$M$1,E1217:N1217,0)),"",'Analysis backend'!$L$1)</f>
        <v/>
      </c>
      <c r="U1217" t="str">
        <f>IF(T1217='Analysis backend'!$L$1,IF(ISERROR(MATCH('Analysis backend'!$M$1,E1217:I1217,0)),"Dire","Radiant"),"")</f>
        <v/>
      </c>
    </row>
    <row r="1218" spans="20:21" x14ac:dyDescent="0.3">
      <c r="T1218" t="str">
        <f>IF(ISERROR(MATCH('Analysis backend'!$M$1,E1218:N1218,0)),"",'Analysis backend'!$L$1)</f>
        <v/>
      </c>
      <c r="U1218" t="str">
        <f>IF(T1218='Analysis backend'!$L$1,IF(ISERROR(MATCH('Analysis backend'!$M$1,E1218:I1218,0)),"Dire","Radiant"),"")</f>
        <v/>
      </c>
    </row>
    <row r="1219" spans="20:21" x14ac:dyDescent="0.3">
      <c r="T1219" t="str">
        <f>IF(ISERROR(MATCH('Analysis backend'!$M$1,E1219:N1219,0)),"",'Analysis backend'!$L$1)</f>
        <v/>
      </c>
      <c r="U1219" t="str">
        <f>IF(T1219='Analysis backend'!$L$1,IF(ISERROR(MATCH('Analysis backend'!$M$1,E1219:I1219,0)),"Dire","Radiant"),"")</f>
        <v/>
      </c>
    </row>
    <row r="1220" spans="20:21" x14ac:dyDescent="0.3">
      <c r="T1220" t="str">
        <f>IF(ISERROR(MATCH('Analysis backend'!$M$1,E1220:N1220,0)),"",'Analysis backend'!$L$1)</f>
        <v/>
      </c>
      <c r="U1220" t="str">
        <f>IF(T1220='Analysis backend'!$L$1,IF(ISERROR(MATCH('Analysis backend'!$M$1,E1220:I1220,0)),"Dire","Radiant"),"")</f>
        <v/>
      </c>
    </row>
    <row r="1221" spans="20:21" x14ac:dyDescent="0.3">
      <c r="T1221" t="str">
        <f>IF(ISERROR(MATCH('Analysis backend'!$M$1,E1221:N1221,0)),"",'Analysis backend'!$L$1)</f>
        <v/>
      </c>
      <c r="U1221" t="str">
        <f>IF(T1221='Analysis backend'!$L$1,IF(ISERROR(MATCH('Analysis backend'!$M$1,E1221:I1221,0)),"Dire","Radiant"),"")</f>
        <v/>
      </c>
    </row>
    <row r="1222" spans="20:21" x14ac:dyDescent="0.3">
      <c r="T1222" t="str">
        <f>IF(ISERROR(MATCH('Analysis backend'!$M$1,E1222:N1222,0)),"",'Analysis backend'!$L$1)</f>
        <v/>
      </c>
      <c r="U1222" t="str">
        <f>IF(T1222='Analysis backend'!$L$1,IF(ISERROR(MATCH('Analysis backend'!$M$1,E1222:I1222,0)),"Dire","Radiant"),"")</f>
        <v/>
      </c>
    </row>
    <row r="1223" spans="20:21" x14ac:dyDescent="0.3">
      <c r="T1223" t="str">
        <f>IF(ISERROR(MATCH('Analysis backend'!$M$1,E1223:N1223,0)),"",'Analysis backend'!$L$1)</f>
        <v/>
      </c>
      <c r="U1223" t="str">
        <f>IF(T1223='Analysis backend'!$L$1,IF(ISERROR(MATCH('Analysis backend'!$M$1,E1223:I1223,0)),"Dire","Radiant"),"")</f>
        <v/>
      </c>
    </row>
    <row r="1224" spans="20:21" x14ac:dyDescent="0.3">
      <c r="T1224" t="str">
        <f>IF(ISERROR(MATCH('Analysis backend'!$M$1,E1224:N1224,0)),"",'Analysis backend'!$L$1)</f>
        <v/>
      </c>
      <c r="U1224" t="str">
        <f>IF(T1224='Analysis backend'!$L$1,IF(ISERROR(MATCH('Analysis backend'!$M$1,E1224:I1224,0)),"Dire","Radiant"),"")</f>
        <v/>
      </c>
    </row>
    <row r="1225" spans="20:21" x14ac:dyDescent="0.3">
      <c r="T1225" t="str">
        <f>IF(ISERROR(MATCH('Analysis backend'!$M$1,E1225:N1225,0)),"",'Analysis backend'!$L$1)</f>
        <v/>
      </c>
      <c r="U1225" t="str">
        <f>IF(T1225='Analysis backend'!$L$1,IF(ISERROR(MATCH('Analysis backend'!$M$1,E1225:I1225,0)),"Dire","Radiant"),"")</f>
        <v/>
      </c>
    </row>
    <row r="1226" spans="20:21" x14ac:dyDescent="0.3">
      <c r="T1226" t="str">
        <f>IF(ISERROR(MATCH('Analysis backend'!$M$1,E1226:N1226,0)),"",'Analysis backend'!$L$1)</f>
        <v/>
      </c>
      <c r="U1226" t="str">
        <f>IF(T1226='Analysis backend'!$L$1,IF(ISERROR(MATCH('Analysis backend'!$M$1,E1226:I1226,0)),"Dire","Radiant"),"")</f>
        <v/>
      </c>
    </row>
    <row r="1227" spans="20:21" x14ac:dyDescent="0.3">
      <c r="T1227" t="str">
        <f>IF(ISERROR(MATCH('Analysis backend'!$M$1,E1227:N1227,0)),"",'Analysis backend'!$L$1)</f>
        <v/>
      </c>
      <c r="U1227" t="str">
        <f>IF(T1227='Analysis backend'!$L$1,IF(ISERROR(MATCH('Analysis backend'!$M$1,E1227:I1227,0)),"Dire","Radiant"),"")</f>
        <v/>
      </c>
    </row>
    <row r="1228" spans="20:21" x14ac:dyDescent="0.3">
      <c r="T1228" t="str">
        <f>IF(ISERROR(MATCH('Analysis backend'!$M$1,E1228:N1228,0)),"",'Analysis backend'!$L$1)</f>
        <v/>
      </c>
      <c r="U1228" t="str">
        <f>IF(T1228='Analysis backend'!$L$1,IF(ISERROR(MATCH('Analysis backend'!$M$1,E1228:I1228,0)),"Dire","Radiant"),"")</f>
        <v/>
      </c>
    </row>
    <row r="1229" spans="20:21" x14ac:dyDescent="0.3">
      <c r="T1229" t="str">
        <f>IF(ISERROR(MATCH('Analysis backend'!$M$1,E1229:N1229,0)),"",'Analysis backend'!$L$1)</f>
        <v/>
      </c>
      <c r="U1229" t="str">
        <f>IF(T1229='Analysis backend'!$L$1,IF(ISERROR(MATCH('Analysis backend'!$M$1,E1229:I1229,0)),"Dire","Radiant"),"")</f>
        <v/>
      </c>
    </row>
    <row r="1230" spans="20:21" x14ac:dyDescent="0.3">
      <c r="T1230" t="str">
        <f>IF(ISERROR(MATCH('Analysis backend'!$M$1,E1230:N1230,0)),"",'Analysis backend'!$L$1)</f>
        <v/>
      </c>
      <c r="U1230" t="str">
        <f>IF(T1230='Analysis backend'!$L$1,IF(ISERROR(MATCH('Analysis backend'!$M$1,E1230:I1230,0)),"Dire","Radiant"),"")</f>
        <v/>
      </c>
    </row>
    <row r="1231" spans="20:21" x14ac:dyDescent="0.3">
      <c r="T1231" t="str">
        <f>IF(ISERROR(MATCH('Analysis backend'!$M$1,E1231:N1231,0)),"",'Analysis backend'!$L$1)</f>
        <v/>
      </c>
      <c r="U1231" t="str">
        <f>IF(T1231='Analysis backend'!$L$1,IF(ISERROR(MATCH('Analysis backend'!$M$1,E1231:I1231,0)),"Dire","Radiant"),"")</f>
        <v/>
      </c>
    </row>
    <row r="1232" spans="20:21" x14ac:dyDescent="0.3">
      <c r="T1232" t="str">
        <f>IF(ISERROR(MATCH('Analysis backend'!$M$1,E1232:N1232,0)),"",'Analysis backend'!$L$1)</f>
        <v/>
      </c>
      <c r="U1232" t="str">
        <f>IF(T1232='Analysis backend'!$L$1,IF(ISERROR(MATCH('Analysis backend'!$M$1,E1232:I1232,0)),"Dire","Radiant"),"")</f>
        <v/>
      </c>
    </row>
    <row r="1233" spans="20:21" x14ac:dyDescent="0.3">
      <c r="T1233" t="str">
        <f>IF(ISERROR(MATCH('Analysis backend'!$M$1,E1233:N1233,0)),"",'Analysis backend'!$L$1)</f>
        <v/>
      </c>
      <c r="U1233" t="str">
        <f>IF(T1233='Analysis backend'!$L$1,IF(ISERROR(MATCH('Analysis backend'!$M$1,E1233:I1233,0)),"Dire","Radiant"),"")</f>
        <v/>
      </c>
    </row>
    <row r="1234" spans="20:21" x14ac:dyDescent="0.3">
      <c r="T1234" t="str">
        <f>IF(ISERROR(MATCH('Analysis backend'!$M$1,E1234:N1234,0)),"",'Analysis backend'!$L$1)</f>
        <v/>
      </c>
      <c r="U1234" t="str">
        <f>IF(T1234='Analysis backend'!$L$1,IF(ISERROR(MATCH('Analysis backend'!$M$1,E1234:I1234,0)),"Dire","Radiant"),"")</f>
        <v/>
      </c>
    </row>
    <row r="1235" spans="20:21" x14ac:dyDescent="0.3">
      <c r="T1235" t="str">
        <f>IF(ISERROR(MATCH('Analysis backend'!$M$1,E1235:N1235,0)),"",'Analysis backend'!$L$1)</f>
        <v/>
      </c>
      <c r="U1235" t="str">
        <f>IF(T1235='Analysis backend'!$L$1,IF(ISERROR(MATCH('Analysis backend'!$M$1,E1235:I1235,0)),"Dire","Radiant"),"")</f>
        <v/>
      </c>
    </row>
    <row r="1236" spans="20:21" x14ac:dyDescent="0.3">
      <c r="T1236" t="str">
        <f>IF(ISERROR(MATCH('Analysis backend'!$M$1,E1236:N1236,0)),"",'Analysis backend'!$L$1)</f>
        <v/>
      </c>
      <c r="U1236" t="str">
        <f>IF(T1236='Analysis backend'!$L$1,IF(ISERROR(MATCH('Analysis backend'!$M$1,E1236:I1236,0)),"Dire","Radiant"),"")</f>
        <v/>
      </c>
    </row>
    <row r="1237" spans="20:21" x14ac:dyDescent="0.3">
      <c r="T1237" t="str">
        <f>IF(ISERROR(MATCH('Analysis backend'!$M$1,E1237:N1237,0)),"",'Analysis backend'!$L$1)</f>
        <v/>
      </c>
      <c r="U1237" t="str">
        <f>IF(T1237='Analysis backend'!$L$1,IF(ISERROR(MATCH('Analysis backend'!$M$1,E1237:I1237,0)),"Dire","Radiant"),"")</f>
        <v/>
      </c>
    </row>
    <row r="1238" spans="20:21" x14ac:dyDescent="0.3">
      <c r="T1238" t="str">
        <f>IF(ISERROR(MATCH('Analysis backend'!$M$1,E1238:N1238,0)),"",'Analysis backend'!$L$1)</f>
        <v/>
      </c>
      <c r="U1238" t="str">
        <f>IF(T1238='Analysis backend'!$L$1,IF(ISERROR(MATCH('Analysis backend'!$M$1,E1238:I1238,0)),"Dire","Radiant"),"")</f>
        <v/>
      </c>
    </row>
    <row r="1239" spans="20:21" x14ac:dyDescent="0.3">
      <c r="T1239" t="str">
        <f>IF(ISERROR(MATCH('Analysis backend'!$M$1,E1239:N1239,0)),"",'Analysis backend'!$L$1)</f>
        <v/>
      </c>
      <c r="U1239" t="str">
        <f>IF(T1239='Analysis backend'!$L$1,IF(ISERROR(MATCH('Analysis backend'!$M$1,E1239:I1239,0)),"Dire","Radiant"),"")</f>
        <v/>
      </c>
    </row>
    <row r="1240" spans="20:21" x14ac:dyDescent="0.3">
      <c r="T1240" t="str">
        <f>IF(ISERROR(MATCH('Analysis backend'!$M$1,E1240:N1240,0)),"",'Analysis backend'!$L$1)</f>
        <v/>
      </c>
      <c r="U1240" t="str">
        <f>IF(T1240='Analysis backend'!$L$1,IF(ISERROR(MATCH('Analysis backend'!$M$1,E1240:I1240,0)),"Dire","Radiant"),"")</f>
        <v/>
      </c>
    </row>
    <row r="1241" spans="20:21" x14ac:dyDescent="0.3">
      <c r="T1241" t="str">
        <f>IF(ISERROR(MATCH('Analysis backend'!$M$1,E1241:N1241,0)),"",'Analysis backend'!$L$1)</f>
        <v/>
      </c>
      <c r="U1241" t="str">
        <f>IF(T1241='Analysis backend'!$L$1,IF(ISERROR(MATCH('Analysis backend'!$M$1,E1241:I1241,0)),"Dire","Radiant"),"")</f>
        <v/>
      </c>
    </row>
    <row r="1242" spans="20:21" x14ac:dyDescent="0.3">
      <c r="T1242" t="str">
        <f>IF(ISERROR(MATCH('Analysis backend'!$M$1,E1242:N1242,0)),"",'Analysis backend'!$L$1)</f>
        <v/>
      </c>
      <c r="U1242" t="str">
        <f>IF(T1242='Analysis backend'!$L$1,IF(ISERROR(MATCH('Analysis backend'!$M$1,E1242:I1242,0)),"Dire","Radiant"),"")</f>
        <v/>
      </c>
    </row>
    <row r="1243" spans="20:21" x14ac:dyDescent="0.3">
      <c r="T1243" t="str">
        <f>IF(ISERROR(MATCH('Analysis backend'!$M$1,E1243:N1243,0)),"",'Analysis backend'!$L$1)</f>
        <v/>
      </c>
      <c r="U1243" t="str">
        <f>IF(T1243='Analysis backend'!$L$1,IF(ISERROR(MATCH('Analysis backend'!$M$1,E1243:I1243,0)),"Dire","Radiant"),"")</f>
        <v/>
      </c>
    </row>
    <row r="1244" spans="20:21" x14ac:dyDescent="0.3">
      <c r="T1244" t="str">
        <f>IF(ISERROR(MATCH('Analysis backend'!$M$1,E1244:N1244,0)),"",'Analysis backend'!$L$1)</f>
        <v/>
      </c>
      <c r="U1244" t="str">
        <f>IF(T1244='Analysis backend'!$L$1,IF(ISERROR(MATCH('Analysis backend'!$M$1,E1244:I1244,0)),"Dire","Radiant"),"")</f>
        <v/>
      </c>
    </row>
    <row r="1245" spans="20:21" x14ac:dyDescent="0.3">
      <c r="T1245" t="str">
        <f>IF(ISERROR(MATCH('Analysis backend'!$M$1,E1245:N1245,0)),"",'Analysis backend'!$L$1)</f>
        <v/>
      </c>
      <c r="U1245" t="str">
        <f>IF(T1245='Analysis backend'!$L$1,IF(ISERROR(MATCH('Analysis backend'!$M$1,E1245:I1245,0)),"Dire","Radiant"),"")</f>
        <v/>
      </c>
    </row>
    <row r="1246" spans="20:21" x14ac:dyDescent="0.3">
      <c r="T1246" t="str">
        <f>IF(ISERROR(MATCH('Analysis backend'!$M$1,E1246:N1246,0)),"",'Analysis backend'!$L$1)</f>
        <v/>
      </c>
      <c r="U1246" t="str">
        <f>IF(T1246='Analysis backend'!$L$1,IF(ISERROR(MATCH('Analysis backend'!$M$1,E1246:I1246,0)),"Dire","Radiant"),"")</f>
        <v/>
      </c>
    </row>
    <row r="1247" spans="20:21" x14ac:dyDescent="0.3">
      <c r="T1247" t="str">
        <f>IF(ISERROR(MATCH('Analysis backend'!$M$1,E1247:N1247,0)),"",'Analysis backend'!$L$1)</f>
        <v/>
      </c>
      <c r="U1247" t="str">
        <f>IF(T1247='Analysis backend'!$L$1,IF(ISERROR(MATCH('Analysis backend'!$M$1,E1247:I1247,0)),"Dire","Radiant"),"")</f>
        <v/>
      </c>
    </row>
    <row r="1248" spans="20:21" x14ac:dyDescent="0.3">
      <c r="T1248" t="str">
        <f>IF(ISERROR(MATCH('Analysis backend'!$M$1,E1248:N1248,0)),"",'Analysis backend'!$L$1)</f>
        <v/>
      </c>
      <c r="U1248" t="str">
        <f>IF(T1248='Analysis backend'!$L$1,IF(ISERROR(MATCH('Analysis backend'!$M$1,E1248:I1248,0)),"Dire","Radiant"),"")</f>
        <v/>
      </c>
    </row>
    <row r="1249" spans="20:21" x14ac:dyDescent="0.3">
      <c r="T1249" t="str">
        <f>IF(ISERROR(MATCH('Analysis backend'!$M$1,E1249:N1249,0)),"",'Analysis backend'!$L$1)</f>
        <v/>
      </c>
      <c r="U1249" t="str">
        <f>IF(T1249='Analysis backend'!$L$1,IF(ISERROR(MATCH('Analysis backend'!$M$1,E1249:I1249,0)),"Dire","Radiant"),"")</f>
        <v/>
      </c>
    </row>
    <row r="1250" spans="20:21" x14ac:dyDescent="0.3">
      <c r="T1250" t="str">
        <f>IF(ISERROR(MATCH('Analysis backend'!$M$1,E1250:N1250,0)),"",'Analysis backend'!$L$1)</f>
        <v/>
      </c>
      <c r="U1250" t="str">
        <f>IF(T1250='Analysis backend'!$L$1,IF(ISERROR(MATCH('Analysis backend'!$M$1,E1250:I1250,0)),"Dire","Radiant"),"")</f>
        <v/>
      </c>
    </row>
    <row r="1251" spans="20:21" x14ac:dyDescent="0.3">
      <c r="T1251" t="str">
        <f>IF(ISERROR(MATCH('Analysis backend'!$M$1,E1251:N1251,0)),"",'Analysis backend'!$L$1)</f>
        <v/>
      </c>
      <c r="U1251" t="str">
        <f>IF(T1251='Analysis backend'!$L$1,IF(ISERROR(MATCH('Analysis backend'!$M$1,E1251:I1251,0)),"Dire","Radiant"),"")</f>
        <v/>
      </c>
    </row>
    <row r="1252" spans="20:21" x14ac:dyDescent="0.3">
      <c r="T1252" t="str">
        <f>IF(ISERROR(MATCH('Analysis backend'!$M$1,E1252:N1252,0)),"",'Analysis backend'!$L$1)</f>
        <v/>
      </c>
      <c r="U1252" t="str">
        <f>IF(T1252='Analysis backend'!$L$1,IF(ISERROR(MATCH('Analysis backend'!$M$1,E1252:I1252,0)),"Dire","Radiant"),"")</f>
        <v/>
      </c>
    </row>
    <row r="1253" spans="20:21" x14ac:dyDescent="0.3">
      <c r="T1253" t="str">
        <f>IF(ISERROR(MATCH('Analysis backend'!$M$1,E1253:N1253,0)),"",'Analysis backend'!$L$1)</f>
        <v/>
      </c>
      <c r="U1253" t="str">
        <f>IF(T1253='Analysis backend'!$L$1,IF(ISERROR(MATCH('Analysis backend'!$M$1,E1253:I1253,0)),"Dire","Radiant"),"")</f>
        <v/>
      </c>
    </row>
    <row r="1254" spans="20:21" x14ac:dyDescent="0.3">
      <c r="T1254" t="str">
        <f>IF(ISERROR(MATCH('Analysis backend'!$M$1,E1254:N1254,0)),"",'Analysis backend'!$L$1)</f>
        <v/>
      </c>
      <c r="U1254" t="str">
        <f>IF(T1254='Analysis backend'!$L$1,IF(ISERROR(MATCH('Analysis backend'!$M$1,E1254:I1254,0)),"Dire","Radiant"),"")</f>
        <v/>
      </c>
    </row>
    <row r="1255" spans="20:21" x14ac:dyDescent="0.3">
      <c r="T1255" t="str">
        <f>IF(ISERROR(MATCH('Analysis backend'!$M$1,E1255:N1255,0)),"",'Analysis backend'!$L$1)</f>
        <v/>
      </c>
      <c r="U1255" t="str">
        <f>IF(T1255='Analysis backend'!$L$1,IF(ISERROR(MATCH('Analysis backend'!$M$1,E1255:I1255,0)),"Dire","Radiant"),"")</f>
        <v/>
      </c>
    </row>
    <row r="1256" spans="20:21" x14ac:dyDescent="0.3">
      <c r="T1256" t="str">
        <f>IF(ISERROR(MATCH('Analysis backend'!$M$1,E1256:N1256,0)),"",'Analysis backend'!$L$1)</f>
        <v/>
      </c>
      <c r="U1256" t="str">
        <f>IF(T1256='Analysis backend'!$L$1,IF(ISERROR(MATCH('Analysis backend'!$M$1,E1256:I1256,0)),"Dire","Radiant"),"")</f>
        <v/>
      </c>
    </row>
    <row r="1257" spans="20:21" x14ac:dyDescent="0.3">
      <c r="T1257" t="str">
        <f>IF(ISERROR(MATCH('Analysis backend'!$M$1,E1257:N1257,0)),"",'Analysis backend'!$L$1)</f>
        <v/>
      </c>
      <c r="U1257" t="str">
        <f>IF(T1257='Analysis backend'!$L$1,IF(ISERROR(MATCH('Analysis backend'!$M$1,E1257:I1257,0)),"Dire","Radiant"),"")</f>
        <v/>
      </c>
    </row>
    <row r="1258" spans="20:21" x14ac:dyDescent="0.3">
      <c r="T1258" t="str">
        <f>IF(ISERROR(MATCH('Analysis backend'!$M$1,E1258:N1258,0)),"",'Analysis backend'!$L$1)</f>
        <v/>
      </c>
      <c r="U1258" t="str">
        <f>IF(T1258='Analysis backend'!$L$1,IF(ISERROR(MATCH('Analysis backend'!$M$1,E1258:I1258,0)),"Dire","Radiant"),"")</f>
        <v/>
      </c>
    </row>
    <row r="1259" spans="20:21" x14ac:dyDescent="0.3">
      <c r="T1259" t="str">
        <f>IF(ISERROR(MATCH('Analysis backend'!$M$1,E1259:N1259,0)),"",'Analysis backend'!$L$1)</f>
        <v/>
      </c>
      <c r="U1259" t="str">
        <f>IF(T1259='Analysis backend'!$L$1,IF(ISERROR(MATCH('Analysis backend'!$M$1,E1259:I1259,0)),"Dire","Radiant"),"")</f>
        <v/>
      </c>
    </row>
    <row r="1260" spans="20:21" x14ac:dyDescent="0.3">
      <c r="T1260" t="str">
        <f>IF(ISERROR(MATCH('Analysis backend'!$M$1,E1260:N1260,0)),"",'Analysis backend'!$L$1)</f>
        <v/>
      </c>
      <c r="U1260" t="str">
        <f>IF(T1260='Analysis backend'!$L$1,IF(ISERROR(MATCH('Analysis backend'!$M$1,E1260:I1260,0)),"Dire","Radiant"),"")</f>
        <v/>
      </c>
    </row>
    <row r="1261" spans="20:21" x14ac:dyDescent="0.3">
      <c r="T1261" t="str">
        <f>IF(ISERROR(MATCH('Analysis backend'!$M$1,E1261:N1261,0)),"",'Analysis backend'!$L$1)</f>
        <v/>
      </c>
      <c r="U1261" t="str">
        <f>IF(T1261='Analysis backend'!$L$1,IF(ISERROR(MATCH('Analysis backend'!$M$1,E1261:I1261,0)),"Dire","Radiant"),"")</f>
        <v/>
      </c>
    </row>
    <row r="1262" spans="20:21" x14ac:dyDescent="0.3">
      <c r="T1262" t="str">
        <f>IF(ISERROR(MATCH('Analysis backend'!$M$1,E1262:N1262,0)),"",'Analysis backend'!$L$1)</f>
        <v/>
      </c>
      <c r="U1262" t="str">
        <f>IF(T1262='Analysis backend'!$L$1,IF(ISERROR(MATCH('Analysis backend'!$M$1,E1262:I1262,0)),"Dire","Radiant"),"")</f>
        <v/>
      </c>
    </row>
    <row r="1263" spans="20:21" x14ac:dyDescent="0.3">
      <c r="T1263" t="str">
        <f>IF(ISERROR(MATCH('Analysis backend'!$M$1,E1263:N1263,0)),"",'Analysis backend'!$L$1)</f>
        <v/>
      </c>
      <c r="U1263" t="str">
        <f>IF(T1263='Analysis backend'!$L$1,IF(ISERROR(MATCH('Analysis backend'!$M$1,E1263:I1263,0)),"Dire","Radiant"),"")</f>
        <v/>
      </c>
    </row>
    <row r="1264" spans="20:21" x14ac:dyDescent="0.3">
      <c r="T1264" t="str">
        <f>IF(ISERROR(MATCH('Analysis backend'!$M$1,E1264:N1264,0)),"",'Analysis backend'!$L$1)</f>
        <v/>
      </c>
      <c r="U1264" t="str">
        <f>IF(T1264='Analysis backend'!$L$1,IF(ISERROR(MATCH('Analysis backend'!$M$1,E1264:I1264,0)),"Dire","Radiant"),"")</f>
        <v/>
      </c>
    </row>
    <row r="1265" spans="20:21" x14ac:dyDescent="0.3">
      <c r="T1265" t="str">
        <f>IF(ISERROR(MATCH('Analysis backend'!$M$1,E1265:N1265,0)),"",'Analysis backend'!$L$1)</f>
        <v/>
      </c>
      <c r="U1265" t="str">
        <f>IF(T1265='Analysis backend'!$L$1,IF(ISERROR(MATCH('Analysis backend'!$M$1,E1265:I1265,0)),"Dire","Radiant"),"")</f>
        <v/>
      </c>
    </row>
    <row r="1266" spans="20:21" x14ac:dyDescent="0.3">
      <c r="T1266" t="str">
        <f>IF(ISERROR(MATCH('Analysis backend'!$M$1,E1266:N1266,0)),"",'Analysis backend'!$L$1)</f>
        <v/>
      </c>
      <c r="U1266" t="str">
        <f>IF(T1266='Analysis backend'!$L$1,IF(ISERROR(MATCH('Analysis backend'!$M$1,E1266:I1266,0)),"Dire","Radiant"),"")</f>
        <v/>
      </c>
    </row>
    <row r="1267" spans="20:21" x14ac:dyDescent="0.3">
      <c r="T1267" t="str">
        <f>IF(ISERROR(MATCH('Analysis backend'!$M$1,E1267:N1267,0)),"",'Analysis backend'!$L$1)</f>
        <v/>
      </c>
      <c r="U1267" t="str">
        <f>IF(T1267='Analysis backend'!$L$1,IF(ISERROR(MATCH('Analysis backend'!$M$1,E1267:I1267,0)),"Dire","Radiant"),"")</f>
        <v/>
      </c>
    </row>
    <row r="1268" spans="20:21" x14ac:dyDescent="0.3">
      <c r="T1268" t="str">
        <f>IF(ISERROR(MATCH('Analysis backend'!$M$1,E1268:N1268,0)),"",'Analysis backend'!$L$1)</f>
        <v/>
      </c>
      <c r="U1268" t="str">
        <f>IF(T1268='Analysis backend'!$L$1,IF(ISERROR(MATCH('Analysis backend'!$M$1,E1268:I1268,0)),"Dire","Radiant"),"")</f>
        <v/>
      </c>
    </row>
    <row r="1269" spans="20:21" x14ac:dyDescent="0.3">
      <c r="T1269" t="str">
        <f>IF(ISERROR(MATCH('Analysis backend'!$M$1,E1269:N1269,0)),"",'Analysis backend'!$L$1)</f>
        <v/>
      </c>
      <c r="U1269" t="str">
        <f>IF(T1269='Analysis backend'!$L$1,IF(ISERROR(MATCH('Analysis backend'!$M$1,E1269:I1269,0)),"Dire","Radiant"),"")</f>
        <v/>
      </c>
    </row>
    <row r="1270" spans="20:21" x14ac:dyDescent="0.3">
      <c r="T1270" t="str">
        <f>IF(ISERROR(MATCH('Analysis backend'!$M$1,E1270:N1270,0)),"",'Analysis backend'!$L$1)</f>
        <v/>
      </c>
      <c r="U1270" t="str">
        <f>IF(T1270='Analysis backend'!$L$1,IF(ISERROR(MATCH('Analysis backend'!$M$1,E1270:I1270,0)),"Dire","Radiant"),"")</f>
        <v/>
      </c>
    </row>
    <row r="1271" spans="20:21" x14ac:dyDescent="0.3">
      <c r="T1271" t="str">
        <f>IF(ISERROR(MATCH('Analysis backend'!$M$1,E1271:N1271,0)),"",'Analysis backend'!$L$1)</f>
        <v/>
      </c>
      <c r="U1271" t="str">
        <f>IF(T1271='Analysis backend'!$L$1,IF(ISERROR(MATCH('Analysis backend'!$M$1,E1271:I1271,0)),"Dire","Radiant"),"")</f>
        <v/>
      </c>
    </row>
    <row r="1272" spans="20:21" x14ac:dyDescent="0.3">
      <c r="T1272" t="str">
        <f>IF(ISERROR(MATCH('Analysis backend'!$M$1,E1272:N1272,0)),"",'Analysis backend'!$L$1)</f>
        <v/>
      </c>
      <c r="U1272" t="str">
        <f>IF(T1272='Analysis backend'!$L$1,IF(ISERROR(MATCH('Analysis backend'!$M$1,E1272:I1272,0)),"Dire","Radiant"),"")</f>
        <v/>
      </c>
    </row>
    <row r="1273" spans="20:21" x14ac:dyDescent="0.3">
      <c r="T1273" t="str">
        <f>IF(ISERROR(MATCH('Analysis backend'!$M$1,E1273:N1273,0)),"",'Analysis backend'!$L$1)</f>
        <v/>
      </c>
      <c r="U1273" t="str">
        <f>IF(T1273='Analysis backend'!$L$1,IF(ISERROR(MATCH('Analysis backend'!$M$1,E1273:I1273,0)),"Dire","Radiant"),"")</f>
        <v/>
      </c>
    </row>
    <row r="1274" spans="20:21" x14ac:dyDescent="0.3">
      <c r="T1274" t="str">
        <f>IF(ISERROR(MATCH('Analysis backend'!$M$1,E1274:N1274,0)),"",'Analysis backend'!$L$1)</f>
        <v/>
      </c>
      <c r="U1274" t="str">
        <f>IF(T1274='Analysis backend'!$L$1,IF(ISERROR(MATCH('Analysis backend'!$M$1,E1274:I1274,0)),"Dire","Radiant"),"")</f>
        <v/>
      </c>
    </row>
    <row r="1275" spans="20:21" x14ac:dyDescent="0.3">
      <c r="T1275" t="str">
        <f>IF(ISERROR(MATCH('Analysis backend'!$M$1,E1275:N1275,0)),"",'Analysis backend'!$L$1)</f>
        <v/>
      </c>
      <c r="U1275" t="str">
        <f>IF(T1275='Analysis backend'!$L$1,IF(ISERROR(MATCH('Analysis backend'!$M$1,E1275:I1275,0)),"Dire","Radiant"),"")</f>
        <v/>
      </c>
    </row>
    <row r="1276" spans="20:21" x14ac:dyDescent="0.3">
      <c r="T1276" t="str">
        <f>IF(ISERROR(MATCH('Analysis backend'!$M$1,E1276:N1276,0)),"",'Analysis backend'!$L$1)</f>
        <v/>
      </c>
      <c r="U1276" t="str">
        <f>IF(T1276='Analysis backend'!$L$1,IF(ISERROR(MATCH('Analysis backend'!$M$1,E1276:I1276,0)),"Dire","Radiant"),"")</f>
        <v/>
      </c>
    </row>
    <row r="1277" spans="20:21" x14ac:dyDescent="0.3">
      <c r="T1277" t="str">
        <f>IF(ISERROR(MATCH('Analysis backend'!$M$1,E1277:N1277,0)),"",'Analysis backend'!$L$1)</f>
        <v/>
      </c>
      <c r="U1277" t="str">
        <f>IF(T1277='Analysis backend'!$L$1,IF(ISERROR(MATCH('Analysis backend'!$M$1,E1277:I1277,0)),"Dire","Radiant"),"")</f>
        <v/>
      </c>
    </row>
    <row r="1278" spans="20:21" x14ac:dyDescent="0.3">
      <c r="T1278" t="str">
        <f>IF(ISERROR(MATCH('Analysis backend'!$M$1,E1278:N1278,0)),"",'Analysis backend'!$L$1)</f>
        <v/>
      </c>
      <c r="U1278" t="str">
        <f>IF(T1278='Analysis backend'!$L$1,IF(ISERROR(MATCH('Analysis backend'!$M$1,E1278:I1278,0)),"Dire","Radiant"),"")</f>
        <v/>
      </c>
    </row>
    <row r="1279" spans="20:21" x14ac:dyDescent="0.3">
      <c r="T1279" t="str">
        <f>IF(ISERROR(MATCH('Analysis backend'!$M$1,E1279:N1279,0)),"",'Analysis backend'!$L$1)</f>
        <v/>
      </c>
      <c r="U1279" t="str">
        <f>IF(T1279='Analysis backend'!$L$1,IF(ISERROR(MATCH('Analysis backend'!$M$1,E1279:I1279,0)),"Dire","Radiant"),"")</f>
        <v/>
      </c>
    </row>
    <row r="1280" spans="20:21" x14ac:dyDescent="0.3">
      <c r="T1280" t="str">
        <f>IF(ISERROR(MATCH('Analysis backend'!$M$1,E1280:N1280,0)),"",'Analysis backend'!$L$1)</f>
        <v/>
      </c>
      <c r="U1280" t="str">
        <f>IF(T1280='Analysis backend'!$L$1,IF(ISERROR(MATCH('Analysis backend'!$M$1,E1280:I1280,0)),"Dire","Radiant"),"")</f>
        <v/>
      </c>
    </row>
    <row r="1281" spans="20:21" x14ac:dyDescent="0.3">
      <c r="T1281" t="str">
        <f>IF(ISERROR(MATCH('Analysis backend'!$M$1,E1281:N1281,0)),"",'Analysis backend'!$L$1)</f>
        <v/>
      </c>
      <c r="U1281" t="str">
        <f>IF(T1281='Analysis backend'!$L$1,IF(ISERROR(MATCH('Analysis backend'!$M$1,E1281:I1281,0)),"Dire","Radiant"),"")</f>
        <v/>
      </c>
    </row>
    <row r="1282" spans="20:21" x14ac:dyDescent="0.3">
      <c r="T1282" t="str">
        <f>IF(ISERROR(MATCH('Analysis backend'!$M$1,E1282:N1282,0)),"",'Analysis backend'!$L$1)</f>
        <v/>
      </c>
      <c r="U1282" t="str">
        <f>IF(T1282='Analysis backend'!$L$1,IF(ISERROR(MATCH('Analysis backend'!$M$1,E1282:I1282,0)),"Dire","Radiant"),"")</f>
        <v/>
      </c>
    </row>
    <row r="1283" spans="20:21" x14ac:dyDescent="0.3">
      <c r="T1283" t="str">
        <f>IF(ISERROR(MATCH('Analysis backend'!$M$1,E1283:N1283,0)),"",'Analysis backend'!$L$1)</f>
        <v/>
      </c>
      <c r="U1283" t="str">
        <f>IF(T1283='Analysis backend'!$L$1,IF(ISERROR(MATCH('Analysis backend'!$M$1,E1283:I1283,0)),"Dire","Radiant"),"")</f>
        <v/>
      </c>
    </row>
    <row r="1284" spans="20:21" x14ac:dyDescent="0.3">
      <c r="T1284" t="str">
        <f>IF(ISERROR(MATCH('Analysis backend'!$M$1,E1284:N1284,0)),"",'Analysis backend'!$L$1)</f>
        <v/>
      </c>
      <c r="U1284" t="str">
        <f>IF(T1284='Analysis backend'!$L$1,IF(ISERROR(MATCH('Analysis backend'!$M$1,E1284:I1284,0)),"Dire","Radiant"),"")</f>
        <v/>
      </c>
    </row>
    <row r="1285" spans="20:21" x14ac:dyDescent="0.3">
      <c r="T1285" t="str">
        <f>IF(ISERROR(MATCH('Analysis backend'!$M$1,E1285:N1285,0)),"",'Analysis backend'!$L$1)</f>
        <v/>
      </c>
      <c r="U1285" t="str">
        <f>IF(T1285='Analysis backend'!$L$1,IF(ISERROR(MATCH('Analysis backend'!$M$1,E1285:I1285,0)),"Dire","Radiant"),"")</f>
        <v/>
      </c>
    </row>
    <row r="1286" spans="20:21" x14ac:dyDescent="0.3">
      <c r="T1286" t="str">
        <f>IF(ISERROR(MATCH('Analysis backend'!$M$1,E1286:N1286,0)),"",'Analysis backend'!$L$1)</f>
        <v/>
      </c>
      <c r="U1286" t="str">
        <f>IF(T1286='Analysis backend'!$L$1,IF(ISERROR(MATCH('Analysis backend'!$M$1,E1286:I1286,0)),"Dire","Radiant"),"")</f>
        <v/>
      </c>
    </row>
    <row r="1287" spans="20:21" x14ac:dyDescent="0.3">
      <c r="T1287" t="str">
        <f>IF(ISERROR(MATCH('Analysis backend'!$M$1,E1287:N1287,0)),"",'Analysis backend'!$L$1)</f>
        <v/>
      </c>
      <c r="U1287" t="str">
        <f>IF(T1287='Analysis backend'!$L$1,IF(ISERROR(MATCH('Analysis backend'!$M$1,E1287:I1287,0)),"Dire","Radiant"),"")</f>
        <v/>
      </c>
    </row>
    <row r="1288" spans="20:21" x14ac:dyDescent="0.3">
      <c r="T1288" t="str">
        <f>IF(ISERROR(MATCH('Analysis backend'!$M$1,E1288:N1288,0)),"",'Analysis backend'!$L$1)</f>
        <v/>
      </c>
      <c r="U1288" t="str">
        <f>IF(T1288='Analysis backend'!$L$1,IF(ISERROR(MATCH('Analysis backend'!$M$1,E1288:I1288,0)),"Dire","Radiant"),"")</f>
        <v/>
      </c>
    </row>
    <row r="1289" spans="20:21" x14ac:dyDescent="0.3">
      <c r="T1289" t="str">
        <f>IF(ISERROR(MATCH('Analysis backend'!$M$1,E1289:N1289,0)),"",'Analysis backend'!$L$1)</f>
        <v/>
      </c>
      <c r="U1289" t="str">
        <f>IF(T1289='Analysis backend'!$L$1,IF(ISERROR(MATCH('Analysis backend'!$M$1,E1289:I1289,0)),"Dire","Radiant"),"")</f>
        <v/>
      </c>
    </row>
    <row r="1290" spans="20:21" x14ac:dyDescent="0.3">
      <c r="T1290" t="str">
        <f>IF(ISERROR(MATCH('Analysis backend'!$M$1,E1290:N1290,0)),"",'Analysis backend'!$L$1)</f>
        <v/>
      </c>
      <c r="U1290" t="str">
        <f>IF(T1290='Analysis backend'!$L$1,IF(ISERROR(MATCH('Analysis backend'!$M$1,E1290:I1290,0)),"Dire","Radiant"),"")</f>
        <v/>
      </c>
    </row>
    <row r="1291" spans="20:21" x14ac:dyDescent="0.3">
      <c r="T1291" t="str">
        <f>IF(ISERROR(MATCH('Analysis backend'!$M$1,E1291:N1291,0)),"",'Analysis backend'!$L$1)</f>
        <v/>
      </c>
      <c r="U1291" t="str">
        <f>IF(T1291='Analysis backend'!$L$1,IF(ISERROR(MATCH('Analysis backend'!$M$1,E1291:I1291,0)),"Dire","Radiant"),"")</f>
        <v/>
      </c>
    </row>
    <row r="1292" spans="20:21" x14ac:dyDescent="0.3">
      <c r="T1292" t="str">
        <f>IF(ISERROR(MATCH('Analysis backend'!$M$1,E1292:N1292,0)),"",'Analysis backend'!$L$1)</f>
        <v/>
      </c>
      <c r="U1292" t="str">
        <f>IF(T1292='Analysis backend'!$L$1,IF(ISERROR(MATCH('Analysis backend'!$M$1,E1292:I1292,0)),"Dire","Radiant"),"")</f>
        <v/>
      </c>
    </row>
    <row r="1293" spans="20:21" x14ac:dyDescent="0.3">
      <c r="T1293" t="str">
        <f>IF(ISERROR(MATCH('Analysis backend'!$M$1,E1293:N1293,0)),"",'Analysis backend'!$L$1)</f>
        <v/>
      </c>
      <c r="U1293" t="str">
        <f>IF(T1293='Analysis backend'!$L$1,IF(ISERROR(MATCH('Analysis backend'!$M$1,E1293:I1293,0)),"Dire","Radiant"),"")</f>
        <v/>
      </c>
    </row>
    <row r="1294" spans="20:21" x14ac:dyDescent="0.3">
      <c r="T1294" t="str">
        <f>IF(ISERROR(MATCH('Analysis backend'!$M$1,E1294:N1294,0)),"",'Analysis backend'!$L$1)</f>
        <v/>
      </c>
      <c r="U1294" t="str">
        <f>IF(T1294='Analysis backend'!$L$1,IF(ISERROR(MATCH('Analysis backend'!$M$1,E1294:I1294,0)),"Dire","Radiant"),"")</f>
        <v/>
      </c>
    </row>
    <row r="1295" spans="20:21" x14ac:dyDescent="0.3">
      <c r="T1295" t="str">
        <f>IF(ISERROR(MATCH('Analysis backend'!$M$1,E1295:N1295,0)),"",'Analysis backend'!$L$1)</f>
        <v/>
      </c>
      <c r="U1295" t="str">
        <f>IF(T1295='Analysis backend'!$L$1,IF(ISERROR(MATCH('Analysis backend'!$M$1,E1295:I1295,0)),"Dire","Radiant"),"")</f>
        <v/>
      </c>
    </row>
    <row r="1296" spans="20:21" x14ac:dyDescent="0.3">
      <c r="T1296" t="str">
        <f>IF(ISERROR(MATCH('Analysis backend'!$M$1,E1296:N1296,0)),"",'Analysis backend'!$L$1)</f>
        <v/>
      </c>
      <c r="U1296" t="str">
        <f>IF(T1296='Analysis backend'!$L$1,IF(ISERROR(MATCH('Analysis backend'!$M$1,E1296:I1296,0)),"Dire","Radiant"),"")</f>
        <v/>
      </c>
    </row>
    <row r="1297" spans="20:21" x14ac:dyDescent="0.3">
      <c r="T1297" t="str">
        <f>IF(ISERROR(MATCH('Analysis backend'!$M$1,E1297:N1297,0)),"",'Analysis backend'!$L$1)</f>
        <v/>
      </c>
      <c r="U1297" t="str">
        <f>IF(T1297='Analysis backend'!$L$1,IF(ISERROR(MATCH('Analysis backend'!$M$1,E1297:I1297,0)),"Dire","Radiant"),"")</f>
        <v/>
      </c>
    </row>
    <row r="1298" spans="20:21" x14ac:dyDescent="0.3">
      <c r="T1298" t="str">
        <f>IF(ISERROR(MATCH('Analysis backend'!$M$1,E1298:N1298,0)),"",'Analysis backend'!$L$1)</f>
        <v/>
      </c>
      <c r="U1298" t="str">
        <f>IF(T1298='Analysis backend'!$L$1,IF(ISERROR(MATCH('Analysis backend'!$M$1,E1298:I1298,0)),"Dire","Radiant"),"")</f>
        <v/>
      </c>
    </row>
    <row r="1299" spans="20:21" x14ac:dyDescent="0.3">
      <c r="T1299" t="str">
        <f>IF(ISERROR(MATCH('Analysis backend'!$M$1,E1299:N1299,0)),"",'Analysis backend'!$L$1)</f>
        <v/>
      </c>
      <c r="U1299" t="str">
        <f>IF(T1299='Analysis backend'!$L$1,IF(ISERROR(MATCH('Analysis backend'!$M$1,E1299:I1299,0)),"Dire","Radiant"),"")</f>
        <v/>
      </c>
    </row>
    <row r="1300" spans="20:21" x14ac:dyDescent="0.3">
      <c r="T1300" t="str">
        <f>IF(ISERROR(MATCH('Analysis backend'!$M$1,E1300:N1300,0)),"",'Analysis backend'!$L$1)</f>
        <v/>
      </c>
      <c r="U1300" t="str">
        <f>IF(T1300='Analysis backend'!$L$1,IF(ISERROR(MATCH('Analysis backend'!$M$1,E1300:I1300,0)),"Dire","Radiant"),"")</f>
        <v/>
      </c>
    </row>
    <row r="1301" spans="20:21" x14ac:dyDescent="0.3">
      <c r="T1301" t="str">
        <f>IF(ISERROR(MATCH('Analysis backend'!$M$1,E1301:N1301,0)),"",'Analysis backend'!$L$1)</f>
        <v/>
      </c>
      <c r="U1301" t="str">
        <f>IF(T1301='Analysis backend'!$L$1,IF(ISERROR(MATCH('Analysis backend'!$M$1,E1301:I1301,0)),"Dire","Radiant"),"")</f>
        <v/>
      </c>
    </row>
    <row r="1302" spans="20:21" x14ac:dyDescent="0.3">
      <c r="T1302" t="str">
        <f>IF(ISERROR(MATCH('Analysis backend'!$M$1,E1302:N1302,0)),"",'Analysis backend'!$L$1)</f>
        <v/>
      </c>
      <c r="U1302" t="str">
        <f>IF(T1302='Analysis backend'!$L$1,IF(ISERROR(MATCH('Analysis backend'!$M$1,E1302:I1302,0)),"Dire","Radiant"),"")</f>
        <v/>
      </c>
    </row>
    <row r="1303" spans="20:21" x14ac:dyDescent="0.3">
      <c r="T1303" t="str">
        <f>IF(ISERROR(MATCH('Analysis backend'!$M$1,E1303:N1303,0)),"",'Analysis backend'!$L$1)</f>
        <v/>
      </c>
      <c r="U1303" t="str">
        <f>IF(T1303='Analysis backend'!$L$1,IF(ISERROR(MATCH('Analysis backend'!$M$1,E1303:I1303,0)),"Dire","Radiant"),"")</f>
        <v/>
      </c>
    </row>
    <row r="1304" spans="20:21" x14ac:dyDescent="0.3">
      <c r="T1304" t="str">
        <f>IF(ISERROR(MATCH('Analysis backend'!$M$1,E1304:N1304,0)),"",'Analysis backend'!$L$1)</f>
        <v/>
      </c>
      <c r="U1304" t="str">
        <f>IF(T1304='Analysis backend'!$L$1,IF(ISERROR(MATCH('Analysis backend'!$M$1,E1304:I1304,0)),"Dire","Radiant"),"")</f>
        <v/>
      </c>
    </row>
    <row r="1305" spans="20:21" x14ac:dyDescent="0.3">
      <c r="T1305" t="str">
        <f>IF(ISERROR(MATCH('Analysis backend'!$M$1,E1305:N1305,0)),"",'Analysis backend'!$L$1)</f>
        <v/>
      </c>
      <c r="U1305" t="str">
        <f>IF(T1305='Analysis backend'!$L$1,IF(ISERROR(MATCH('Analysis backend'!$M$1,E1305:I1305,0)),"Dire","Radiant"),"")</f>
        <v/>
      </c>
    </row>
    <row r="1306" spans="20:21" x14ac:dyDescent="0.3">
      <c r="T1306" t="str">
        <f>IF(ISERROR(MATCH('Analysis backend'!$M$1,E1306:N1306,0)),"",'Analysis backend'!$L$1)</f>
        <v/>
      </c>
      <c r="U1306" t="str">
        <f>IF(T1306='Analysis backend'!$L$1,IF(ISERROR(MATCH('Analysis backend'!$M$1,E1306:I1306,0)),"Dire","Radiant"),"")</f>
        <v/>
      </c>
    </row>
    <row r="1307" spans="20:21" x14ac:dyDescent="0.3">
      <c r="T1307" t="str">
        <f>IF(ISERROR(MATCH('Analysis backend'!$M$1,E1307:N1307,0)),"",'Analysis backend'!$L$1)</f>
        <v/>
      </c>
      <c r="U1307" t="str">
        <f>IF(T1307='Analysis backend'!$L$1,IF(ISERROR(MATCH('Analysis backend'!$M$1,E1307:I1307,0)),"Dire","Radiant"),"")</f>
        <v/>
      </c>
    </row>
    <row r="1308" spans="20:21" x14ac:dyDescent="0.3">
      <c r="T1308" t="str">
        <f>IF(ISERROR(MATCH('Analysis backend'!$M$1,E1308:N1308,0)),"",'Analysis backend'!$L$1)</f>
        <v/>
      </c>
      <c r="U1308" t="str">
        <f>IF(T1308='Analysis backend'!$L$1,IF(ISERROR(MATCH('Analysis backend'!$M$1,E1308:I1308,0)),"Dire","Radiant"),"")</f>
        <v/>
      </c>
    </row>
    <row r="1309" spans="20:21" x14ac:dyDescent="0.3">
      <c r="T1309" t="str">
        <f>IF(ISERROR(MATCH('Analysis backend'!$M$1,E1309:N1309,0)),"",'Analysis backend'!$L$1)</f>
        <v/>
      </c>
      <c r="U1309" t="str">
        <f>IF(T1309='Analysis backend'!$L$1,IF(ISERROR(MATCH('Analysis backend'!$M$1,E1309:I1309,0)),"Dire","Radiant"),"")</f>
        <v/>
      </c>
    </row>
    <row r="1310" spans="20:21" x14ac:dyDescent="0.3">
      <c r="T1310" t="str">
        <f>IF(ISERROR(MATCH('Analysis backend'!$M$1,E1310:N1310,0)),"",'Analysis backend'!$L$1)</f>
        <v/>
      </c>
      <c r="U1310" t="str">
        <f>IF(T1310='Analysis backend'!$L$1,IF(ISERROR(MATCH('Analysis backend'!$M$1,E1310:I1310,0)),"Dire","Radiant"),"")</f>
        <v/>
      </c>
    </row>
    <row r="1311" spans="20:21" x14ac:dyDescent="0.3">
      <c r="T1311" t="str">
        <f>IF(ISERROR(MATCH('Analysis backend'!$M$1,E1311:N1311,0)),"",'Analysis backend'!$L$1)</f>
        <v/>
      </c>
      <c r="U1311" t="str">
        <f>IF(T1311='Analysis backend'!$L$1,IF(ISERROR(MATCH('Analysis backend'!$M$1,E1311:I1311,0)),"Dire","Radiant"),"")</f>
        <v/>
      </c>
    </row>
    <row r="1312" spans="20:21" x14ac:dyDescent="0.3">
      <c r="T1312" t="str">
        <f>IF(ISERROR(MATCH('Analysis backend'!$M$1,E1312:N1312,0)),"",'Analysis backend'!$L$1)</f>
        <v/>
      </c>
      <c r="U1312" t="str">
        <f>IF(T1312='Analysis backend'!$L$1,IF(ISERROR(MATCH('Analysis backend'!$M$1,E1312:I1312,0)),"Dire","Radiant"),"")</f>
        <v/>
      </c>
    </row>
    <row r="1313" spans="20:21" x14ac:dyDescent="0.3">
      <c r="T1313" t="str">
        <f>IF(ISERROR(MATCH('Analysis backend'!$M$1,E1313:N1313,0)),"",'Analysis backend'!$L$1)</f>
        <v/>
      </c>
      <c r="U1313" t="str">
        <f>IF(T1313='Analysis backend'!$L$1,IF(ISERROR(MATCH('Analysis backend'!$M$1,E1313:I1313,0)),"Dire","Radiant"),"")</f>
        <v/>
      </c>
    </row>
    <row r="1314" spans="20:21" x14ac:dyDescent="0.3">
      <c r="T1314" t="str">
        <f>IF(ISERROR(MATCH('Analysis backend'!$M$1,E1314:N1314,0)),"",'Analysis backend'!$L$1)</f>
        <v/>
      </c>
      <c r="U1314" t="str">
        <f>IF(T1314='Analysis backend'!$L$1,IF(ISERROR(MATCH('Analysis backend'!$M$1,E1314:I1314,0)),"Dire","Radiant"),"")</f>
        <v/>
      </c>
    </row>
    <row r="1315" spans="20:21" x14ac:dyDescent="0.3">
      <c r="T1315" t="str">
        <f>IF(ISERROR(MATCH('Analysis backend'!$M$1,E1315:N1315,0)),"",'Analysis backend'!$L$1)</f>
        <v/>
      </c>
      <c r="U1315" t="str">
        <f>IF(T1315='Analysis backend'!$L$1,IF(ISERROR(MATCH('Analysis backend'!$M$1,E1315:I1315,0)),"Dire","Radiant"),"")</f>
        <v/>
      </c>
    </row>
    <row r="1316" spans="20:21" x14ac:dyDescent="0.3">
      <c r="T1316" t="str">
        <f>IF(ISERROR(MATCH('Analysis backend'!$M$1,E1316:N1316,0)),"",'Analysis backend'!$L$1)</f>
        <v/>
      </c>
      <c r="U1316" t="str">
        <f>IF(T1316='Analysis backend'!$L$1,IF(ISERROR(MATCH('Analysis backend'!$M$1,E1316:I1316,0)),"Dire","Radiant"),"")</f>
        <v/>
      </c>
    </row>
    <row r="1317" spans="20:21" x14ac:dyDescent="0.3">
      <c r="T1317" t="str">
        <f>IF(ISERROR(MATCH('Analysis backend'!$M$1,E1317:N1317,0)),"",'Analysis backend'!$L$1)</f>
        <v/>
      </c>
      <c r="U1317" t="str">
        <f>IF(T1317='Analysis backend'!$L$1,IF(ISERROR(MATCH('Analysis backend'!$M$1,E1317:I1317,0)),"Dire","Radiant"),"")</f>
        <v/>
      </c>
    </row>
    <row r="1318" spans="20:21" x14ac:dyDescent="0.3">
      <c r="T1318" t="str">
        <f>IF(ISERROR(MATCH('Analysis backend'!$M$1,E1318:N1318,0)),"",'Analysis backend'!$L$1)</f>
        <v/>
      </c>
      <c r="U1318" t="str">
        <f>IF(T1318='Analysis backend'!$L$1,IF(ISERROR(MATCH('Analysis backend'!$M$1,E1318:I1318,0)),"Dire","Radiant"),"")</f>
        <v/>
      </c>
    </row>
    <row r="1319" spans="20:21" x14ac:dyDescent="0.3">
      <c r="T1319" t="str">
        <f>IF(ISERROR(MATCH('Analysis backend'!$M$1,E1319:N1319,0)),"",'Analysis backend'!$L$1)</f>
        <v/>
      </c>
      <c r="U1319" t="str">
        <f>IF(T1319='Analysis backend'!$L$1,IF(ISERROR(MATCH('Analysis backend'!$M$1,E1319:I1319,0)),"Dire","Radiant"),"")</f>
        <v/>
      </c>
    </row>
    <row r="1320" spans="20:21" x14ac:dyDescent="0.3">
      <c r="T1320" t="str">
        <f>IF(ISERROR(MATCH('Analysis backend'!$M$1,E1320:N1320,0)),"",'Analysis backend'!$L$1)</f>
        <v/>
      </c>
      <c r="U1320" t="str">
        <f>IF(T1320='Analysis backend'!$L$1,IF(ISERROR(MATCH('Analysis backend'!$M$1,E1320:I1320,0)),"Dire","Radiant"),"")</f>
        <v/>
      </c>
    </row>
    <row r="1321" spans="20:21" x14ac:dyDescent="0.3">
      <c r="T1321" t="str">
        <f>IF(ISERROR(MATCH('Analysis backend'!$M$1,E1321:N1321,0)),"",'Analysis backend'!$L$1)</f>
        <v/>
      </c>
      <c r="U1321" t="str">
        <f>IF(T1321='Analysis backend'!$L$1,IF(ISERROR(MATCH('Analysis backend'!$M$1,E1321:I1321,0)),"Dire","Radiant"),"")</f>
        <v/>
      </c>
    </row>
    <row r="1322" spans="20:21" x14ac:dyDescent="0.3">
      <c r="T1322" t="str">
        <f>IF(ISERROR(MATCH('Analysis backend'!$M$1,E1322:N1322,0)),"",'Analysis backend'!$L$1)</f>
        <v/>
      </c>
      <c r="U1322" t="str">
        <f>IF(T1322='Analysis backend'!$L$1,IF(ISERROR(MATCH('Analysis backend'!$M$1,E1322:I1322,0)),"Dire","Radiant"),"")</f>
        <v/>
      </c>
    </row>
    <row r="1323" spans="20:21" x14ac:dyDescent="0.3">
      <c r="T1323" t="str">
        <f>IF(ISERROR(MATCH('Analysis backend'!$M$1,E1323:N1323,0)),"",'Analysis backend'!$L$1)</f>
        <v/>
      </c>
      <c r="U1323" t="str">
        <f>IF(T1323='Analysis backend'!$L$1,IF(ISERROR(MATCH('Analysis backend'!$M$1,E1323:I1323,0)),"Dire","Radiant"),"")</f>
        <v/>
      </c>
    </row>
    <row r="1324" spans="20:21" x14ac:dyDescent="0.3">
      <c r="T1324" t="str">
        <f>IF(ISERROR(MATCH('Analysis backend'!$M$1,E1324:N1324,0)),"",'Analysis backend'!$L$1)</f>
        <v/>
      </c>
      <c r="U1324" t="str">
        <f>IF(T1324='Analysis backend'!$L$1,IF(ISERROR(MATCH('Analysis backend'!$M$1,E1324:I1324,0)),"Dire","Radiant"),"")</f>
        <v/>
      </c>
    </row>
    <row r="1325" spans="20:21" x14ac:dyDescent="0.3">
      <c r="T1325" t="str">
        <f>IF(ISERROR(MATCH('Analysis backend'!$M$1,E1325:N1325,0)),"",'Analysis backend'!$L$1)</f>
        <v/>
      </c>
      <c r="U1325" t="str">
        <f>IF(T1325='Analysis backend'!$L$1,IF(ISERROR(MATCH('Analysis backend'!$M$1,E1325:I1325,0)),"Dire","Radiant"),"")</f>
        <v/>
      </c>
    </row>
    <row r="1326" spans="20:21" x14ac:dyDescent="0.3">
      <c r="T1326" t="str">
        <f>IF(ISERROR(MATCH('Analysis backend'!$M$1,E1326:N1326,0)),"",'Analysis backend'!$L$1)</f>
        <v/>
      </c>
      <c r="U1326" t="str">
        <f>IF(T1326='Analysis backend'!$L$1,IF(ISERROR(MATCH('Analysis backend'!$M$1,E1326:I1326,0)),"Dire","Radiant"),"")</f>
        <v/>
      </c>
    </row>
    <row r="1327" spans="20:21" x14ac:dyDescent="0.3">
      <c r="T1327" t="str">
        <f>IF(ISERROR(MATCH('Analysis backend'!$M$1,E1327:N1327,0)),"",'Analysis backend'!$L$1)</f>
        <v/>
      </c>
      <c r="U1327" t="str">
        <f>IF(T1327='Analysis backend'!$L$1,IF(ISERROR(MATCH('Analysis backend'!$M$1,E1327:I1327,0)),"Dire","Radiant"),"")</f>
        <v/>
      </c>
    </row>
    <row r="1328" spans="20:21" x14ac:dyDescent="0.3">
      <c r="T1328" t="str">
        <f>IF(ISERROR(MATCH('Analysis backend'!$M$1,E1328:N1328,0)),"",'Analysis backend'!$L$1)</f>
        <v/>
      </c>
      <c r="U1328" t="str">
        <f>IF(T1328='Analysis backend'!$L$1,IF(ISERROR(MATCH('Analysis backend'!$M$1,E1328:I1328,0)),"Dire","Radiant"),"")</f>
        <v/>
      </c>
    </row>
    <row r="1329" spans="20:21" x14ac:dyDescent="0.3">
      <c r="T1329" t="str">
        <f>IF(ISERROR(MATCH('Analysis backend'!$M$1,E1329:N1329,0)),"",'Analysis backend'!$L$1)</f>
        <v/>
      </c>
      <c r="U1329" t="str">
        <f>IF(T1329='Analysis backend'!$L$1,IF(ISERROR(MATCH('Analysis backend'!$M$1,E1329:I1329,0)),"Dire","Radiant"),"")</f>
        <v/>
      </c>
    </row>
    <row r="1330" spans="20:21" x14ac:dyDescent="0.3">
      <c r="T1330" t="str">
        <f>IF(ISERROR(MATCH('Analysis backend'!$M$1,E1330:N1330,0)),"",'Analysis backend'!$L$1)</f>
        <v/>
      </c>
      <c r="U1330" t="str">
        <f>IF(T1330='Analysis backend'!$L$1,IF(ISERROR(MATCH('Analysis backend'!$M$1,E1330:I1330,0)),"Dire","Radiant"),"")</f>
        <v/>
      </c>
    </row>
    <row r="1331" spans="20:21" x14ac:dyDescent="0.3">
      <c r="T1331" t="str">
        <f>IF(ISERROR(MATCH('Analysis backend'!$M$1,E1331:N1331,0)),"",'Analysis backend'!$L$1)</f>
        <v/>
      </c>
      <c r="U1331" t="str">
        <f>IF(T1331='Analysis backend'!$L$1,IF(ISERROR(MATCH('Analysis backend'!$M$1,E1331:I1331,0)),"Dire","Radiant"),"")</f>
        <v/>
      </c>
    </row>
    <row r="1332" spans="20:21" x14ac:dyDescent="0.3">
      <c r="T1332" t="str">
        <f>IF(ISERROR(MATCH('Analysis backend'!$M$1,E1332:N1332,0)),"",'Analysis backend'!$L$1)</f>
        <v/>
      </c>
      <c r="U1332" t="str">
        <f>IF(T1332='Analysis backend'!$L$1,IF(ISERROR(MATCH('Analysis backend'!$M$1,E1332:I1332,0)),"Dire","Radiant"),"")</f>
        <v/>
      </c>
    </row>
    <row r="1333" spans="20:21" x14ac:dyDescent="0.3">
      <c r="T1333" t="str">
        <f>IF(ISERROR(MATCH('Analysis backend'!$M$1,E1333:N1333,0)),"",'Analysis backend'!$L$1)</f>
        <v/>
      </c>
      <c r="U1333" t="str">
        <f>IF(T1333='Analysis backend'!$L$1,IF(ISERROR(MATCH('Analysis backend'!$M$1,E1333:I1333,0)),"Dire","Radiant"),"")</f>
        <v/>
      </c>
    </row>
    <row r="1334" spans="20:21" x14ac:dyDescent="0.3">
      <c r="T1334" t="str">
        <f>IF(ISERROR(MATCH('Analysis backend'!$M$1,E1334:N1334,0)),"",'Analysis backend'!$L$1)</f>
        <v/>
      </c>
      <c r="U1334" t="str">
        <f>IF(T1334='Analysis backend'!$L$1,IF(ISERROR(MATCH('Analysis backend'!$M$1,E1334:I1334,0)),"Dire","Radiant"),"")</f>
        <v/>
      </c>
    </row>
    <row r="1335" spans="20:21" x14ac:dyDescent="0.3">
      <c r="T1335" t="str">
        <f>IF(ISERROR(MATCH('Analysis backend'!$M$1,E1335:N1335,0)),"",'Analysis backend'!$L$1)</f>
        <v/>
      </c>
      <c r="U1335" t="str">
        <f>IF(T1335='Analysis backend'!$L$1,IF(ISERROR(MATCH('Analysis backend'!$M$1,E1335:I1335,0)),"Dire","Radiant"),"")</f>
        <v/>
      </c>
    </row>
    <row r="1336" spans="20:21" x14ac:dyDescent="0.3">
      <c r="T1336" t="str">
        <f>IF(ISERROR(MATCH('Analysis backend'!$M$1,E1336:N1336,0)),"",'Analysis backend'!$L$1)</f>
        <v/>
      </c>
      <c r="U1336" t="str">
        <f>IF(T1336='Analysis backend'!$L$1,IF(ISERROR(MATCH('Analysis backend'!$M$1,E1336:I1336,0)),"Dire","Radiant"),"")</f>
        <v/>
      </c>
    </row>
    <row r="1337" spans="20:21" x14ac:dyDescent="0.3">
      <c r="T1337" t="str">
        <f>IF(ISERROR(MATCH('Analysis backend'!$M$1,E1337:N1337,0)),"",'Analysis backend'!$L$1)</f>
        <v/>
      </c>
      <c r="U1337" t="str">
        <f>IF(T1337='Analysis backend'!$L$1,IF(ISERROR(MATCH('Analysis backend'!$M$1,E1337:I1337,0)),"Dire","Radiant"),"")</f>
        <v/>
      </c>
    </row>
    <row r="1338" spans="20:21" x14ac:dyDescent="0.3">
      <c r="T1338" t="str">
        <f>IF(ISERROR(MATCH('Analysis backend'!$M$1,E1338:N1338,0)),"",'Analysis backend'!$L$1)</f>
        <v/>
      </c>
      <c r="U1338" t="str">
        <f>IF(T1338='Analysis backend'!$L$1,IF(ISERROR(MATCH('Analysis backend'!$M$1,E1338:I1338,0)),"Dire","Radiant"),"")</f>
        <v/>
      </c>
    </row>
    <row r="1339" spans="20:21" x14ac:dyDescent="0.3">
      <c r="T1339" t="str">
        <f>IF(ISERROR(MATCH('Analysis backend'!$M$1,E1339:N1339,0)),"",'Analysis backend'!$L$1)</f>
        <v/>
      </c>
      <c r="U1339" t="str">
        <f>IF(T1339='Analysis backend'!$L$1,IF(ISERROR(MATCH('Analysis backend'!$M$1,E1339:I1339,0)),"Dire","Radiant"),"")</f>
        <v/>
      </c>
    </row>
    <row r="1340" spans="20:21" x14ac:dyDescent="0.3">
      <c r="T1340" t="str">
        <f>IF(ISERROR(MATCH('Analysis backend'!$M$1,E1340:N1340,0)),"",'Analysis backend'!$L$1)</f>
        <v/>
      </c>
      <c r="U1340" t="str">
        <f>IF(T1340='Analysis backend'!$L$1,IF(ISERROR(MATCH('Analysis backend'!$M$1,E1340:I1340,0)),"Dire","Radiant"),"")</f>
        <v/>
      </c>
    </row>
    <row r="1341" spans="20:21" x14ac:dyDescent="0.3">
      <c r="T1341" t="str">
        <f>IF(ISERROR(MATCH('Analysis backend'!$M$1,E1341:N1341,0)),"",'Analysis backend'!$L$1)</f>
        <v/>
      </c>
      <c r="U1341" t="str">
        <f>IF(T1341='Analysis backend'!$L$1,IF(ISERROR(MATCH('Analysis backend'!$M$1,E1341:I1341,0)),"Dire","Radiant"),"")</f>
        <v/>
      </c>
    </row>
    <row r="1342" spans="20:21" x14ac:dyDescent="0.3">
      <c r="T1342" t="str">
        <f>IF(ISERROR(MATCH('Analysis backend'!$M$1,E1342:N1342,0)),"",'Analysis backend'!$L$1)</f>
        <v/>
      </c>
      <c r="U1342" t="str">
        <f>IF(T1342='Analysis backend'!$L$1,IF(ISERROR(MATCH('Analysis backend'!$M$1,E1342:I1342,0)),"Dire","Radiant"),"")</f>
        <v/>
      </c>
    </row>
    <row r="1343" spans="20:21" x14ac:dyDescent="0.3">
      <c r="T1343" t="str">
        <f>IF(ISERROR(MATCH('Analysis backend'!$M$1,E1343:N1343,0)),"",'Analysis backend'!$L$1)</f>
        <v/>
      </c>
      <c r="U1343" t="str">
        <f>IF(T1343='Analysis backend'!$L$1,IF(ISERROR(MATCH('Analysis backend'!$M$1,E1343:I1343,0)),"Dire","Radiant"),"")</f>
        <v/>
      </c>
    </row>
    <row r="1344" spans="20:21" x14ac:dyDescent="0.3">
      <c r="T1344" t="str">
        <f>IF(ISERROR(MATCH('Analysis backend'!$M$1,E1344:N1344,0)),"",'Analysis backend'!$L$1)</f>
        <v/>
      </c>
      <c r="U1344" t="str">
        <f>IF(T1344='Analysis backend'!$L$1,IF(ISERROR(MATCH('Analysis backend'!$M$1,E1344:I1344,0)),"Dire","Radiant"),"")</f>
        <v/>
      </c>
    </row>
    <row r="1345" spans="20:21" x14ac:dyDescent="0.3">
      <c r="T1345" t="str">
        <f>IF(ISERROR(MATCH('Analysis backend'!$M$1,E1345:N1345,0)),"",'Analysis backend'!$L$1)</f>
        <v/>
      </c>
      <c r="U1345" t="str">
        <f>IF(T1345='Analysis backend'!$L$1,IF(ISERROR(MATCH('Analysis backend'!$M$1,E1345:I1345,0)),"Dire","Radiant"),"")</f>
        <v/>
      </c>
    </row>
    <row r="1346" spans="20:21" x14ac:dyDescent="0.3">
      <c r="T1346" t="str">
        <f>IF(ISERROR(MATCH('Analysis backend'!$M$1,E1346:N1346,0)),"",'Analysis backend'!$L$1)</f>
        <v/>
      </c>
      <c r="U1346" t="str">
        <f>IF(T1346='Analysis backend'!$L$1,IF(ISERROR(MATCH('Analysis backend'!$M$1,E1346:I1346,0)),"Dire","Radiant"),"")</f>
        <v/>
      </c>
    </row>
    <row r="1347" spans="20:21" x14ac:dyDescent="0.3">
      <c r="T1347" t="str">
        <f>IF(ISERROR(MATCH('Analysis backend'!$M$1,E1347:N1347,0)),"",'Analysis backend'!$L$1)</f>
        <v/>
      </c>
      <c r="U1347" t="str">
        <f>IF(T1347='Analysis backend'!$L$1,IF(ISERROR(MATCH('Analysis backend'!$M$1,E1347:I1347,0)),"Dire","Radiant"),"")</f>
        <v/>
      </c>
    </row>
    <row r="1348" spans="20:21" x14ac:dyDescent="0.3">
      <c r="T1348" t="str">
        <f>IF(ISERROR(MATCH('Analysis backend'!$M$1,E1348:N1348,0)),"",'Analysis backend'!$L$1)</f>
        <v/>
      </c>
      <c r="U1348" t="str">
        <f>IF(T1348='Analysis backend'!$L$1,IF(ISERROR(MATCH('Analysis backend'!$M$1,E1348:I1348,0)),"Dire","Radiant"),"")</f>
        <v/>
      </c>
    </row>
    <row r="1349" spans="20:21" x14ac:dyDescent="0.3">
      <c r="T1349" t="str">
        <f>IF(ISERROR(MATCH('Analysis backend'!$M$1,E1349:N1349,0)),"",'Analysis backend'!$L$1)</f>
        <v/>
      </c>
      <c r="U1349" t="str">
        <f>IF(T1349='Analysis backend'!$L$1,IF(ISERROR(MATCH('Analysis backend'!$M$1,E1349:I1349,0)),"Dire","Radiant"),"")</f>
        <v/>
      </c>
    </row>
    <row r="1350" spans="20:21" x14ac:dyDescent="0.3">
      <c r="T1350" t="str">
        <f>IF(ISERROR(MATCH('Analysis backend'!$M$1,E1350:N1350,0)),"",'Analysis backend'!$L$1)</f>
        <v/>
      </c>
      <c r="U1350" t="str">
        <f>IF(T1350='Analysis backend'!$L$1,IF(ISERROR(MATCH('Analysis backend'!$M$1,E1350:I1350,0)),"Dire","Radiant"),"")</f>
        <v/>
      </c>
    </row>
    <row r="1351" spans="20:21" x14ac:dyDescent="0.3">
      <c r="T1351" t="str">
        <f>IF(ISERROR(MATCH('Analysis backend'!$M$1,E1351:N1351,0)),"",'Analysis backend'!$L$1)</f>
        <v/>
      </c>
      <c r="U1351" t="str">
        <f>IF(T1351='Analysis backend'!$L$1,IF(ISERROR(MATCH('Analysis backend'!$M$1,E1351:I1351,0)),"Dire","Radiant"),"")</f>
        <v/>
      </c>
    </row>
    <row r="1352" spans="20:21" x14ac:dyDescent="0.3">
      <c r="T1352" t="str">
        <f>IF(ISERROR(MATCH('Analysis backend'!$M$1,E1352:N1352,0)),"",'Analysis backend'!$L$1)</f>
        <v/>
      </c>
      <c r="U1352" t="str">
        <f>IF(T1352='Analysis backend'!$L$1,IF(ISERROR(MATCH('Analysis backend'!$M$1,E1352:I1352,0)),"Dire","Radiant"),"")</f>
        <v/>
      </c>
    </row>
    <row r="1353" spans="20:21" x14ac:dyDescent="0.3">
      <c r="T1353" t="str">
        <f>IF(ISERROR(MATCH('Analysis backend'!$M$1,E1353:N1353,0)),"",'Analysis backend'!$L$1)</f>
        <v/>
      </c>
      <c r="U1353" t="str">
        <f>IF(T1353='Analysis backend'!$L$1,IF(ISERROR(MATCH('Analysis backend'!$M$1,E1353:I1353,0)),"Dire","Radiant"),"")</f>
        <v/>
      </c>
    </row>
    <row r="1354" spans="20:21" x14ac:dyDescent="0.3">
      <c r="T1354" t="str">
        <f>IF(ISERROR(MATCH('Analysis backend'!$M$1,E1354:N1354,0)),"",'Analysis backend'!$L$1)</f>
        <v/>
      </c>
      <c r="U1354" t="str">
        <f>IF(T1354='Analysis backend'!$L$1,IF(ISERROR(MATCH('Analysis backend'!$M$1,E1354:I1354,0)),"Dire","Radiant"),"")</f>
        <v/>
      </c>
    </row>
    <row r="1355" spans="20:21" x14ac:dyDescent="0.3">
      <c r="T1355" t="str">
        <f>IF(ISERROR(MATCH('Analysis backend'!$M$1,E1355:N1355,0)),"",'Analysis backend'!$L$1)</f>
        <v/>
      </c>
      <c r="U1355" t="str">
        <f>IF(T1355='Analysis backend'!$L$1,IF(ISERROR(MATCH('Analysis backend'!$M$1,E1355:I1355,0)),"Dire","Radiant"),"")</f>
        <v/>
      </c>
    </row>
    <row r="1356" spans="20:21" x14ac:dyDescent="0.3">
      <c r="T1356" t="str">
        <f>IF(ISERROR(MATCH('Analysis backend'!$M$1,E1356:N1356,0)),"",'Analysis backend'!$L$1)</f>
        <v/>
      </c>
      <c r="U1356" t="str">
        <f>IF(T1356='Analysis backend'!$L$1,IF(ISERROR(MATCH('Analysis backend'!$M$1,E1356:I1356,0)),"Dire","Radiant"),"")</f>
        <v/>
      </c>
    </row>
    <row r="1357" spans="20:21" x14ac:dyDescent="0.3">
      <c r="T1357" t="str">
        <f>IF(ISERROR(MATCH('Analysis backend'!$M$1,E1357:N1357,0)),"",'Analysis backend'!$L$1)</f>
        <v/>
      </c>
      <c r="U1357" t="str">
        <f>IF(T1357='Analysis backend'!$L$1,IF(ISERROR(MATCH('Analysis backend'!$M$1,E1357:I1357,0)),"Dire","Radiant"),"")</f>
        <v/>
      </c>
    </row>
    <row r="1358" spans="20:21" x14ac:dyDescent="0.3">
      <c r="T1358" t="str">
        <f>IF(ISERROR(MATCH('Analysis backend'!$M$1,E1358:N1358,0)),"",'Analysis backend'!$L$1)</f>
        <v/>
      </c>
      <c r="U1358" t="str">
        <f>IF(T1358='Analysis backend'!$L$1,IF(ISERROR(MATCH('Analysis backend'!$M$1,E1358:I1358,0)),"Dire","Radiant"),"")</f>
        <v/>
      </c>
    </row>
    <row r="1359" spans="20:21" x14ac:dyDescent="0.3">
      <c r="T1359" t="str">
        <f>IF(ISERROR(MATCH('Analysis backend'!$M$1,E1359:N1359,0)),"",'Analysis backend'!$L$1)</f>
        <v/>
      </c>
      <c r="U1359" t="str">
        <f>IF(T1359='Analysis backend'!$L$1,IF(ISERROR(MATCH('Analysis backend'!$M$1,E1359:I1359,0)),"Dire","Radiant"),"")</f>
        <v/>
      </c>
    </row>
    <row r="1360" spans="20:21" x14ac:dyDescent="0.3">
      <c r="T1360" t="str">
        <f>IF(ISERROR(MATCH('Analysis backend'!$M$1,E1360:N1360,0)),"",'Analysis backend'!$L$1)</f>
        <v/>
      </c>
      <c r="U1360" t="str">
        <f>IF(T1360='Analysis backend'!$L$1,IF(ISERROR(MATCH('Analysis backend'!$M$1,E1360:I1360,0)),"Dire","Radiant"),"")</f>
        <v/>
      </c>
    </row>
    <row r="1361" spans="20:21" x14ac:dyDescent="0.3">
      <c r="T1361" t="str">
        <f>IF(ISERROR(MATCH('Analysis backend'!$M$1,E1361:N1361,0)),"",'Analysis backend'!$L$1)</f>
        <v/>
      </c>
      <c r="U1361" t="str">
        <f>IF(T1361='Analysis backend'!$L$1,IF(ISERROR(MATCH('Analysis backend'!$M$1,E1361:I1361,0)),"Dire","Radiant"),"")</f>
        <v/>
      </c>
    </row>
    <row r="1362" spans="20:21" x14ac:dyDescent="0.3">
      <c r="T1362" t="str">
        <f>IF(ISERROR(MATCH('Analysis backend'!$M$1,E1362:N1362,0)),"",'Analysis backend'!$L$1)</f>
        <v/>
      </c>
      <c r="U1362" t="str">
        <f>IF(T1362='Analysis backend'!$L$1,IF(ISERROR(MATCH('Analysis backend'!$M$1,E1362:I1362,0)),"Dire","Radiant"),"")</f>
        <v/>
      </c>
    </row>
    <row r="1363" spans="20:21" x14ac:dyDescent="0.3">
      <c r="T1363" t="str">
        <f>IF(ISERROR(MATCH('Analysis backend'!$M$1,E1363:N1363,0)),"",'Analysis backend'!$L$1)</f>
        <v/>
      </c>
      <c r="U1363" t="str">
        <f>IF(T1363='Analysis backend'!$L$1,IF(ISERROR(MATCH('Analysis backend'!$M$1,E1363:I1363,0)),"Dire","Radiant"),"")</f>
        <v/>
      </c>
    </row>
    <row r="1364" spans="20:21" x14ac:dyDescent="0.3">
      <c r="T1364" t="str">
        <f>IF(ISERROR(MATCH('Analysis backend'!$M$1,E1364:N1364,0)),"",'Analysis backend'!$L$1)</f>
        <v/>
      </c>
      <c r="U1364" t="str">
        <f>IF(T1364='Analysis backend'!$L$1,IF(ISERROR(MATCH('Analysis backend'!$M$1,E1364:I1364,0)),"Dire","Radiant"),"")</f>
        <v/>
      </c>
    </row>
    <row r="1365" spans="20:21" x14ac:dyDescent="0.3">
      <c r="T1365" t="str">
        <f>IF(ISERROR(MATCH('Analysis backend'!$M$1,E1365:N1365,0)),"",'Analysis backend'!$L$1)</f>
        <v/>
      </c>
      <c r="U1365" t="str">
        <f>IF(T1365='Analysis backend'!$L$1,IF(ISERROR(MATCH('Analysis backend'!$M$1,E1365:I1365,0)),"Dire","Radiant"),"")</f>
        <v/>
      </c>
    </row>
    <row r="1366" spans="20:21" x14ac:dyDescent="0.3">
      <c r="T1366" t="str">
        <f>IF(ISERROR(MATCH('Analysis backend'!$M$1,E1366:N1366,0)),"",'Analysis backend'!$L$1)</f>
        <v/>
      </c>
      <c r="U1366" t="str">
        <f>IF(T1366='Analysis backend'!$L$1,IF(ISERROR(MATCH('Analysis backend'!$M$1,E1366:I1366,0)),"Dire","Radiant"),"")</f>
        <v/>
      </c>
    </row>
    <row r="1367" spans="20:21" x14ac:dyDescent="0.3">
      <c r="T1367" t="str">
        <f>IF(ISERROR(MATCH('Analysis backend'!$M$1,E1367:N1367,0)),"",'Analysis backend'!$L$1)</f>
        <v/>
      </c>
      <c r="U1367" t="str">
        <f>IF(T1367='Analysis backend'!$L$1,IF(ISERROR(MATCH('Analysis backend'!$M$1,E1367:I1367,0)),"Dire","Radiant"),"")</f>
        <v/>
      </c>
    </row>
    <row r="1368" spans="20:21" x14ac:dyDescent="0.3">
      <c r="T1368" t="str">
        <f>IF(ISERROR(MATCH('Analysis backend'!$M$1,E1368:N1368,0)),"",'Analysis backend'!$L$1)</f>
        <v/>
      </c>
      <c r="U1368" t="str">
        <f>IF(T1368='Analysis backend'!$L$1,IF(ISERROR(MATCH('Analysis backend'!$M$1,E1368:I1368,0)),"Dire","Radiant"),"")</f>
        <v/>
      </c>
    </row>
    <row r="1369" spans="20:21" x14ac:dyDescent="0.3">
      <c r="T1369" t="str">
        <f>IF(ISERROR(MATCH('Analysis backend'!$M$1,E1369:N1369,0)),"",'Analysis backend'!$L$1)</f>
        <v/>
      </c>
      <c r="U1369" t="str">
        <f>IF(T1369='Analysis backend'!$L$1,IF(ISERROR(MATCH('Analysis backend'!$M$1,E1369:I1369,0)),"Dire","Radiant"),"")</f>
        <v/>
      </c>
    </row>
    <row r="1370" spans="20:21" x14ac:dyDescent="0.3">
      <c r="T1370" t="str">
        <f>IF(ISERROR(MATCH('Analysis backend'!$M$1,E1370:N1370,0)),"",'Analysis backend'!$L$1)</f>
        <v/>
      </c>
      <c r="U1370" t="str">
        <f>IF(T1370='Analysis backend'!$L$1,IF(ISERROR(MATCH('Analysis backend'!$M$1,E1370:I1370,0)),"Dire","Radiant"),"")</f>
        <v/>
      </c>
    </row>
    <row r="1371" spans="20:21" x14ac:dyDescent="0.3">
      <c r="T1371" t="str">
        <f>IF(ISERROR(MATCH('Analysis backend'!$M$1,E1371:N1371,0)),"",'Analysis backend'!$L$1)</f>
        <v/>
      </c>
      <c r="U1371" t="str">
        <f>IF(T1371='Analysis backend'!$L$1,IF(ISERROR(MATCH('Analysis backend'!$M$1,E1371:I1371,0)),"Dire","Radiant"),"")</f>
        <v/>
      </c>
    </row>
    <row r="1372" spans="20:21" x14ac:dyDescent="0.3">
      <c r="T1372" t="str">
        <f>IF(ISERROR(MATCH('Analysis backend'!$M$1,E1372:N1372,0)),"",'Analysis backend'!$L$1)</f>
        <v/>
      </c>
      <c r="U1372" t="str">
        <f>IF(T1372='Analysis backend'!$L$1,IF(ISERROR(MATCH('Analysis backend'!$M$1,E1372:I1372,0)),"Dire","Radiant"),"")</f>
        <v/>
      </c>
    </row>
    <row r="1373" spans="20:21" x14ac:dyDescent="0.3">
      <c r="T1373" t="str">
        <f>IF(ISERROR(MATCH('Analysis backend'!$M$1,E1373:N1373,0)),"",'Analysis backend'!$L$1)</f>
        <v/>
      </c>
      <c r="U1373" t="str">
        <f>IF(T1373='Analysis backend'!$L$1,IF(ISERROR(MATCH('Analysis backend'!$M$1,E1373:I1373,0)),"Dire","Radiant"),"")</f>
        <v/>
      </c>
    </row>
    <row r="1374" spans="20:21" x14ac:dyDescent="0.3">
      <c r="T1374" t="str">
        <f>IF(ISERROR(MATCH('Analysis backend'!$M$1,E1374:N1374,0)),"",'Analysis backend'!$L$1)</f>
        <v/>
      </c>
      <c r="U1374" t="str">
        <f>IF(T1374='Analysis backend'!$L$1,IF(ISERROR(MATCH('Analysis backend'!$M$1,E1374:I1374,0)),"Dire","Radiant"),"")</f>
        <v/>
      </c>
    </row>
    <row r="1375" spans="20:21" x14ac:dyDescent="0.3">
      <c r="T1375" t="str">
        <f>IF(ISERROR(MATCH('Analysis backend'!$M$1,E1375:N1375,0)),"",'Analysis backend'!$L$1)</f>
        <v/>
      </c>
      <c r="U1375" t="str">
        <f>IF(T1375='Analysis backend'!$L$1,IF(ISERROR(MATCH('Analysis backend'!$M$1,E1375:I1375,0)),"Dire","Radiant"),"")</f>
        <v/>
      </c>
    </row>
    <row r="1376" spans="20:21" x14ac:dyDescent="0.3">
      <c r="T1376" t="str">
        <f>IF(ISERROR(MATCH('Analysis backend'!$M$1,E1376:N1376,0)),"",'Analysis backend'!$L$1)</f>
        <v/>
      </c>
      <c r="U1376" t="str">
        <f>IF(T1376='Analysis backend'!$L$1,IF(ISERROR(MATCH('Analysis backend'!$M$1,E1376:I1376,0)),"Dire","Radiant"),"")</f>
        <v/>
      </c>
    </row>
    <row r="1377" spans="20:21" x14ac:dyDescent="0.3">
      <c r="T1377" t="str">
        <f>IF(ISERROR(MATCH('Analysis backend'!$M$1,E1377:N1377,0)),"",'Analysis backend'!$L$1)</f>
        <v/>
      </c>
      <c r="U1377" t="str">
        <f>IF(T1377='Analysis backend'!$L$1,IF(ISERROR(MATCH('Analysis backend'!$M$1,E1377:I1377,0)),"Dire","Radiant"),"")</f>
        <v/>
      </c>
    </row>
    <row r="1378" spans="20:21" x14ac:dyDescent="0.3">
      <c r="T1378" t="str">
        <f>IF(ISERROR(MATCH('Analysis backend'!$M$1,E1378:N1378,0)),"",'Analysis backend'!$L$1)</f>
        <v/>
      </c>
      <c r="U1378" t="str">
        <f>IF(T1378='Analysis backend'!$L$1,IF(ISERROR(MATCH('Analysis backend'!$M$1,E1378:I1378,0)),"Dire","Radiant"),"")</f>
        <v/>
      </c>
    </row>
    <row r="1379" spans="20:21" x14ac:dyDescent="0.3">
      <c r="T1379" t="str">
        <f>IF(ISERROR(MATCH('Analysis backend'!$M$1,E1379:N1379,0)),"",'Analysis backend'!$L$1)</f>
        <v/>
      </c>
      <c r="U1379" t="str">
        <f>IF(T1379='Analysis backend'!$L$1,IF(ISERROR(MATCH('Analysis backend'!$M$1,E1379:I1379,0)),"Dire","Radiant"),"")</f>
        <v/>
      </c>
    </row>
    <row r="1380" spans="20:21" x14ac:dyDescent="0.3">
      <c r="T1380" t="str">
        <f>IF(ISERROR(MATCH('Analysis backend'!$M$1,E1380:N1380,0)),"",'Analysis backend'!$L$1)</f>
        <v/>
      </c>
      <c r="U1380" t="str">
        <f>IF(T1380='Analysis backend'!$L$1,IF(ISERROR(MATCH('Analysis backend'!$M$1,E1380:I1380,0)),"Dire","Radiant"),"")</f>
        <v/>
      </c>
    </row>
    <row r="1381" spans="20:21" x14ac:dyDescent="0.3">
      <c r="T1381" t="str">
        <f>IF(ISERROR(MATCH('Analysis backend'!$M$1,E1381:N1381,0)),"",'Analysis backend'!$L$1)</f>
        <v/>
      </c>
      <c r="U1381" t="str">
        <f>IF(T1381='Analysis backend'!$L$1,IF(ISERROR(MATCH('Analysis backend'!$M$1,E1381:I1381,0)),"Dire","Radiant"),"")</f>
        <v/>
      </c>
    </row>
    <row r="1382" spans="20:21" x14ac:dyDescent="0.3">
      <c r="T1382" t="str">
        <f>IF(ISERROR(MATCH('Analysis backend'!$M$1,E1382:N1382,0)),"",'Analysis backend'!$L$1)</f>
        <v/>
      </c>
      <c r="U1382" t="str">
        <f>IF(T1382='Analysis backend'!$L$1,IF(ISERROR(MATCH('Analysis backend'!$M$1,E1382:I1382,0)),"Dire","Radiant"),"")</f>
        <v/>
      </c>
    </row>
    <row r="1383" spans="20:21" x14ac:dyDescent="0.3">
      <c r="T1383" t="str">
        <f>IF(ISERROR(MATCH('Analysis backend'!$M$1,E1383:N1383,0)),"",'Analysis backend'!$L$1)</f>
        <v/>
      </c>
      <c r="U1383" t="str">
        <f>IF(T1383='Analysis backend'!$L$1,IF(ISERROR(MATCH('Analysis backend'!$M$1,E1383:I1383,0)),"Dire","Radiant"),"")</f>
        <v/>
      </c>
    </row>
    <row r="1384" spans="20:21" x14ac:dyDescent="0.3">
      <c r="T1384" t="str">
        <f>IF(ISERROR(MATCH('Analysis backend'!$M$1,E1384:N1384,0)),"",'Analysis backend'!$L$1)</f>
        <v/>
      </c>
      <c r="U1384" t="str">
        <f>IF(T1384='Analysis backend'!$L$1,IF(ISERROR(MATCH('Analysis backend'!$M$1,E1384:I1384,0)),"Dire","Radiant"),"")</f>
        <v/>
      </c>
    </row>
    <row r="1385" spans="20:21" x14ac:dyDescent="0.3">
      <c r="T1385" t="str">
        <f>IF(ISERROR(MATCH('Analysis backend'!$M$1,E1385:N1385,0)),"",'Analysis backend'!$L$1)</f>
        <v/>
      </c>
      <c r="U1385" t="str">
        <f>IF(T1385='Analysis backend'!$L$1,IF(ISERROR(MATCH('Analysis backend'!$M$1,E1385:I1385,0)),"Dire","Radiant"),"")</f>
        <v/>
      </c>
    </row>
    <row r="1386" spans="20:21" x14ac:dyDescent="0.3">
      <c r="T1386" t="str">
        <f>IF(ISERROR(MATCH('Analysis backend'!$M$1,E1386:N1386,0)),"",'Analysis backend'!$L$1)</f>
        <v/>
      </c>
      <c r="U1386" t="str">
        <f>IF(T1386='Analysis backend'!$L$1,IF(ISERROR(MATCH('Analysis backend'!$M$1,E1386:I1386,0)),"Dire","Radiant"),"")</f>
        <v/>
      </c>
    </row>
    <row r="1387" spans="20:21" x14ac:dyDescent="0.3">
      <c r="T1387" t="str">
        <f>IF(ISERROR(MATCH('Analysis backend'!$M$1,E1387:N1387,0)),"",'Analysis backend'!$L$1)</f>
        <v/>
      </c>
      <c r="U1387" t="str">
        <f>IF(T1387='Analysis backend'!$L$1,IF(ISERROR(MATCH('Analysis backend'!$M$1,E1387:I1387,0)),"Dire","Radiant"),"")</f>
        <v/>
      </c>
    </row>
    <row r="1388" spans="20:21" x14ac:dyDescent="0.3">
      <c r="T1388" t="str">
        <f>IF(ISERROR(MATCH('Analysis backend'!$M$1,E1388:N1388,0)),"",'Analysis backend'!$L$1)</f>
        <v/>
      </c>
      <c r="U1388" t="str">
        <f>IF(T1388='Analysis backend'!$L$1,IF(ISERROR(MATCH('Analysis backend'!$M$1,E1388:I1388,0)),"Dire","Radiant"),"")</f>
        <v/>
      </c>
    </row>
    <row r="1389" spans="20:21" x14ac:dyDescent="0.3">
      <c r="T1389" t="str">
        <f>IF(ISERROR(MATCH('Analysis backend'!$M$1,E1389:N1389,0)),"",'Analysis backend'!$L$1)</f>
        <v/>
      </c>
      <c r="U1389" t="str">
        <f>IF(T1389='Analysis backend'!$L$1,IF(ISERROR(MATCH('Analysis backend'!$M$1,E1389:I1389,0)),"Dire","Radiant"),"")</f>
        <v/>
      </c>
    </row>
    <row r="1390" spans="20:21" x14ac:dyDescent="0.3">
      <c r="T1390" t="str">
        <f>IF(ISERROR(MATCH('Analysis backend'!$M$1,E1390:N1390,0)),"",'Analysis backend'!$L$1)</f>
        <v/>
      </c>
      <c r="U1390" t="str">
        <f>IF(T1390='Analysis backend'!$L$1,IF(ISERROR(MATCH('Analysis backend'!$M$1,E1390:I1390,0)),"Dire","Radiant"),"")</f>
        <v/>
      </c>
    </row>
    <row r="1391" spans="20:21" x14ac:dyDescent="0.3">
      <c r="T1391" t="str">
        <f>IF(ISERROR(MATCH('Analysis backend'!$M$1,E1391:N1391,0)),"",'Analysis backend'!$L$1)</f>
        <v/>
      </c>
      <c r="U1391" t="str">
        <f>IF(T1391='Analysis backend'!$L$1,IF(ISERROR(MATCH('Analysis backend'!$M$1,E1391:I1391,0)),"Dire","Radiant"),"")</f>
        <v/>
      </c>
    </row>
    <row r="1392" spans="20:21" x14ac:dyDescent="0.3">
      <c r="T1392" t="str">
        <f>IF(ISERROR(MATCH('Analysis backend'!$M$1,E1392:N1392,0)),"",'Analysis backend'!$L$1)</f>
        <v/>
      </c>
      <c r="U1392" t="str">
        <f>IF(T1392='Analysis backend'!$L$1,IF(ISERROR(MATCH('Analysis backend'!$M$1,E1392:I1392,0)),"Dire","Radiant"),"")</f>
        <v/>
      </c>
    </row>
    <row r="1393" spans="20:21" x14ac:dyDescent="0.3">
      <c r="T1393" t="str">
        <f>IF(ISERROR(MATCH('Analysis backend'!$M$1,E1393:N1393,0)),"",'Analysis backend'!$L$1)</f>
        <v/>
      </c>
      <c r="U1393" t="str">
        <f>IF(T1393='Analysis backend'!$L$1,IF(ISERROR(MATCH('Analysis backend'!$M$1,E1393:I1393,0)),"Dire","Radiant"),"")</f>
        <v/>
      </c>
    </row>
    <row r="1394" spans="20:21" x14ac:dyDescent="0.3">
      <c r="T1394" t="str">
        <f>IF(ISERROR(MATCH('Analysis backend'!$M$1,E1394:N1394,0)),"",'Analysis backend'!$L$1)</f>
        <v/>
      </c>
      <c r="U1394" t="str">
        <f>IF(T1394='Analysis backend'!$L$1,IF(ISERROR(MATCH('Analysis backend'!$M$1,E1394:I1394,0)),"Dire","Radiant"),"")</f>
        <v/>
      </c>
    </row>
    <row r="1395" spans="20:21" x14ac:dyDescent="0.3">
      <c r="T1395" t="str">
        <f>IF(ISERROR(MATCH('Analysis backend'!$M$1,E1395:N1395,0)),"",'Analysis backend'!$L$1)</f>
        <v/>
      </c>
      <c r="U1395" t="str">
        <f>IF(T1395='Analysis backend'!$L$1,IF(ISERROR(MATCH('Analysis backend'!$M$1,E1395:I1395,0)),"Dire","Radiant"),"")</f>
        <v/>
      </c>
    </row>
    <row r="1396" spans="20:21" x14ac:dyDescent="0.3">
      <c r="T1396" t="str">
        <f>IF(ISERROR(MATCH('Analysis backend'!$M$1,E1396:N1396,0)),"",'Analysis backend'!$L$1)</f>
        <v/>
      </c>
      <c r="U1396" t="str">
        <f>IF(T1396='Analysis backend'!$L$1,IF(ISERROR(MATCH('Analysis backend'!$M$1,E1396:I1396,0)),"Dire","Radiant"),"")</f>
        <v/>
      </c>
    </row>
    <row r="1397" spans="20:21" x14ac:dyDescent="0.3">
      <c r="T1397" t="str">
        <f>IF(ISERROR(MATCH('Analysis backend'!$M$1,E1397:N1397,0)),"",'Analysis backend'!$L$1)</f>
        <v/>
      </c>
      <c r="U1397" t="str">
        <f>IF(T1397='Analysis backend'!$L$1,IF(ISERROR(MATCH('Analysis backend'!$M$1,E1397:I1397,0)),"Dire","Radiant"),"")</f>
        <v/>
      </c>
    </row>
    <row r="1398" spans="20:21" x14ac:dyDescent="0.3">
      <c r="T1398" t="str">
        <f>IF(ISERROR(MATCH('Analysis backend'!$M$1,E1398:N1398,0)),"",'Analysis backend'!$L$1)</f>
        <v/>
      </c>
      <c r="U1398" t="str">
        <f>IF(T1398='Analysis backend'!$L$1,IF(ISERROR(MATCH('Analysis backend'!$M$1,E1398:I1398,0)),"Dire","Radiant"),"")</f>
        <v/>
      </c>
    </row>
    <row r="1399" spans="20:21" x14ac:dyDescent="0.3">
      <c r="T1399" t="str">
        <f>IF(ISERROR(MATCH('Analysis backend'!$M$1,E1399:N1399,0)),"",'Analysis backend'!$L$1)</f>
        <v/>
      </c>
      <c r="U1399" t="str">
        <f>IF(T1399='Analysis backend'!$L$1,IF(ISERROR(MATCH('Analysis backend'!$M$1,E1399:I1399,0)),"Dire","Radiant"),"")</f>
        <v/>
      </c>
    </row>
    <row r="1400" spans="20:21" x14ac:dyDescent="0.3">
      <c r="T1400" t="str">
        <f>IF(ISERROR(MATCH('Analysis backend'!$M$1,E1400:N1400,0)),"",'Analysis backend'!$L$1)</f>
        <v/>
      </c>
      <c r="U1400" t="str">
        <f>IF(T1400='Analysis backend'!$L$1,IF(ISERROR(MATCH('Analysis backend'!$M$1,E1400:I1400,0)),"Dire","Radiant"),"")</f>
        <v/>
      </c>
    </row>
    <row r="1401" spans="20:21" x14ac:dyDescent="0.3">
      <c r="T1401" t="str">
        <f>IF(ISERROR(MATCH('Analysis backend'!$M$1,E1401:N1401,0)),"",'Analysis backend'!$L$1)</f>
        <v/>
      </c>
      <c r="U1401" t="str">
        <f>IF(T1401='Analysis backend'!$L$1,IF(ISERROR(MATCH('Analysis backend'!$M$1,E1401:I1401,0)),"Dire","Radiant"),"")</f>
        <v/>
      </c>
    </row>
    <row r="1402" spans="20:21" x14ac:dyDescent="0.3">
      <c r="T1402" t="str">
        <f>IF(ISERROR(MATCH('Analysis backend'!$M$1,E1402:N1402,0)),"",'Analysis backend'!$L$1)</f>
        <v/>
      </c>
      <c r="U1402" t="str">
        <f>IF(T1402='Analysis backend'!$L$1,IF(ISERROR(MATCH('Analysis backend'!$M$1,E1402:I1402,0)),"Dire","Radiant"),"")</f>
        <v/>
      </c>
    </row>
    <row r="1403" spans="20:21" x14ac:dyDescent="0.3">
      <c r="T1403" t="str">
        <f>IF(ISERROR(MATCH('Analysis backend'!$M$1,E1403:N1403,0)),"",'Analysis backend'!$L$1)</f>
        <v/>
      </c>
      <c r="U1403" t="str">
        <f>IF(T1403='Analysis backend'!$L$1,IF(ISERROR(MATCH('Analysis backend'!$M$1,E1403:I1403,0)),"Dire","Radiant"),"")</f>
        <v/>
      </c>
    </row>
    <row r="1404" spans="20:21" x14ac:dyDescent="0.3">
      <c r="T1404" t="str">
        <f>IF(ISERROR(MATCH('Analysis backend'!$M$1,E1404:N1404,0)),"",'Analysis backend'!$L$1)</f>
        <v/>
      </c>
      <c r="U1404" t="str">
        <f>IF(T1404='Analysis backend'!$L$1,IF(ISERROR(MATCH('Analysis backend'!$M$1,E1404:I1404,0)),"Dire","Radiant"),"")</f>
        <v/>
      </c>
    </row>
    <row r="1405" spans="20:21" x14ac:dyDescent="0.3">
      <c r="T1405" t="str">
        <f>IF(ISERROR(MATCH('Analysis backend'!$M$1,E1405:N1405,0)),"",'Analysis backend'!$L$1)</f>
        <v/>
      </c>
      <c r="U1405" t="str">
        <f>IF(T1405='Analysis backend'!$L$1,IF(ISERROR(MATCH('Analysis backend'!$M$1,E1405:I1405,0)),"Dire","Radiant"),"")</f>
        <v/>
      </c>
    </row>
    <row r="1406" spans="20:21" x14ac:dyDescent="0.3">
      <c r="T1406" t="str">
        <f>IF(ISERROR(MATCH('Analysis backend'!$M$1,E1406:N1406,0)),"",'Analysis backend'!$L$1)</f>
        <v/>
      </c>
      <c r="U1406" t="str">
        <f>IF(T1406='Analysis backend'!$L$1,IF(ISERROR(MATCH('Analysis backend'!$M$1,E1406:I1406,0)),"Dire","Radiant"),"")</f>
        <v/>
      </c>
    </row>
    <row r="1407" spans="20:21" x14ac:dyDescent="0.3">
      <c r="T1407" t="str">
        <f>IF(ISERROR(MATCH('Analysis backend'!$M$1,E1407:N1407,0)),"",'Analysis backend'!$L$1)</f>
        <v/>
      </c>
      <c r="U1407" t="str">
        <f>IF(T1407='Analysis backend'!$L$1,IF(ISERROR(MATCH('Analysis backend'!$M$1,E1407:I1407,0)),"Dire","Radiant"),"")</f>
        <v/>
      </c>
    </row>
    <row r="1408" spans="20:21" x14ac:dyDescent="0.3">
      <c r="T1408" t="str">
        <f>IF(ISERROR(MATCH('Analysis backend'!$M$1,E1408:N1408,0)),"",'Analysis backend'!$L$1)</f>
        <v/>
      </c>
      <c r="U1408" t="str">
        <f>IF(T1408='Analysis backend'!$L$1,IF(ISERROR(MATCH('Analysis backend'!$M$1,E1408:I1408,0)),"Dire","Radiant"),"")</f>
        <v/>
      </c>
    </row>
    <row r="1409" spans="20:21" x14ac:dyDescent="0.3">
      <c r="T1409" t="str">
        <f>IF(ISERROR(MATCH('Analysis backend'!$M$1,E1409:N1409,0)),"",'Analysis backend'!$L$1)</f>
        <v/>
      </c>
      <c r="U1409" t="str">
        <f>IF(T1409='Analysis backend'!$L$1,IF(ISERROR(MATCH('Analysis backend'!$M$1,E1409:I1409,0)),"Dire","Radiant"),"")</f>
        <v/>
      </c>
    </row>
    <row r="1410" spans="20:21" x14ac:dyDescent="0.3">
      <c r="T1410" t="str">
        <f>IF(ISERROR(MATCH('Analysis backend'!$M$1,E1410:N1410,0)),"",'Analysis backend'!$L$1)</f>
        <v/>
      </c>
      <c r="U1410" t="str">
        <f>IF(T1410='Analysis backend'!$L$1,IF(ISERROR(MATCH('Analysis backend'!$M$1,E1410:I1410,0)),"Dire","Radiant"),"")</f>
        <v/>
      </c>
    </row>
    <row r="1411" spans="20:21" x14ac:dyDescent="0.3">
      <c r="T1411" t="str">
        <f>IF(ISERROR(MATCH('Analysis backend'!$M$1,E1411:N1411,0)),"",'Analysis backend'!$L$1)</f>
        <v/>
      </c>
      <c r="U1411" t="str">
        <f>IF(T1411='Analysis backend'!$L$1,IF(ISERROR(MATCH('Analysis backend'!$M$1,E1411:I1411,0)),"Dire","Radiant"),"")</f>
        <v/>
      </c>
    </row>
    <row r="1412" spans="20:21" x14ac:dyDescent="0.3">
      <c r="T1412" t="str">
        <f>IF(ISERROR(MATCH('Analysis backend'!$M$1,E1412:N1412,0)),"",'Analysis backend'!$L$1)</f>
        <v/>
      </c>
      <c r="U1412" t="str">
        <f>IF(T1412='Analysis backend'!$L$1,IF(ISERROR(MATCH('Analysis backend'!$M$1,E1412:I1412,0)),"Dire","Radiant"),"")</f>
        <v/>
      </c>
    </row>
    <row r="1413" spans="20:21" x14ac:dyDescent="0.3">
      <c r="T1413" t="str">
        <f>IF(ISERROR(MATCH('Analysis backend'!$M$1,E1413:N1413,0)),"",'Analysis backend'!$L$1)</f>
        <v/>
      </c>
      <c r="U1413" t="str">
        <f>IF(T1413='Analysis backend'!$L$1,IF(ISERROR(MATCH('Analysis backend'!$M$1,E1413:I1413,0)),"Dire","Radiant"),"")</f>
        <v/>
      </c>
    </row>
    <row r="1414" spans="20:21" x14ac:dyDescent="0.3">
      <c r="T1414" t="str">
        <f>IF(ISERROR(MATCH('Analysis backend'!$M$1,E1414:N1414,0)),"",'Analysis backend'!$L$1)</f>
        <v/>
      </c>
      <c r="U1414" t="str">
        <f>IF(T1414='Analysis backend'!$L$1,IF(ISERROR(MATCH('Analysis backend'!$M$1,E1414:I1414,0)),"Dire","Radiant"),"")</f>
        <v/>
      </c>
    </row>
    <row r="1415" spans="20:21" x14ac:dyDescent="0.3">
      <c r="T1415" t="str">
        <f>IF(ISERROR(MATCH('Analysis backend'!$M$1,E1415:N1415,0)),"",'Analysis backend'!$L$1)</f>
        <v/>
      </c>
      <c r="U1415" t="str">
        <f>IF(T1415='Analysis backend'!$L$1,IF(ISERROR(MATCH('Analysis backend'!$M$1,E1415:I1415,0)),"Dire","Radiant"),"")</f>
        <v/>
      </c>
    </row>
    <row r="1416" spans="20:21" x14ac:dyDescent="0.3">
      <c r="T1416" t="str">
        <f>IF(ISERROR(MATCH('Analysis backend'!$M$1,E1416:N1416,0)),"",'Analysis backend'!$L$1)</f>
        <v/>
      </c>
      <c r="U1416" t="str">
        <f>IF(T1416='Analysis backend'!$L$1,IF(ISERROR(MATCH('Analysis backend'!$M$1,E1416:I1416,0)),"Dire","Radiant"),"")</f>
        <v/>
      </c>
    </row>
    <row r="1417" spans="20:21" x14ac:dyDescent="0.3">
      <c r="T1417" t="str">
        <f>IF(ISERROR(MATCH('Analysis backend'!$M$1,E1417:N1417,0)),"",'Analysis backend'!$L$1)</f>
        <v/>
      </c>
      <c r="U1417" t="str">
        <f>IF(T1417='Analysis backend'!$L$1,IF(ISERROR(MATCH('Analysis backend'!$M$1,E1417:I1417,0)),"Dire","Radiant"),"")</f>
        <v/>
      </c>
    </row>
    <row r="1418" spans="20:21" x14ac:dyDescent="0.3">
      <c r="T1418" t="str">
        <f>IF(ISERROR(MATCH('Analysis backend'!$M$1,E1418:N1418,0)),"",'Analysis backend'!$L$1)</f>
        <v/>
      </c>
      <c r="U1418" t="str">
        <f>IF(T1418='Analysis backend'!$L$1,IF(ISERROR(MATCH('Analysis backend'!$M$1,E1418:I1418,0)),"Dire","Radiant"),"")</f>
        <v/>
      </c>
    </row>
    <row r="1419" spans="20:21" x14ac:dyDescent="0.3">
      <c r="T1419" t="str">
        <f>IF(ISERROR(MATCH('Analysis backend'!$M$1,E1419:N1419,0)),"",'Analysis backend'!$L$1)</f>
        <v/>
      </c>
      <c r="U1419" t="str">
        <f>IF(T1419='Analysis backend'!$L$1,IF(ISERROR(MATCH('Analysis backend'!$M$1,E1419:I1419,0)),"Dire","Radiant"),"")</f>
        <v/>
      </c>
    </row>
    <row r="1420" spans="20:21" x14ac:dyDescent="0.3">
      <c r="T1420" t="str">
        <f>IF(ISERROR(MATCH('Analysis backend'!$M$1,E1420:N1420,0)),"",'Analysis backend'!$L$1)</f>
        <v/>
      </c>
      <c r="U1420" t="str">
        <f>IF(T1420='Analysis backend'!$L$1,IF(ISERROR(MATCH('Analysis backend'!$M$1,E1420:I1420,0)),"Dire","Radiant"),"")</f>
        <v/>
      </c>
    </row>
    <row r="1421" spans="20:21" x14ac:dyDescent="0.3">
      <c r="T1421" t="str">
        <f>IF(ISERROR(MATCH('Analysis backend'!$M$1,E1421:N1421,0)),"",'Analysis backend'!$L$1)</f>
        <v/>
      </c>
      <c r="U1421" t="str">
        <f>IF(T1421='Analysis backend'!$L$1,IF(ISERROR(MATCH('Analysis backend'!$M$1,E1421:I1421,0)),"Dire","Radiant"),"")</f>
        <v/>
      </c>
    </row>
    <row r="1422" spans="20:21" x14ac:dyDescent="0.3">
      <c r="T1422" t="str">
        <f>IF(ISERROR(MATCH('Analysis backend'!$M$1,E1422:N1422,0)),"",'Analysis backend'!$L$1)</f>
        <v/>
      </c>
      <c r="U1422" t="str">
        <f>IF(T1422='Analysis backend'!$L$1,IF(ISERROR(MATCH('Analysis backend'!$M$1,E1422:I1422,0)),"Dire","Radiant"),"")</f>
        <v/>
      </c>
    </row>
    <row r="1423" spans="20:21" x14ac:dyDescent="0.3">
      <c r="T1423" t="str">
        <f>IF(ISERROR(MATCH('Analysis backend'!$M$1,E1423:N1423,0)),"",'Analysis backend'!$L$1)</f>
        <v/>
      </c>
      <c r="U1423" t="str">
        <f>IF(T1423='Analysis backend'!$L$1,IF(ISERROR(MATCH('Analysis backend'!$M$1,E1423:I1423,0)),"Dire","Radiant"),"")</f>
        <v/>
      </c>
    </row>
    <row r="1424" spans="20:21" x14ac:dyDescent="0.3">
      <c r="T1424" t="str">
        <f>IF(ISERROR(MATCH('Analysis backend'!$M$1,E1424:N1424,0)),"",'Analysis backend'!$L$1)</f>
        <v/>
      </c>
      <c r="U1424" t="str">
        <f>IF(T1424='Analysis backend'!$L$1,IF(ISERROR(MATCH('Analysis backend'!$M$1,E1424:I1424,0)),"Dire","Radiant"),"")</f>
        <v/>
      </c>
    </row>
    <row r="1425" spans="20:21" x14ac:dyDescent="0.3">
      <c r="T1425" t="str">
        <f>IF(ISERROR(MATCH('Analysis backend'!$M$1,E1425:N1425,0)),"",'Analysis backend'!$L$1)</f>
        <v/>
      </c>
      <c r="U1425" t="str">
        <f>IF(T1425='Analysis backend'!$L$1,IF(ISERROR(MATCH('Analysis backend'!$M$1,E1425:I1425,0)),"Dire","Radiant"),"")</f>
        <v/>
      </c>
    </row>
    <row r="1426" spans="20:21" x14ac:dyDescent="0.3">
      <c r="T1426" t="str">
        <f>IF(ISERROR(MATCH('Analysis backend'!$M$1,E1426:N1426,0)),"",'Analysis backend'!$L$1)</f>
        <v/>
      </c>
      <c r="U1426" t="str">
        <f>IF(T1426='Analysis backend'!$L$1,IF(ISERROR(MATCH('Analysis backend'!$M$1,E1426:I1426,0)),"Dire","Radiant"),"")</f>
        <v/>
      </c>
    </row>
    <row r="1427" spans="20:21" x14ac:dyDescent="0.3">
      <c r="T1427" t="str">
        <f>IF(ISERROR(MATCH('Analysis backend'!$M$1,E1427:N1427,0)),"",'Analysis backend'!$L$1)</f>
        <v/>
      </c>
      <c r="U1427" t="str">
        <f>IF(T1427='Analysis backend'!$L$1,IF(ISERROR(MATCH('Analysis backend'!$M$1,E1427:I1427,0)),"Dire","Radiant"),"")</f>
        <v/>
      </c>
    </row>
    <row r="1428" spans="20:21" x14ac:dyDescent="0.3">
      <c r="T1428" t="str">
        <f>IF(ISERROR(MATCH('Analysis backend'!$M$1,E1428:N1428,0)),"",'Analysis backend'!$L$1)</f>
        <v/>
      </c>
      <c r="U1428" t="str">
        <f>IF(T1428='Analysis backend'!$L$1,IF(ISERROR(MATCH('Analysis backend'!$M$1,E1428:I1428,0)),"Dire","Radiant"),"")</f>
        <v/>
      </c>
    </row>
    <row r="1429" spans="20:21" x14ac:dyDescent="0.3">
      <c r="T1429" t="str">
        <f>IF(ISERROR(MATCH('Analysis backend'!$M$1,E1429:N1429,0)),"",'Analysis backend'!$L$1)</f>
        <v/>
      </c>
      <c r="U1429" t="str">
        <f>IF(T1429='Analysis backend'!$L$1,IF(ISERROR(MATCH('Analysis backend'!$M$1,E1429:I1429,0)),"Dire","Radiant"),"")</f>
        <v/>
      </c>
    </row>
    <row r="1430" spans="20:21" x14ac:dyDescent="0.3">
      <c r="T1430" t="str">
        <f>IF(ISERROR(MATCH('Analysis backend'!$M$1,E1430:N1430,0)),"",'Analysis backend'!$L$1)</f>
        <v/>
      </c>
      <c r="U1430" t="str">
        <f>IF(T1430='Analysis backend'!$L$1,IF(ISERROR(MATCH('Analysis backend'!$M$1,E1430:I1430,0)),"Dire","Radiant"),"")</f>
        <v/>
      </c>
    </row>
    <row r="1431" spans="20:21" x14ac:dyDescent="0.3">
      <c r="T1431" t="str">
        <f>IF(ISERROR(MATCH('Analysis backend'!$M$1,E1431:N1431,0)),"",'Analysis backend'!$L$1)</f>
        <v/>
      </c>
      <c r="U1431" t="str">
        <f>IF(T1431='Analysis backend'!$L$1,IF(ISERROR(MATCH('Analysis backend'!$M$1,E1431:I1431,0)),"Dire","Radiant"),"")</f>
        <v/>
      </c>
    </row>
    <row r="1432" spans="20:21" x14ac:dyDescent="0.3">
      <c r="T1432" t="str">
        <f>IF(ISERROR(MATCH('Analysis backend'!$M$1,E1432:N1432,0)),"",'Analysis backend'!$L$1)</f>
        <v/>
      </c>
      <c r="U1432" t="str">
        <f>IF(T1432='Analysis backend'!$L$1,IF(ISERROR(MATCH('Analysis backend'!$M$1,E1432:I1432,0)),"Dire","Radiant"),"")</f>
        <v/>
      </c>
    </row>
    <row r="1433" spans="20:21" x14ac:dyDescent="0.3">
      <c r="T1433" t="str">
        <f>IF(ISERROR(MATCH('Analysis backend'!$M$1,E1433:N1433,0)),"",'Analysis backend'!$L$1)</f>
        <v/>
      </c>
      <c r="U1433" t="str">
        <f>IF(T1433='Analysis backend'!$L$1,IF(ISERROR(MATCH('Analysis backend'!$M$1,E1433:I1433,0)),"Dire","Radiant"),"")</f>
        <v/>
      </c>
    </row>
    <row r="1434" spans="20:21" x14ac:dyDescent="0.3">
      <c r="T1434" t="str">
        <f>IF(ISERROR(MATCH('Analysis backend'!$M$1,E1434:N1434,0)),"",'Analysis backend'!$L$1)</f>
        <v/>
      </c>
      <c r="U1434" t="str">
        <f>IF(T1434='Analysis backend'!$L$1,IF(ISERROR(MATCH('Analysis backend'!$M$1,E1434:I1434,0)),"Dire","Radiant"),"")</f>
        <v/>
      </c>
    </row>
    <row r="1435" spans="20:21" x14ac:dyDescent="0.3">
      <c r="T1435" t="str">
        <f>IF(ISERROR(MATCH('Analysis backend'!$M$1,E1435:N1435,0)),"",'Analysis backend'!$L$1)</f>
        <v/>
      </c>
      <c r="U1435" t="str">
        <f>IF(T1435='Analysis backend'!$L$1,IF(ISERROR(MATCH('Analysis backend'!$M$1,E1435:I1435,0)),"Dire","Radiant"),"")</f>
        <v/>
      </c>
    </row>
    <row r="1436" spans="20:21" x14ac:dyDescent="0.3">
      <c r="T1436" t="str">
        <f>IF(ISERROR(MATCH('Analysis backend'!$M$1,E1436:N1436,0)),"",'Analysis backend'!$L$1)</f>
        <v/>
      </c>
      <c r="U1436" t="str">
        <f>IF(T1436='Analysis backend'!$L$1,IF(ISERROR(MATCH('Analysis backend'!$M$1,E1436:I1436,0)),"Dire","Radiant"),"")</f>
        <v/>
      </c>
    </row>
    <row r="1437" spans="20:21" x14ac:dyDescent="0.3">
      <c r="T1437" t="str">
        <f>IF(ISERROR(MATCH('Analysis backend'!$M$1,E1437:N1437,0)),"",'Analysis backend'!$L$1)</f>
        <v/>
      </c>
      <c r="U1437" t="str">
        <f>IF(T1437='Analysis backend'!$L$1,IF(ISERROR(MATCH('Analysis backend'!$M$1,E1437:I1437,0)),"Dire","Radiant"),"")</f>
        <v/>
      </c>
    </row>
    <row r="1438" spans="20:21" x14ac:dyDescent="0.3">
      <c r="T1438" t="str">
        <f>IF(ISERROR(MATCH('Analysis backend'!$M$1,E1438:N1438,0)),"",'Analysis backend'!$L$1)</f>
        <v/>
      </c>
      <c r="U1438" t="str">
        <f>IF(T1438='Analysis backend'!$L$1,IF(ISERROR(MATCH('Analysis backend'!$M$1,E1438:I1438,0)),"Dire","Radiant"),"")</f>
        <v/>
      </c>
    </row>
    <row r="1439" spans="20:21" x14ac:dyDescent="0.3">
      <c r="T1439" t="str">
        <f>IF(ISERROR(MATCH('Analysis backend'!$M$1,E1439:N1439,0)),"",'Analysis backend'!$L$1)</f>
        <v/>
      </c>
      <c r="U1439" t="str">
        <f>IF(T1439='Analysis backend'!$L$1,IF(ISERROR(MATCH('Analysis backend'!$M$1,E1439:I1439,0)),"Dire","Radiant"),"")</f>
        <v/>
      </c>
    </row>
    <row r="1440" spans="20:21" x14ac:dyDescent="0.3">
      <c r="T1440" t="str">
        <f>IF(ISERROR(MATCH('Analysis backend'!$M$1,E1440:N1440,0)),"",'Analysis backend'!$L$1)</f>
        <v/>
      </c>
      <c r="U1440" t="str">
        <f>IF(T1440='Analysis backend'!$L$1,IF(ISERROR(MATCH('Analysis backend'!$M$1,E1440:I1440,0)),"Dire","Radiant"),"")</f>
        <v/>
      </c>
    </row>
    <row r="1441" spans="20:21" x14ac:dyDescent="0.3">
      <c r="T1441" t="str">
        <f>IF(ISERROR(MATCH('Analysis backend'!$M$1,E1441:N1441,0)),"",'Analysis backend'!$L$1)</f>
        <v/>
      </c>
      <c r="U1441" t="str">
        <f>IF(T1441='Analysis backend'!$L$1,IF(ISERROR(MATCH('Analysis backend'!$M$1,E1441:I1441,0)),"Dire","Radiant"),"")</f>
        <v/>
      </c>
    </row>
    <row r="1442" spans="20:21" x14ac:dyDescent="0.3">
      <c r="T1442" t="str">
        <f>IF(ISERROR(MATCH('Analysis backend'!$M$1,E1442:N1442,0)),"",'Analysis backend'!$L$1)</f>
        <v/>
      </c>
      <c r="U1442" t="str">
        <f>IF(T1442='Analysis backend'!$L$1,IF(ISERROR(MATCH('Analysis backend'!$M$1,E1442:I1442,0)),"Dire","Radiant"),"")</f>
        <v/>
      </c>
    </row>
    <row r="1443" spans="20:21" x14ac:dyDescent="0.3">
      <c r="T1443" t="str">
        <f>IF(ISERROR(MATCH('Analysis backend'!$M$1,E1443:N1443,0)),"",'Analysis backend'!$L$1)</f>
        <v/>
      </c>
      <c r="U1443" t="str">
        <f>IF(T1443='Analysis backend'!$L$1,IF(ISERROR(MATCH('Analysis backend'!$M$1,E1443:I1443,0)),"Dire","Radiant"),"")</f>
        <v/>
      </c>
    </row>
    <row r="1444" spans="20:21" x14ac:dyDescent="0.3">
      <c r="T1444" t="str">
        <f>IF(ISERROR(MATCH('Analysis backend'!$M$1,E1444:N1444,0)),"",'Analysis backend'!$L$1)</f>
        <v/>
      </c>
      <c r="U1444" t="str">
        <f>IF(T1444='Analysis backend'!$L$1,IF(ISERROR(MATCH('Analysis backend'!$M$1,E1444:I1444,0)),"Dire","Radiant"),"")</f>
        <v/>
      </c>
    </row>
    <row r="1445" spans="20:21" x14ac:dyDescent="0.3">
      <c r="T1445" t="str">
        <f>IF(ISERROR(MATCH('Analysis backend'!$M$1,E1445:N1445,0)),"",'Analysis backend'!$L$1)</f>
        <v/>
      </c>
      <c r="U1445" t="str">
        <f>IF(T1445='Analysis backend'!$L$1,IF(ISERROR(MATCH('Analysis backend'!$M$1,E1445:I1445,0)),"Dire","Radiant"),"")</f>
        <v/>
      </c>
    </row>
    <row r="1446" spans="20:21" x14ac:dyDescent="0.3">
      <c r="T1446" t="str">
        <f>IF(ISERROR(MATCH('Analysis backend'!$M$1,E1446:N1446,0)),"",'Analysis backend'!$L$1)</f>
        <v/>
      </c>
      <c r="U1446" t="str">
        <f>IF(T1446='Analysis backend'!$L$1,IF(ISERROR(MATCH('Analysis backend'!$M$1,E1446:I1446,0)),"Dire","Radiant"),"")</f>
        <v/>
      </c>
    </row>
    <row r="1447" spans="20:21" x14ac:dyDescent="0.3">
      <c r="T1447" t="str">
        <f>IF(ISERROR(MATCH('Analysis backend'!$M$1,E1447:N1447,0)),"",'Analysis backend'!$L$1)</f>
        <v/>
      </c>
      <c r="U1447" t="str">
        <f>IF(T1447='Analysis backend'!$L$1,IF(ISERROR(MATCH('Analysis backend'!$M$1,E1447:I1447,0)),"Dire","Radiant"),"")</f>
        <v/>
      </c>
    </row>
    <row r="1448" spans="20:21" x14ac:dyDescent="0.3">
      <c r="T1448" t="str">
        <f>IF(ISERROR(MATCH('Analysis backend'!$M$1,E1448:N1448,0)),"",'Analysis backend'!$L$1)</f>
        <v/>
      </c>
      <c r="U1448" t="str">
        <f>IF(T1448='Analysis backend'!$L$1,IF(ISERROR(MATCH('Analysis backend'!$M$1,E1448:I1448,0)),"Dire","Radiant"),"")</f>
        <v/>
      </c>
    </row>
    <row r="1449" spans="20:21" x14ac:dyDescent="0.3">
      <c r="T1449" t="str">
        <f>IF(ISERROR(MATCH('Analysis backend'!$M$1,E1449:N1449,0)),"",'Analysis backend'!$L$1)</f>
        <v/>
      </c>
      <c r="U1449" t="str">
        <f>IF(T1449='Analysis backend'!$L$1,IF(ISERROR(MATCH('Analysis backend'!$M$1,E1449:I1449,0)),"Dire","Radiant"),"")</f>
        <v/>
      </c>
    </row>
    <row r="1450" spans="20:21" x14ac:dyDescent="0.3">
      <c r="T1450" t="str">
        <f>IF(ISERROR(MATCH('Analysis backend'!$M$1,E1450:N1450,0)),"",'Analysis backend'!$L$1)</f>
        <v/>
      </c>
      <c r="U1450" t="str">
        <f>IF(T1450='Analysis backend'!$L$1,IF(ISERROR(MATCH('Analysis backend'!$M$1,E1450:I1450,0)),"Dire","Radiant"),"")</f>
        <v/>
      </c>
    </row>
    <row r="1451" spans="20:21" x14ac:dyDescent="0.3">
      <c r="T1451" t="str">
        <f>IF(ISERROR(MATCH('Analysis backend'!$M$1,E1451:N1451,0)),"",'Analysis backend'!$L$1)</f>
        <v/>
      </c>
      <c r="U1451" t="str">
        <f>IF(T1451='Analysis backend'!$L$1,IF(ISERROR(MATCH('Analysis backend'!$M$1,E1451:I1451,0)),"Dire","Radiant"),"")</f>
        <v/>
      </c>
    </row>
    <row r="1452" spans="20:21" x14ac:dyDescent="0.3">
      <c r="T1452" t="str">
        <f>IF(ISERROR(MATCH('Analysis backend'!$M$1,E1452:N1452,0)),"",'Analysis backend'!$L$1)</f>
        <v/>
      </c>
      <c r="U1452" t="str">
        <f>IF(T1452='Analysis backend'!$L$1,IF(ISERROR(MATCH('Analysis backend'!$M$1,E1452:I1452,0)),"Dire","Radiant"),"")</f>
        <v/>
      </c>
    </row>
    <row r="1453" spans="20:21" x14ac:dyDescent="0.3">
      <c r="T1453" t="str">
        <f>IF(ISERROR(MATCH('Analysis backend'!$M$1,E1453:N1453,0)),"",'Analysis backend'!$L$1)</f>
        <v/>
      </c>
      <c r="U1453" t="str">
        <f>IF(T1453='Analysis backend'!$L$1,IF(ISERROR(MATCH('Analysis backend'!$M$1,E1453:I1453,0)),"Dire","Radiant"),"")</f>
        <v/>
      </c>
    </row>
    <row r="1454" spans="20:21" x14ac:dyDescent="0.3">
      <c r="T1454" t="str">
        <f>IF(ISERROR(MATCH('Analysis backend'!$M$1,E1454:N1454,0)),"",'Analysis backend'!$L$1)</f>
        <v/>
      </c>
      <c r="U1454" t="str">
        <f>IF(T1454='Analysis backend'!$L$1,IF(ISERROR(MATCH('Analysis backend'!$M$1,E1454:I1454,0)),"Dire","Radiant"),"")</f>
        <v/>
      </c>
    </row>
    <row r="1455" spans="20:21" x14ac:dyDescent="0.3">
      <c r="T1455" t="str">
        <f>IF(ISERROR(MATCH('Analysis backend'!$M$1,E1455:N1455,0)),"",'Analysis backend'!$L$1)</f>
        <v/>
      </c>
      <c r="U1455" t="str">
        <f>IF(T1455='Analysis backend'!$L$1,IF(ISERROR(MATCH('Analysis backend'!$M$1,E1455:I1455,0)),"Dire","Radiant"),"")</f>
        <v/>
      </c>
    </row>
    <row r="1456" spans="20:21" x14ac:dyDescent="0.3">
      <c r="T1456" t="str">
        <f>IF(ISERROR(MATCH('Analysis backend'!$M$1,E1456:N1456,0)),"",'Analysis backend'!$L$1)</f>
        <v/>
      </c>
      <c r="U1456" t="str">
        <f>IF(T1456='Analysis backend'!$L$1,IF(ISERROR(MATCH('Analysis backend'!$M$1,E1456:I1456,0)),"Dire","Radiant"),"")</f>
        <v/>
      </c>
    </row>
    <row r="1457" spans="20:21" x14ac:dyDescent="0.3">
      <c r="T1457" t="str">
        <f>IF(ISERROR(MATCH('Analysis backend'!$M$1,E1457:N1457,0)),"",'Analysis backend'!$L$1)</f>
        <v/>
      </c>
      <c r="U1457" t="str">
        <f>IF(T1457='Analysis backend'!$L$1,IF(ISERROR(MATCH('Analysis backend'!$M$1,E1457:I1457,0)),"Dire","Radiant"),"")</f>
        <v/>
      </c>
    </row>
    <row r="1458" spans="20:21" x14ac:dyDescent="0.3">
      <c r="T1458" t="str">
        <f>IF(ISERROR(MATCH('Analysis backend'!$M$1,E1458:N1458,0)),"",'Analysis backend'!$L$1)</f>
        <v/>
      </c>
      <c r="U1458" t="str">
        <f>IF(T1458='Analysis backend'!$L$1,IF(ISERROR(MATCH('Analysis backend'!$M$1,E1458:I1458,0)),"Dire","Radiant"),"")</f>
        <v/>
      </c>
    </row>
    <row r="1459" spans="20:21" x14ac:dyDescent="0.3">
      <c r="T1459" t="str">
        <f>IF(ISERROR(MATCH('Analysis backend'!$M$1,E1459:N1459,0)),"",'Analysis backend'!$L$1)</f>
        <v/>
      </c>
      <c r="U1459" t="str">
        <f>IF(T1459='Analysis backend'!$L$1,IF(ISERROR(MATCH('Analysis backend'!$M$1,E1459:I1459,0)),"Dire","Radiant"),"")</f>
        <v/>
      </c>
    </row>
    <row r="1460" spans="20:21" x14ac:dyDescent="0.3">
      <c r="T1460" t="str">
        <f>IF(ISERROR(MATCH('Analysis backend'!$M$1,E1460:N1460,0)),"",'Analysis backend'!$L$1)</f>
        <v/>
      </c>
      <c r="U1460" t="str">
        <f>IF(T1460='Analysis backend'!$L$1,IF(ISERROR(MATCH('Analysis backend'!$M$1,E1460:I1460,0)),"Dire","Radiant"),"")</f>
        <v/>
      </c>
    </row>
    <row r="1461" spans="20:21" x14ac:dyDescent="0.3">
      <c r="T1461" t="str">
        <f>IF(ISERROR(MATCH('Analysis backend'!$M$1,E1461:N1461,0)),"",'Analysis backend'!$L$1)</f>
        <v/>
      </c>
      <c r="U1461" t="str">
        <f>IF(T1461='Analysis backend'!$L$1,IF(ISERROR(MATCH('Analysis backend'!$M$1,E1461:I1461,0)),"Dire","Radiant"),"")</f>
        <v/>
      </c>
    </row>
    <row r="1462" spans="20:21" x14ac:dyDescent="0.3">
      <c r="T1462" t="str">
        <f>IF(ISERROR(MATCH('Analysis backend'!$M$1,E1462:N1462,0)),"",'Analysis backend'!$L$1)</f>
        <v/>
      </c>
      <c r="U1462" t="str">
        <f>IF(T1462='Analysis backend'!$L$1,IF(ISERROR(MATCH('Analysis backend'!$M$1,E1462:I1462,0)),"Dire","Radiant"),"")</f>
        <v/>
      </c>
    </row>
    <row r="1463" spans="20:21" x14ac:dyDescent="0.3">
      <c r="T1463" t="str">
        <f>IF(ISERROR(MATCH('Analysis backend'!$M$1,E1463:N1463,0)),"",'Analysis backend'!$L$1)</f>
        <v/>
      </c>
      <c r="U1463" t="str">
        <f>IF(T1463='Analysis backend'!$L$1,IF(ISERROR(MATCH('Analysis backend'!$M$1,E1463:I1463,0)),"Dire","Radiant"),"")</f>
        <v/>
      </c>
    </row>
    <row r="1464" spans="20:21" x14ac:dyDescent="0.3">
      <c r="T1464" t="str">
        <f>IF(ISERROR(MATCH('Analysis backend'!$M$1,E1464:N1464,0)),"",'Analysis backend'!$L$1)</f>
        <v/>
      </c>
      <c r="U1464" t="str">
        <f>IF(T1464='Analysis backend'!$L$1,IF(ISERROR(MATCH('Analysis backend'!$M$1,E1464:I1464,0)),"Dire","Radiant"),"")</f>
        <v/>
      </c>
    </row>
    <row r="1465" spans="20:21" x14ac:dyDescent="0.3">
      <c r="T1465" t="str">
        <f>IF(ISERROR(MATCH('Analysis backend'!$M$1,E1465:N1465,0)),"",'Analysis backend'!$L$1)</f>
        <v/>
      </c>
      <c r="U1465" t="str">
        <f>IF(T1465='Analysis backend'!$L$1,IF(ISERROR(MATCH('Analysis backend'!$M$1,E1465:I1465,0)),"Dire","Radiant"),"")</f>
        <v/>
      </c>
    </row>
    <row r="1466" spans="20:21" x14ac:dyDescent="0.3">
      <c r="T1466" t="str">
        <f>IF(ISERROR(MATCH('Analysis backend'!$M$1,E1466:N1466,0)),"",'Analysis backend'!$L$1)</f>
        <v/>
      </c>
      <c r="U1466" t="str">
        <f>IF(T1466='Analysis backend'!$L$1,IF(ISERROR(MATCH('Analysis backend'!$M$1,E1466:I1466,0)),"Dire","Radiant"),"")</f>
        <v/>
      </c>
    </row>
    <row r="1467" spans="20:21" x14ac:dyDescent="0.3">
      <c r="T1467" t="str">
        <f>IF(ISERROR(MATCH('Analysis backend'!$M$1,E1467:N1467,0)),"",'Analysis backend'!$L$1)</f>
        <v/>
      </c>
      <c r="U1467" t="str">
        <f>IF(T1467='Analysis backend'!$L$1,IF(ISERROR(MATCH('Analysis backend'!$M$1,E1467:I1467,0)),"Dire","Radiant"),"")</f>
        <v/>
      </c>
    </row>
    <row r="1468" spans="20:21" x14ac:dyDescent="0.3">
      <c r="T1468" t="str">
        <f>IF(ISERROR(MATCH('Analysis backend'!$M$1,E1468:N1468,0)),"",'Analysis backend'!$L$1)</f>
        <v/>
      </c>
      <c r="U1468" t="str">
        <f>IF(T1468='Analysis backend'!$L$1,IF(ISERROR(MATCH('Analysis backend'!$M$1,E1468:I1468,0)),"Dire","Radiant"),"")</f>
        <v/>
      </c>
    </row>
    <row r="1469" spans="20:21" x14ac:dyDescent="0.3">
      <c r="T1469" t="str">
        <f>IF(ISERROR(MATCH('Analysis backend'!$M$1,E1469:N1469,0)),"",'Analysis backend'!$L$1)</f>
        <v/>
      </c>
      <c r="U1469" t="str">
        <f>IF(T1469='Analysis backend'!$L$1,IF(ISERROR(MATCH('Analysis backend'!$M$1,E1469:I1469,0)),"Dire","Radiant"),"")</f>
        <v/>
      </c>
    </row>
    <row r="1470" spans="20:21" x14ac:dyDescent="0.3">
      <c r="T1470" t="str">
        <f>IF(ISERROR(MATCH('Analysis backend'!$M$1,E1470:N1470,0)),"",'Analysis backend'!$L$1)</f>
        <v/>
      </c>
      <c r="U1470" t="str">
        <f>IF(T1470='Analysis backend'!$L$1,IF(ISERROR(MATCH('Analysis backend'!$M$1,E1470:I1470,0)),"Dire","Radiant"),"")</f>
        <v/>
      </c>
    </row>
    <row r="1471" spans="20:21" x14ac:dyDescent="0.3">
      <c r="T1471" t="str">
        <f>IF(ISERROR(MATCH('Analysis backend'!$M$1,E1471:N1471,0)),"",'Analysis backend'!$L$1)</f>
        <v/>
      </c>
      <c r="U1471" t="str">
        <f>IF(T1471='Analysis backend'!$L$1,IF(ISERROR(MATCH('Analysis backend'!$M$1,E1471:I1471,0)),"Dire","Radiant"),"")</f>
        <v/>
      </c>
    </row>
    <row r="1472" spans="20:21" x14ac:dyDescent="0.3">
      <c r="T1472" t="str">
        <f>IF(ISERROR(MATCH('Analysis backend'!$M$1,E1472:N1472,0)),"",'Analysis backend'!$L$1)</f>
        <v/>
      </c>
      <c r="U1472" t="str">
        <f>IF(T1472='Analysis backend'!$L$1,IF(ISERROR(MATCH('Analysis backend'!$M$1,E1472:I1472,0)),"Dire","Radiant"),"")</f>
        <v/>
      </c>
    </row>
    <row r="1473" spans="20:21" x14ac:dyDescent="0.3">
      <c r="T1473" t="str">
        <f>IF(ISERROR(MATCH('Analysis backend'!$M$1,E1473:N1473,0)),"",'Analysis backend'!$L$1)</f>
        <v/>
      </c>
      <c r="U1473" t="str">
        <f>IF(T1473='Analysis backend'!$L$1,IF(ISERROR(MATCH('Analysis backend'!$M$1,E1473:I1473,0)),"Dire","Radiant"),"")</f>
        <v/>
      </c>
    </row>
    <row r="1474" spans="20:21" x14ac:dyDescent="0.3">
      <c r="T1474" t="str">
        <f>IF(ISERROR(MATCH('Analysis backend'!$M$1,E1474:N1474,0)),"",'Analysis backend'!$L$1)</f>
        <v/>
      </c>
      <c r="U1474" t="str">
        <f>IF(T1474='Analysis backend'!$L$1,IF(ISERROR(MATCH('Analysis backend'!$M$1,E1474:I1474,0)),"Dire","Radiant"),"")</f>
        <v/>
      </c>
    </row>
    <row r="1475" spans="20:21" x14ac:dyDescent="0.3">
      <c r="T1475" t="str">
        <f>IF(ISERROR(MATCH('Analysis backend'!$M$1,E1475:N1475,0)),"",'Analysis backend'!$L$1)</f>
        <v/>
      </c>
      <c r="U1475" t="str">
        <f>IF(T1475='Analysis backend'!$L$1,IF(ISERROR(MATCH('Analysis backend'!$M$1,E1475:I1475,0)),"Dire","Radiant"),"")</f>
        <v/>
      </c>
    </row>
    <row r="1476" spans="20:21" x14ac:dyDescent="0.3">
      <c r="T1476" t="str">
        <f>IF(ISERROR(MATCH('Analysis backend'!$M$1,E1476:N1476,0)),"",'Analysis backend'!$L$1)</f>
        <v/>
      </c>
      <c r="U1476" t="str">
        <f>IF(T1476='Analysis backend'!$L$1,IF(ISERROR(MATCH('Analysis backend'!$M$1,E1476:I1476,0)),"Dire","Radiant"),"")</f>
        <v/>
      </c>
    </row>
    <row r="1477" spans="20:21" x14ac:dyDescent="0.3">
      <c r="T1477" t="str">
        <f>IF(ISERROR(MATCH('Analysis backend'!$M$1,E1477:N1477,0)),"",'Analysis backend'!$L$1)</f>
        <v/>
      </c>
      <c r="U1477" t="str">
        <f>IF(T1477='Analysis backend'!$L$1,IF(ISERROR(MATCH('Analysis backend'!$M$1,E1477:I1477,0)),"Dire","Radiant"),"")</f>
        <v/>
      </c>
    </row>
    <row r="1478" spans="20:21" x14ac:dyDescent="0.3">
      <c r="T1478" t="str">
        <f>IF(ISERROR(MATCH('Analysis backend'!$M$1,E1478:N1478,0)),"",'Analysis backend'!$L$1)</f>
        <v/>
      </c>
      <c r="U1478" t="str">
        <f>IF(T1478='Analysis backend'!$L$1,IF(ISERROR(MATCH('Analysis backend'!$M$1,E1478:I1478,0)),"Dire","Radiant"),"")</f>
        <v/>
      </c>
    </row>
    <row r="1479" spans="20:21" x14ac:dyDescent="0.3">
      <c r="T1479" t="str">
        <f>IF(ISERROR(MATCH('Analysis backend'!$M$1,E1479:N1479,0)),"",'Analysis backend'!$L$1)</f>
        <v/>
      </c>
      <c r="U1479" t="str">
        <f>IF(T1479='Analysis backend'!$L$1,IF(ISERROR(MATCH('Analysis backend'!$M$1,E1479:I1479,0)),"Dire","Radiant"),"")</f>
        <v/>
      </c>
    </row>
    <row r="1480" spans="20:21" x14ac:dyDescent="0.3">
      <c r="T1480" t="str">
        <f>IF(ISERROR(MATCH('Analysis backend'!$M$1,E1480:N1480,0)),"",'Analysis backend'!$L$1)</f>
        <v/>
      </c>
      <c r="U1480" t="str">
        <f>IF(T1480='Analysis backend'!$L$1,IF(ISERROR(MATCH('Analysis backend'!$M$1,E1480:I1480,0)),"Dire","Radiant"),"")</f>
        <v/>
      </c>
    </row>
    <row r="1481" spans="20:21" x14ac:dyDescent="0.3">
      <c r="T1481" t="str">
        <f>IF(ISERROR(MATCH('Analysis backend'!$M$1,E1481:N1481,0)),"",'Analysis backend'!$L$1)</f>
        <v/>
      </c>
      <c r="U1481" t="str">
        <f>IF(T1481='Analysis backend'!$L$1,IF(ISERROR(MATCH('Analysis backend'!$M$1,E1481:I1481,0)),"Dire","Radiant"),"")</f>
        <v/>
      </c>
    </row>
    <row r="1482" spans="20:21" x14ac:dyDescent="0.3">
      <c r="T1482" t="str">
        <f>IF(ISERROR(MATCH('Analysis backend'!$M$1,E1482:N1482,0)),"",'Analysis backend'!$L$1)</f>
        <v/>
      </c>
      <c r="U1482" t="str">
        <f>IF(T1482='Analysis backend'!$L$1,IF(ISERROR(MATCH('Analysis backend'!$M$1,E1482:I1482,0)),"Dire","Radiant"),"")</f>
        <v/>
      </c>
    </row>
    <row r="1483" spans="20:21" x14ac:dyDescent="0.3">
      <c r="T1483" t="str">
        <f>IF(ISERROR(MATCH('Analysis backend'!$M$1,E1483:N1483,0)),"",'Analysis backend'!$L$1)</f>
        <v/>
      </c>
      <c r="U1483" t="str">
        <f>IF(T1483='Analysis backend'!$L$1,IF(ISERROR(MATCH('Analysis backend'!$M$1,E1483:I1483,0)),"Dire","Radiant"),"")</f>
        <v/>
      </c>
    </row>
    <row r="1484" spans="20:21" x14ac:dyDescent="0.3">
      <c r="T1484" t="str">
        <f>IF(ISERROR(MATCH('Analysis backend'!$M$1,E1484:N1484,0)),"",'Analysis backend'!$L$1)</f>
        <v/>
      </c>
      <c r="U1484" t="str">
        <f>IF(T1484='Analysis backend'!$L$1,IF(ISERROR(MATCH('Analysis backend'!$M$1,E1484:I1484,0)),"Dire","Radiant"),"")</f>
        <v/>
      </c>
    </row>
    <row r="1485" spans="20:21" x14ac:dyDescent="0.3">
      <c r="T1485" t="str">
        <f>IF(ISERROR(MATCH('Analysis backend'!$M$1,E1485:N1485,0)),"",'Analysis backend'!$L$1)</f>
        <v/>
      </c>
      <c r="U1485" t="str">
        <f>IF(T1485='Analysis backend'!$L$1,IF(ISERROR(MATCH('Analysis backend'!$M$1,E1485:I1485,0)),"Dire","Radiant"),"")</f>
        <v/>
      </c>
    </row>
    <row r="1486" spans="20:21" x14ac:dyDescent="0.3">
      <c r="T1486" t="str">
        <f>IF(ISERROR(MATCH('Analysis backend'!$M$1,E1486:N1486,0)),"",'Analysis backend'!$L$1)</f>
        <v/>
      </c>
      <c r="U1486" t="str">
        <f>IF(T1486='Analysis backend'!$L$1,IF(ISERROR(MATCH('Analysis backend'!$M$1,E1486:I1486,0)),"Dire","Radiant"),"")</f>
        <v/>
      </c>
    </row>
    <row r="1487" spans="20:21" x14ac:dyDescent="0.3">
      <c r="T1487" t="str">
        <f>IF(ISERROR(MATCH('Analysis backend'!$M$1,E1487:N1487,0)),"",'Analysis backend'!$L$1)</f>
        <v/>
      </c>
      <c r="U1487" t="str">
        <f>IF(T1487='Analysis backend'!$L$1,IF(ISERROR(MATCH('Analysis backend'!$M$1,E1487:I1487,0)),"Dire","Radiant"),"")</f>
        <v/>
      </c>
    </row>
    <row r="1488" spans="20:21" x14ac:dyDescent="0.3">
      <c r="T1488" t="str">
        <f>IF(ISERROR(MATCH('Analysis backend'!$M$1,E1488:N1488,0)),"",'Analysis backend'!$L$1)</f>
        <v/>
      </c>
      <c r="U1488" t="str">
        <f>IF(T1488='Analysis backend'!$L$1,IF(ISERROR(MATCH('Analysis backend'!$M$1,E1488:I1488,0)),"Dire","Radiant"),"")</f>
        <v/>
      </c>
    </row>
    <row r="1489" spans="20:21" x14ac:dyDescent="0.3">
      <c r="T1489" t="str">
        <f>IF(ISERROR(MATCH('Analysis backend'!$M$1,E1489:N1489,0)),"",'Analysis backend'!$L$1)</f>
        <v/>
      </c>
      <c r="U1489" t="str">
        <f>IF(T1489='Analysis backend'!$L$1,IF(ISERROR(MATCH('Analysis backend'!$M$1,E1489:I1489,0)),"Dire","Radiant"),"")</f>
        <v/>
      </c>
    </row>
    <row r="1490" spans="20:21" x14ac:dyDescent="0.3">
      <c r="T1490" t="str">
        <f>IF(ISERROR(MATCH('Analysis backend'!$M$1,E1490:N1490,0)),"",'Analysis backend'!$L$1)</f>
        <v/>
      </c>
      <c r="U1490" t="str">
        <f>IF(T1490='Analysis backend'!$L$1,IF(ISERROR(MATCH('Analysis backend'!$M$1,E1490:I1490,0)),"Dire","Radiant"),"")</f>
        <v/>
      </c>
    </row>
    <row r="1491" spans="20:21" x14ac:dyDescent="0.3">
      <c r="T1491" t="str">
        <f>IF(ISERROR(MATCH('Analysis backend'!$M$1,E1491:N1491,0)),"",'Analysis backend'!$L$1)</f>
        <v/>
      </c>
      <c r="U1491" t="str">
        <f>IF(T1491='Analysis backend'!$L$1,IF(ISERROR(MATCH('Analysis backend'!$M$1,E1491:I1491,0)),"Dire","Radiant"),"")</f>
        <v/>
      </c>
    </row>
    <row r="1492" spans="20:21" x14ac:dyDescent="0.3">
      <c r="T1492" t="str">
        <f>IF(ISERROR(MATCH('Analysis backend'!$M$1,E1492:N1492,0)),"",'Analysis backend'!$L$1)</f>
        <v/>
      </c>
      <c r="U1492" t="str">
        <f>IF(T1492='Analysis backend'!$L$1,IF(ISERROR(MATCH('Analysis backend'!$M$1,E1492:I1492,0)),"Dire","Radiant"),"")</f>
        <v/>
      </c>
    </row>
    <row r="1493" spans="20:21" x14ac:dyDescent="0.3">
      <c r="T1493" t="str">
        <f>IF(ISERROR(MATCH('Analysis backend'!$M$1,E1493:N1493,0)),"",'Analysis backend'!$L$1)</f>
        <v/>
      </c>
      <c r="U1493" t="str">
        <f>IF(T1493='Analysis backend'!$L$1,IF(ISERROR(MATCH('Analysis backend'!$M$1,E1493:I1493,0)),"Dire","Radiant"),"")</f>
        <v/>
      </c>
    </row>
    <row r="1494" spans="20:21" x14ac:dyDescent="0.3">
      <c r="T1494" t="str">
        <f>IF(ISERROR(MATCH('Analysis backend'!$M$1,E1494:N1494,0)),"",'Analysis backend'!$L$1)</f>
        <v/>
      </c>
      <c r="U1494" t="str">
        <f>IF(T1494='Analysis backend'!$L$1,IF(ISERROR(MATCH('Analysis backend'!$M$1,E1494:I1494,0)),"Dire","Radiant"),"")</f>
        <v/>
      </c>
    </row>
    <row r="1495" spans="20:21" x14ac:dyDescent="0.3">
      <c r="T1495" t="str">
        <f>IF(ISERROR(MATCH('Analysis backend'!$M$1,E1495:N1495,0)),"",'Analysis backend'!$L$1)</f>
        <v/>
      </c>
      <c r="U1495" t="str">
        <f>IF(T1495='Analysis backend'!$L$1,IF(ISERROR(MATCH('Analysis backend'!$M$1,E1495:I1495,0)),"Dire","Radiant"),"")</f>
        <v/>
      </c>
    </row>
    <row r="1496" spans="20:21" x14ac:dyDescent="0.3">
      <c r="T1496" t="str">
        <f>IF(ISERROR(MATCH('Analysis backend'!$M$1,E1496:N1496,0)),"",'Analysis backend'!$L$1)</f>
        <v/>
      </c>
      <c r="U1496" t="str">
        <f>IF(T1496='Analysis backend'!$L$1,IF(ISERROR(MATCH('Analysis backend'!$M$1,E1496:I1496,0)),"Dire","Radiant"),"")</f>
        <v/>
      </c>
    </row>
    <row r="1497" spans="20:21" x14ac:dyDescent="0.3">
      <c r="T1497" t="str">
        <f>IF(ISERROR(MATCH('Analysis backend'!$M$1,E1497:N1497,0)),"",'Analysis backend'!$L$1)</f>
        <v/>
      </c>
      <c r="U1497" t="str">
        <f>IF(T1497='Analysis backend'!$L$1,IF(ISERROR(MATCH('Analysis backend'!$M$1,E1497:I1497,0)),"Dire","Radiant"),"")</f>
        <v/>
      </c>
    </row>
    <row r="1498" spans="20:21" x14ac:dyDescent="0.3">
      <c r="T1498" t="str">
        <f>IF(ISERROR(MATCH('Analysis backend'!$M$1,E1498:N1498,0)),"",'Analysis backend'!$L$1)</f>
        <v/>
      </c>
      <c r="U1498" t="str">
        <f>IF(T1498='Analysis backend'!$L$1,IF(ISERROR(MATCH('Analysis backend'!$M$1,E1498:I1498,0)),"Dire","Radiant"),"")</f>
        <v/>
      </c>
    </row>
    <row r="1499" spans="20:21" x14ac:dyDescent="0.3">
      <c r="T1499" t="str">
        <f>IF(ISERROR(MATCH('Analysis backend'!$M$1,E1499:N1499,0)),"",'Analysis backend'!$L$1)</f>
        <v/>
      </c>
      <c r="U1499" t="str">
        <f>IF(T1499='Analysis backend'!$L$1,IF(ISERROR(MATCH('Analysis backend'!$M$1,E1499:I1499,0)),"Dire","Radiant"),"")</f>
        <v/>
      </c>
    </row>
    <row r="1500" spans="20:21" x14ac:dyDescent="0.3">
      <c r="T1500" t="str">
        <f>IF(ISERROR(MATCH('Analysis backend'!$M$1,E1500:N1500,0)),"",'Analysis backend'!$L$1)</f>
        <v/>
      </c>
      <c r="U1500" t="str">
        <f>IF(T1500='Analysis backend'!$L$1,IF(ISERROR(MATCH('Analysis backend'!$M$1,E1500:I1500,0)),"Dire","Radiant"),"")</f>
        <v/>
      </c>
    </row>
    <row r="1501" spans="20:21" x14ac:dyDescent="0.3">
      <c r="T1501" t="str">
        <f>IF(ISERROR(MATCH('Analysis backend'!$M$1,E1501:N1501,0)),"",'Analysis backend'!$L$1)</f>
        <v/>
      </c>
      <c r="U1501" t="str">
        <f>IF(T1501='Analysis backend'!$L$1,IF(ISERROR(MATCH('Analysis backend'!$M$1,E1501:I1501,0)),"Dire","Radiant"),"")</f>
        <v/>
      </c>
    </row>
    <row r="1502" spans="20:21" x14ac:dyDescent="0.3">
      <c r="T1502" t="str">
        <f>IF(ISERROR(MATCH('Analysis backend'!$M$1,E1502:N1502,0)),"",'Analysis backend'!$L$1)</f>
        <v/>
      </c>
      <c r="U1502" t="str">
        <f>IF(T1502='Analysis backend'!$L$1,IF(ISERROR(MATCH('Analysis backend'!$M$1,E1502:I1502,0)),"Dire","Radiant"),"")</f>
        <v/>
      </c>
    </row>
    <row r="1503" spans="20:21" x14ac:dyDescent="0.3">
      <c r="T1503" t="str">
        <f>IF(ISERROR(MATCH('Analysis backend'!$M$1,E1503:N1503,0)),"",'Analysis backend'!$L$1)</f>
        <v/>
      </c>
      <c r="U1503" t="str">
        <f>IF(T1503='Analysis backend'!$L$1,IF(ISERROR(MATCH('Analysis backend'!$M$1,E1503:I1503,0)),"Dire","Radiant"),"")</f>
        <v/>
      </c>
    </row>
    <row r="1504" spans="20:21" x14ac:dyDescent="0.3">
      <c r="T1504" t="str">
        <f>IF(ISERROR(MATCH('Analysis backend'!$M$1,E1504:N1504,0)),"",'Analysis backend'!$L$1)</f>
        <v/>
      </c>
      <c r="U1504" t="str">
        <f>IF(T1504='Analysis backend'!$L$1,IF(ISERROR(MATCH('Analysis backend'!$M$1,E1504:I1504,0)),"Dire","Radiant"),"")</f>
        <v/>
      </c>
    </row>
    <row r="1505" spans="20:21" x14ac:dyDescent="0.3">
      <c r="T1505" t="str">
        <f>IF(ISERROR(MATCH('Analysis backend'!$M$1,E1505:N1505,0)),"",'Analysis backend'!$L$1)</f>
        <v/>
      </c>
      <c r="U1505" t="str">
        <f>IF(T1505='Analysis backend'!$L$1,IF(ISERROR(MATCH('Analysis backend'!$M$1,E1505:I1505,0)),"Dire","Radiant"),"")</f>
        <v/>
      </c>
    </row>
    <row r="1506" spans="20:21" x14ac:dyDescent="0.3">
      <c r="T1506" t="str">
        <f>IF(ISERROR(MATCH('Analysis backend'!$M$1,E1506:N1506,0)),"",'Analysis backend'!$L$1)</f>
        <v/>
      </c>
      <c r="U1506" t="str">
        <f>IF(T1506='Analysis backend'!$L$1,IF(ISERROR(MATCH('Analysis backend'!$M$1,E1506:I1506,0)),"Dire","Radiant"),"")</f>
        <v/>
      </c>
    </row>
    <row r="1507" spans="20:21" x14ac:dyDescent="0.3">
      <c r="T1507" t="str">
        <f>IF(ISERROR(MATCH('Analysis backend'!$M$1,E1507:N1507,0)),"",'Analysis backend'!$L$1)</f>
        <v/>
      </c>
      <c r="U1507" t="str">
        <f>IF(T1507='Analysis backend'!$L$1,IF(ISERROR(MATCH('Analysis backend'!$M$1,E1507:I1507,0)),"Dire","Radiant"),"")</f>
        <v/>
      </c>
    </row>
    <row r="1508" spans="20:21" x14ac:dyDescent="0.3">
      <c r="T1508" t="str">
        <f>IF(ISERROR(MATCH('Analysis backend'!$M$1,E1508:N1508,0)),"",'Analysis backend'!$L$1)</f>
        <v/>
      </c>
      <c r="U1508" t="str">
        <f>IF(T1508='Analysis backend'!$L$1,IF(ISERROR(MATCH('Analysis backend'!$M$1,E1508:I1508,0)),"Dire","Radiant"),"")</f>
        <v/>
      </c>
    </row>
    <row r="1509" spans="20:21" x14ac:dyDescent="0.3">
      <c r="T1509" t="str">
        <f>IF(ISERROR(MATCH('Analysis backend'!$M$1,E1509:N1509,0)),"",'Analysis backend'!$L$1)</f>
        <v/>
      </c>
      <c r="U1509" t="str">
        <f>IF(T1509='Analysis backend'!$L$1,IF(ISERROR(MATCH('Analysis backend'!$M$1,E1509:I1509,0)),"Dire","Radiant"),"")</f>
        <v/>
      </c>
    </row>
    <row r="1510" spans="20:21" x14ac:dyDescent="0.3">
      <c r="T1510" t="str">
        <f>IF(ISERROR(MATCH('Analysis backend'!$M$1,E1510:N1510,0)),"",'Analysis backend'!$L$1)</f>
        <v/>
      </c>
      <c r="U1510" t="str">
        <f>IF(T1510='Analysis backend'!$L$1,IF(ISERROR(MATCH('Analysis backend'!$M$1,E1510:I1510,0)),"Dire","Radiant"),"")</f>
        <v/>
      </c>
    </row>
    <row r="1511" spans="20:21" x14ac:dyDescent="0.3">
      <c r="T1511" t="str">
        <f>IF(ISERROR(MATCH('Analysis backend'!$M$1,E1511:N1511,0)),"",'Analysis backend'!$L$1)</f>
        <v/>
      </c>
      <c r="U1511" t="str">
        <f>IF(T1511='Analysis backend'!$L$1,IF(ISERROR(MATCH('Analysis backend'!$M$1,E1511:I1511,0)),"Dire","Radiant"),"")</f>
        <v/>
      </c>
    </row>
    <row r="1512" spans="20:21" x14ac:dyDescent="0.3">
      <c r="T1512" t="str">
        <f>IF(ISERROR(MATCH('Analysis backend'!$M$1,E1512:N1512,0)),"",'Analysis backend'!$L$1)</f>
        <v/>
      </c>
      <c r="U1512" t="str">
        <f>IF(T1512='Analysis backend'!$L$1,IF(ISERROR(MATCH('Analysis backend'!$M$1,E1512:I1512,0)),"Dire","Radiant"),"")</f>
        <v/>
      </c>
    </row>
    <row r="1513" spans="20:21" x14ac:dyDescent="0.3">
      <c r="T1513" t="str">
        <f>IF(ISERROR(MATCH('Analysis backend'!$M$1,E1513:N1513,0)),"",'Analysis backend'!$L$1)</f>
        <v/>
      </c>
      <c r="U1513" t="str">
        <f>IF(T1513='Analysis backend'!$L$1,IF(ISERROR(MATCH('Analysis backend'!$M$1,E1513:I1513,0)),"Dire","Radiant"),"")</f>
        <v/>
      </c>
    </row>
    <row r="1514" spans="20:21" x14ac:dyDescent="0.3">
      <c r="T1514" t="str">
        <f>IF(ISERROR(MATCH('Analysis backend'!$M$1,E1514:N1514,0)),"",'Analysis backend'!$L$1)</f>
        <v/>
      </c>
      <c r="U1514" t="str">
        <f>IF(T1514='Analysis backend'!$L$1,IF(ISERROR(MATCH('Analysis backend'!$M$1,E1514:I1514,0)),"Dire","Radiant"),"")</f>
        <v/>
      </c>
    </row>
    <row r="1515" spans="20:21" x14ac:dyDescent="0.3">
      <c r="T1515" t="str">
        <f>IF(ISERROR(MATCH('Analysis backend'!$M$1,E1515:N1515,0)),"",'Analysis backend'!$L$1)</f>
        <v/>
      </c>
      <c r="U1515" t="str">
        <f>IF(T1515='Analysis backend'!$L$1,IF(ISERROR(MATCH('Analysis backend'!$M$1,E1515:I1515,0)),"Dire","Radiant"),"")</f>
        <v/>
      </c>
    </row>
    <row r="1516" spans="20:21" x14ac:dyDescent="0.3">
      <c r="T1516" t="str">
        <f>IF(ISERROR(MATCH('Analysis backend'!$M$1,E1516:N1516,0)),"",'Analysis backend'!$L$1)</f>
        <v/>
      </c>
      <c r="U1516" t="str">
        <f>IF(T1516='Analysis backend'!$L$1,IF(ISERROR(MATCH('Analysis backend'!$M$1,E1516:I1516,0)),"Dire","Radiant"),"")</f>
        <v/>
      </c>
    </row>
    <row r="1517" spans="20:21" x14ac:dyDescent="0.3">
      <c r="T1517" t="str">
        <f>IF(ISERROR(MATCH('Analysis backend'!$M$1,E1517:N1517,0)),"",'Analysis backend'!$L$1)</f>
        <v/>
      </c>
      <c r="U1517" t="str">
        <f>IF(T1517='Analysis backend'!$L$1,IF(ISERROR(MATCH('Analysis backend'!$M$1,E1517:I1517,0)),"Dire","Radiant"),"")</f>
        <v/>
      </c>
    </row>
    <row r="1518" spans="20:21" x14ac:dyDescent="0.3">
      <c r="T1518" t="str">
        <f>IF(ISERROR(MATCH('Analysis backend'!$M$1,E1518:N1518,0)),"",'Analysis backend'!$L$1)</f>
        <v/>
      </c>
      <c r="U1518" t="str">
        <f>IF(T1518='Analysis backend'!$L$1,IF(ISERROR(MATCH('Analysis backend'!$M$1,E1518:I1518,0)),"Dire","Radiant"),"")</f>
        <v/>
      </c>
    </row>
    <row r="1519" spans="20:21" x14ac:dyDescent="0.3">
      <c r="T1519" t="str">
        <f>IF(ISERROR(MATCH('Analysis backend'!$M$1,E1519:N1519,0)),"",'Analysis backend'!$L$1)</f>
        <v/>
      </c>
      <c r="U1519" t="str">
        <f>IF(T1519='Analysis backend'!$L$1,IF(ISERROR(MATCH('Analysis backend'!$M$1,E1519:I1519,0)),"Dire","Radiant"),"")</f>
        <v/>
      </c>
    </row>
    <row r="1520" spans="20:21" x14ac:dyDescent="0.3">
      <c r="T1520" t="str">
        <f>IF(ISERROR(MATCH('Analysis backend'!$M$1,E1520:N1520,0)),"",'Analysis backend'!$L$1)</f>
        <v/>
      </c>
      <c r="U1520" t="str">
        <f>IF(T1520='Analysis backend'!$L$1,IF(ISERROR(MATCH('Analysis backend'!$M$1,E1520:I1520,0)),"Dire","Radiant"),"")</f>
        <v/>
      </c>
    </row>
    <row r="1521" spans="20:21" x14ac:dyDescent="0.3">
      <c r="T1521" t="str">
        <f>IF(ISERROR(MATCH('Analysis backend'!$M$1,E1521:N1521,0)),"",'Analysis backend'!$L$1)</f>
        <v/>
      </c>
      <c r="U1521" t="str">
        <f>IF(T1521='Analysis backend'!$L$1,IF(ISERROR(MATCH('Analysis backend'!$M$1,E1521:I1521,0)),"Dire","Radiant"),"")</f>
        <v/>
      </c>
    </row>
    <row r="1522" spans="20:21" x14ac:dyDescent="0.3">
      <c r="T1522" t="str">
        <f>IF(ISERROR(MATCH('Analysis backend'!$M$1,E1522:N1522,0)),"",'Analysis backend'!$L$1)</f>
        <v/>
      </c>
      <c r="U1522" t="str">
        <f>IF(T1522='Analysis backend'!$L$1,IF(ISERROR(MATCH('Analysis backend'!$M$1,E1522:I1522,0)),"Dire","Radiant"),"")</f>
        <v/>
      </c>
    </row>
    <row r="1523" spans="20:21" x14ac:dyDescent="0.3">
      <c r="T1523" t="str">
        <f>IF(ISERROR(MATCH('Analysis backend'!$M$1,E1523:N1523,0)),"",'Analysis backend'!$L$1)</f>
        <v/>
      </c>
      <c r="U1523" t="str">
        <f>IF(T1523='Analysis backend'!$L$1,IF(ISERROR(MATCH('Analysis backend'!$M$1,E1523:I1523,0)),"Dire","Radiant"),"")</f>
        <v/>
      </c>
    </row>
    <row r="1524" spans="20:21" x14ac:dyDescent="0.3">
      <c r="T1524" t="str">
        <f>IF(ISERROR(MATCH('Analysis backend'!$M$1,E1524:N1524,0)),"",'Analysis backend'!$L$1)</f>
        <v/>
      </c>
      <c r="U1524" t="str">
        <f>IF(T1524='Analysis backend'!$L$1,IF(ISERROR(MATCH('Analysis backend'!$M$1,E1524:I1524,0)),"Dire","Radiant"),"")</f>
        <v/>
      </c>
    </row>
    <row r="1525" spans="20:21" x14ac:dyDescent="0.3">
      <c r="T1525" t="str">
        <f>IF(ISERROR(MATCH('Analysis backend'!$M$1,E1525:N1525,0)),"",'Analysis backend'!$L$1)</f>
        <v/>
      </c>
      <c r="U1525" t="str">
        <f>IF(T1525='Analysis backend'!$L$1,IF(ISERROR(MATCH('Analysis backend'!$M$1,E1525:I1525,0)),"Dire","Radiant"),"")</f>
        <v/>
      </c>
    </row>
    <row r="1526" spans="20:21" x14ac:dyDescent="0.3">
      <c r="T1526" t="str">
        <f>IF(ISERROR(MATCH('Analysis backend'!$M$1,E1526:N1526,0)),"",'Analysis backend'!$L$1)</f>
        <v/>
      </c>
      <c r="U1526" t="str">
        <f>IF(T1526='Analysis backend'!$L$1,IF(ISERROR(MATCH('Analysis backend'!$M$1,E1526:I1526,0)),"Dire","Radiant"),"")</f>
        <v/>
      </c>
    </row>
    <row r="1527" spans="20:21" x14ac:dyDescent="0.3">
      <c r="T1527" t="str">
        <f>IF(ISERROR(MATCH('Analysis backend'!$M$1,E1527:N1527,0)),"",'Analysis backend'!$L$1)</f>
        <v/>
      </c>
      <c r="U1527" t="str">
        <f>IF(T1527='Analysis backend'!$L$1,IF(ISERROR(MATCH('Analysis backend'!$M$1,E1527:I1527,0)),"Dire","Radiant"),"")</f>
        <v/>
      </c>
    </row>
    <row r="1528" spans="20:21" x14ac:dyDescent="0.3">
      <c r="T1528" t="str">
        <f>IF(ISERROR(MATCH('Analysis backend'!$M$1,E1528:N1528,0)),"",'Analysis backend'!$L$1)</f>
        <v/>
      </c>
      <c r="U1528" t="str">
        <f>IF(T1528='Analysis backend'!$L$1,IF(ISERROR(MATCH('Analysis backend'!$M$1,E1528:I1528,0)),"Dire","Radiant"),"")</f>
        <v/>
      </c>
    </row>
    <row r="1529" spans="20:21" x14ac:dyDescent="0.3">
      <c r="T1529" t="str">
        <f>IF(ISERROR(MATCH('Analysis backend'!$M$1,E1529:N1529,0)),"",'Analysis backend'!$L$1)</f>
        <v/>
      </c>
      <c r="U1529" t="str">
        <f>IF(T1529='Analysis backend'!$L$1,IF(ISERROR(MATCH('Analysis backend'!$M$1,E1529:I1529,0)),"Dire","Radiant"),"")</f>
        <v/>
      </c>
    </row>
    <row r="1530" spans="20:21" x14ac:dyDescent="0.3">
      <c r="T1530" t="str">
        <f>IF(ISERROR(MATCH('Analysis backend'!$M$1,E1530:N1530,0)),"",'Analysis backend'!$L$1)</f>
        <v/>
      </c>
      <c r="U1530" t="str">
        <f>IF(T1530='Analysis backend'!$L$1,IF(ISERROR(MATCH('Analysis backend'!$M$1,E1530:I1530,0)),"Dire","Radiant"),"")</f>
        <v/>
      </c>
    </row>
    <row r="1531" spans="20:21" x14ac:dyDescent="0.3">
      <c r="T1531" t="str">
        <f>IF(ISERROR(MATCH('Analysis backend'!$M$1,E1531:N1531,0)),"",'Analysis backend'!$L$1)</f>
        <v/>
      </c>
      <c r="U1531" t="str">
        <f>IF(T1531='Analysis backend'!$L$1,IF(ISERROR(MATCH('Analysis backend'!$M$1,E1531:I1531,0)),"Dire","Radiant"),"")</f>
        <v/>
      </c>
    </row>
    <row r="1532" spans="20:21" x14ac:dyDescent="0.3">
      <c r="T1532" t="str">
        <f>IF(ISERROR(MATCH('Analysis backend'!$M$1,E1532:N1532,0)),"",'Analysis backend'!$L$1)</f>
        <v/>
      </c>
      <c r="U1532" t="str">
        <f>IF(T1532='Analysis backend'!$L$1,IF(ISERROR(MATCH('Analysis backend'!$M$1,E1532:I1532,0)),"Dire","Radiant"),"")</f>
        <v/>
      </c>
    </row>
    <row r="1533" spans="20:21" x14ac:dyDescent="0.3">
      <c r="T1533" t="str">
        <f>IF(ISERROR(MATCH('Analysis backend'!$M$1,E1533:N1533,0)),"",'Analysis backend'!$L$1)</f>
        <v/>
      </c>
      <c r="U1533" t="str">
        <f>IF(T1533='Analysis backend'!$L$1,IF(ISERROR(MATCH('Analysis backend'!$M$1,E1533:I1533,0)),"Dire","Radiant"),"")</f>
        <v/>
      </c>
    </row>
    <row r="1534" spans="20:21" x14ac:dyDescent="0.3">
      <c r="T1534" t="str">
        <f>IF(ISERROR(MATCH('Analysis backend'!$M$1,E1534:N1534,0)),"",'Analysis backend'!$L$1)</f>
        <v/>
      </c>
      <c r="U1534" t="str">
        <f>IF(T1534='Analysis backend'!$L$1,IF(ISERROR(MATCH('Analysis backend'!$M$1,E1534:I1534,0)),"Dire","Radiant"),"")</f>
        <v/>
      </c>
    </row>
    <row r="1535" spans="20:21" x14ac:dyDescent="0.3">
      <c r="T1535" t="str">
        <f>IF(ISERROR(MATCH('Analysis backend'!$M$1,E1535:N1535,0)),"",'Analysis backend'!$L$1)</f>
        <v/>
      </c>
      <c r="U1535" t="str">
        <f>IF(T1535='Analysis backend'!$L$1,IF(ISERROR(MATCH('Analysis backend'!$M$1,E1535:I1535,0)),"Dire","Radiant"),"")</f>
        <v/>
      </c>
    </row>
    <row r="1536" spans="20:21" x14ac:dyDescent="0.3">
      <c r="T1536" t="str">
        <f>IF(ISERROR(MATCH('Analysis backend'!$M$1,E1536:N1536,0)),"",'Analysis backend'!$L$1)</f>
        <v/>
      </c>
      <c r="U1536" t="str">
        <f>IF(T1536='Analysis backend'!$L$1,IF(ISERROR(MATCH('Analysis backend'!$M$1,E1536:I1536,0)),"Dire","Radiant"),"")</f>
        <v/>
      </c>
    </row>
    <row r="1537" spans="20:21" x14ac:dyDescent="0.3">
      <c r="T1537" t="str">
        <f>IF(ISERROR(MATCH('Analysis backend'!$M$1,E1537:N1537,0)),"",'Analysis backend'!$L$1)</f>
        <v/>
      </c>
      <c r="U1537" t="str">
        <f>IF(T1537='Analysis backend'!$L$1,IF(ISERROR(MATCH('Analysis backend'!$M$1,E1537:I1537,0)),"Dire","Radiant"),"")</f>
        <v/>
      </c>
    </row>
    <row r="1538" spans="20:21" x14ac:dyDescent="0.3">
      <c r="T1538" t="str">
        <f>IF(ISERROR(MATCH('Analysis backend'!$M$1,E1538:N1538,0)),"",'Analysis backend'!$L$1)</f>
        <v/>
      </c>
      <c r="U1538" t="str">
        <f>IF(T1538='Analysis backend'!$L$1,IF(ISERROR(MATCH('Analysis backend'!$M$1,E1538:I1538,0)),"Dire","Radiant"),"")</f>
        <v/>
      </c>
    </row>
    <row r="1539" spans="20:21" x14ac:dyDescent="0.3">
      <c r="T1539" t="str">
        <f>IF(ISERROR(MATCH('Analysis backend'!$M$1,E1539:N1539,0)),"",'Analysis backend'!$L$1)</f>
        <v/>
      </c>
      <c r="U1539" t="str">
        <f>IF(T1539='Analysis backend'!$L$1,IF(ISERROR(MATCH('Analysis backend'!$M$1,E1539:I1539,0)),"Dire","Radiant"),"")</f>
        <v/>
      </c>
    </row>
    <row r="1540" spans="20:21" x14ac:dyDescent="0.3">
      <c r="T1540" t="str">
        <f>IF(ISERROR(MATCH('Analysis backend'!$M$1,E1540:N1540,0)),"",'Analysis backend'!$L$1)</f>
        <v/>
      </c>
      <c r="U1540" t="str">
        <f>IF(T1540='Analysis backend'!$L$1,IF(ISERROR(MATCH('Analysis backend'!$M$1,E1540:I1540,0)),"Dire","Radiant"),"")</f>
        <v/>
      </c>
    </row>
    <row r="1541" spans="20:21" x14ac:dyDescent="0.3">
      <c r="T1541" t="str">
        <f>IF(ISERROR(MATCH('Analysis backend'!$M$1,E1541:N1541,0)),"",'Analysis backend'!$L$1)</f>
        <v/>
      </c>
      <c r="U1541" t="str">
        <f>IF(T1541='Analysis backend'!$L$1,IF(ISERROR(MATCH('Analysis backend'!$M$1,E1541:I1541,0)),"Dire","Radiant"),"")</f>
        <v/>
      </c>
    </row>
    <row r="1542" spans="20:21" x14ac:dyDescent="0.3">
      <c r="T1542" t="str">
        <f>IF(ISERROR(MATCH('Analysis backend'!$M$1,E1542:N1542,0)),"",'Analysis backend'!$L$1)</f>
        <v/>
      </c>
      <c r="U1542" t="str">
        <f>IF(T1542='Analysis backend'!$L$1,IF(ISERROR(MATCH('Analysis backend'!$M$1,E1542:I1542,0)),"Dire","Radiant"),"")</f>
        <v/>
      </c>
    </row>
    <row r="1543" spans="20:21" x14ac:dyDescent="0.3">
      <c r="T1543" t="str">
        <f>IF(ISERROR(MATCH('Analysis backend'!$M$1,E1543:N1543,0)),"",'Analysis backend'!$L$1)</f>
        <v/>
      </c>
      <c r="U1543" t="str">
        <f>IF(T1543='Analysis backend'!$L$1,IF(ISERROR(MATCH('Analysis backend'!$M$1,E1543:I1543,0)),"Dire","Radiant"),"")</f>
        <v/>
      </c>
    </row>
    <row r="1544" spans="20:21" x14ac:dyDescent="0.3">
      <c r="T1544" t="str">
        <f>IF(ISERROR(MATCH('Analysis backend'!$M$1,E1544:N1544,0)),"",'Analysis backend'!$L$1)</f>
        <v/>
      </c>
      <c r="U1544" t="str">
        <f>IF(T1544='Analysis backend'!$L$1,IF(ISERROR(MATCH('Analysis backend'!$M$1,E1544:I1544,0)),"Dire","Radiant"),"")</f>
        <v/>
      </c>
    </row>
    <row r="1545" spans="20:21" x14ac:dyDescent="0.3">
      <c r="T1545" t="str">
        <f>IF(ISERROR(MATCH('Analysis backend'!$M$1,E1545:N1545,0)),"",'Analysis backend'!$L$1)</f>
        <v/>
      </c>
      <c r="U1545" t="str">
        <f>IF(T1545='Analysis backend'!$L$1,IF(ISERROR(MATCH('Analysis backend'!$M$1,E1545:I1545,0)),"Dire","Radiant"),"")</f>
        <v/>
      </c>
    </row>
    <row r="1546" spans="20:21" x14ac:dyDescent="0.3">
      <c r="T1546" t="str">
        <f>IF(ISERROR(MATCH('Analysis backend'!$M$1,E1546:N1546,0)),"",'Analysis backend'!$L$1)</f>
        <v/>
      </c>
      <c r="U1546" t="str">
        <f>IF(T1546='Analysis backend'!$L$1,IF(ISERROR(MATCH('Analysis backend'!$M$1,E1546:I1546,0)),"Dire","Radiant"),"")</f>
        <v/>
      </c>
    </row>
    <row r="1547" spans="20:21" x14ac:dyDescent="0.3">
      <c r="T1547" t="str">
        <f>IF(ISERROR(MATCH('Analysis backend'!$M$1,E1547:N1547,0)),"",'Analysis backend'!$L$1)</f>
        <v/>
      </c>
      <c r="U1547" t="str">
        <f>IF(T1547='Analysis backend'!$L$1,IF(ISERROR(MATCH('Analysis backend'!$M$1,E1547:I1547,0)),"Dire","Radiant"),"")</f>
        <v/>
      </c>
    </row>
    <row r="1548" spans="20:21" x14ac:dyDescent="0.3">
      <c r="T1548" t="str">
        <f>IF(ISERROR(MATCH('Analysis backend'!$M$1,E1548:N1548,0)),"",'Analysis backend'!$L$1)</f>
        <v/>
      </c>
      <c r="U1548" t="str">
        <f>IF(T1548='Analysis backend'!$L$1,IF(ISERROR(MATCH('Analysis backend'!$M$1,E1548:I1548,0)),"Dire","Radiant"),"")</f>
        <v/>
      </c>
    </row>
    <row r="1549" spans="20:21" x14ac:dyDescent="0.3">
      <c r="T1549" t="str">
        <f>IF(ISERROR(MATCH('Analysis backend'!$M$1,E1549:N1549,0)),"",'Analysis backend'!$L$1)</f>
        <v/>
      </c>
      <c r="U1549" t="str">
        <f>IF(T1549='Analysis backend'!$L$1,IF(ISERROR(MATCH('Analysis backend'!$M$1,E1549:I1549,0)),"Dire","Radiant"),"")</f>
        <v/>
      </c>
    </row>
    <row r="1550" spans="20:21" x14ac:dyDescent="0.3">
      <c r="T1550" t="str">
        <f>IF(ISERROR(MATCH('Analysis backend'!$M$1,E1550:N1550,0)),"",'Analysis backend'!$L$1)</f>
        <v/>
      </c>
      <c r="U1550" t="str">
        <f>IF(T1550='Analysis backend'!$L$1,IF(ISERROR(MATCH('Analysis backend'!$M$1,E1550:I1550,0)),"Dire","Radiant"),"")</f>
        <v/>
      </c>
    </row>
    <row r="1551" spans="20:21" x14ac:dyDescent="0.3">
      <c r="T1551" t="str">
        <f>IF(ISERROR(MATCH('Analysis backend'!$M$1,E1551:N1551,0)),"",'Analysis backend'!$L$1)</f>
        <v/>
      </c>
      <c r="U1551" t="str">
        <f>IF(T1551='Analysis backend'!$L$1,IF(ISERROR(MATCH('Analysis backend'!$M$1,E1551:I1551,0)),"Dire","Radiant"),"")</f>
        <v/>
      </c>
    </row>
    <row r="1552" spans="20:21" x14ac:dyDescent="0.3">
      <c r="T1552" t="str">
        <f>IF(ISERROR(MATCH('Analysis backend'!$M$1,E1552:N1552,0)),"",'Analysis backend'!$L$1)</f>
        <v/>
      </c>
      <c r="U1552" t="str">
        <f>IF(T1552='Analysis backend'!$L$1,IF(ISERROR(MATCH('Analysis backend'!$M$1,E1552:I1552,0)),"Dire","Radiant"),"")</f>
        <v/>
      </c>
    </row>
    <row r="1553" spans="20:21" x14ac:dyDescent="0.3">
      <c r="T1553" t="str">
        <f>IF(ISERROR(MATCH('Analysis backend'!$M$1,E1553:N1553,0)),"",'Analysis backend'!$L$1)</f>
        <v/>
      </c>
      <c r="U1553" t="str">
        <f>IF(T1553='Analysis backend'!$L$1,IF(ISERROR(MATCH('Analysis backend'!$M$1,E1553:I1553,0)),"Dire","Radiant"),"")</f>
        <v/>
      </c>
    </row>
    <row r="1554" spans="20:21" x14ac:dyDescent="0.3">
      <c r="T1554" t="str">
        <f>IF(ISERROR(MATCH('Analysis backend'!$M$1,E1554:N1554,0)),"",'Analysis backend'!$L$1)</f>
        <v/>
      </c>
      <c r="U1554" t="str">
        <f>IF(T1554='Analysis backend'!$L$1,IF(ISERROR(MATCH('Analysis backend'!$M$1,E1554:I1554,0)),"Dire","Radiant"),"")</f>
        <v/>
      </c>
    </row>
    <row r="1555" spans="20:21" x14ac:dyDescent="0.3">
      <c r="T1555" t="str">
        <f>IF(ISERROR(MATCH('Analysis backend'!$M$1,E1555:N1555,0)),"",'Analysis backend'!$L$1)</f>
        <v/>
      </c>
      <c r="U1555" t="str">
        <f>IF(T1555='Analysis backend'!$L$1,IF(ISERROR(MATCH('Analysis backend'!$M$1,E1555:I1555,0)),"Dire","Radiant"),"")</f>
        <v/>
      </c>
    </row>
    <row r="1556" spans="20:21" x14ac:dyDescent="0.3">
      <c r="T1556" t="str">
        <f>IF(ISERROR(MATCH('Analysis backend'!$M$1,E1556:N1556,0)),"",'Analysis backend'!$L$1)</f>
        <v/>
      </c>
      <c r="U1556" t="str">
        <f>IF(T1556='Analysis backend'!$L$1,IF(ISERROR(MATCH('Analysis backend'!$M$1,E1556:I1556,0)),"Dire","Radiant"),"")</f>
        <v/>
      </c>
    </row>
    <row r="1557" spans="20:21" x14ac:dyDescent="0.3">
      <c r="T1557" t="str">
        <f>IF(ISERROR(MATCH('Analysis backend'!$M$1,E1557:N1557,0)),"",'Analysis backend'!$L$1)</f>
        <v/>
      </c>
      <c r="U1557" t="str">
        <f>IF(T1557='Analysis backend'!$L$1,IF(ISERROR(MATCH('Analysis backend'!$M$1,E1557:I1557,0)),"Dire","Radiant"),"")</f>
        <v/>
      </c>
    </row>
    <row r="1558" spans="20:21" x14ac:dyDescent="0.3">
      <c r="T1558" t="str">
        <f>IF(ISERROR(MATCH('Analysis backend'!$M$1,E1558:N1558,0)),"",'Analysis backend'!$L$1)</f>
        <v/>
      </c>
      <c r="U1558" t="str">
        <f>IF(T1558='Analysis backend'!$L$1,IF(ISERROR(MATCH('Analysis backend'!$M$1,E1558:I1558,0)),"Dire","Radiant"),"")</f>
        <v/>
      </c>
    </row>
    <row r="1559" spans="20:21" x14ac:dyDescent="0.3">
      <c r="T1559" t="str">
        <f>IF(ISERROR(MATCH('Analysis backend'!$M$1,E1559:N1559,0)),"",'Analysis backend'!$L$1)</f>
        <v/>
      </c>
      <c r="U1559" t="str">
        <f>IF(T1559='Analysis backend'!$L$1,IF(ISERROR(MATCH('Analysis backend'!$M$1,E1559:I1559,0)),"Dire","Radiant"),"")</f>
        <v/>
      </c>
    </row>
    <row r="1560" spans="20:21" x14ac:dyDescent="0.3">
      <c r="T1560" t="str">
        <f>IF(ISERROR(MATCH('Analysis backend'!$M$1,E1560:N1560,0)),"",'Analysis backend'!$L$1)</f>
        <v/>
      </c>
      <c r="U1560" t="str">
        <f>IF(T1560='Analysis backend'!$L$1,IF(ISERROR(MATCH('Analysis backend'!$M$1,E1560:I1560,0)),"Dire","Radiant"),"")</f>
        <v/>
      </c>
    </row>
    <row r="1561" spans="20:21" x14ac:dyDescent="0.3">
      <c r="T1561" t="str">
        <f>IF(ISERROR(MATCH('Analysis backend'!$M$1,E1561:N1561,0)),"",'Analysis backend'!$L$1)</f>
        <v/>
      </c>
      <c r="U1561" t="str">
        <f>IF(T1561='Analysis backend'!$L$1,IF(ISERROR(MATCH('Analysis backend'!$M$1,E1561:I1561,0)),"Dire","Radiant"),"")</f>
        <v/>
      </c>
    </row>
    <row r="1562" spans="20:21" x14ac:dyDescent="0.3">
      <c r="T1562" t="str">
        <f>IF(ISERROR(MATCH('Analysis backend'!$M$1,E1562:N1562,0)),"",'Analysis backend'!$L$1)</f>
        <v/>
      </c>
      <c r="U1562" t="str">
        <f>IF(T1562='Analysis backend'!$L$1,IF(ISERROR(MATCH('Analysis backend'!$M$1,E1562:I1562,0)),"Dire","Radiant"),"")</f>
        <v/>
      </c>
    </row>
    <row r="1563" spans="20:21" x14ac:dyDescent="0.3">
      <c r="T1563" t="str">
        <f>IF(ISERROR(MATCH('Analysis backend'!$M$1,E1563:N1563,0)),"",'Analysis backend'!$L$1)</f>
        <v/>
      </c>
      <c r="U1563" t="str">
        <f>IF(T1563='Analysis backend'!$L$1,IF(ISERROR(MATCH('Analysis backend'!$M$1,E1563:I1563,0)),"Dire","Radiant"),"")</f>
        <v/>
      </c>
    </row>
    <row r="1564" spans="20:21" x14ac:dyDescent="0.3">
      <c r="T1564" t="str">
        <f>IF(ISERROR(MATCH('Analysis backend'!$M$1,E1564:N1564,0)),"",'Analysis backend'!$L$1)</f>
        <v/>
      </c>
      <c r="U1564" t="str">
        <f>IF(T1564='Analysis backend'!$L$1,IF(ISERROR(MATCH('Analysis backend'!$M$1,E1564:I1564,0)),"Dire","Radiant"),"")</f>
        <v/>
      </c>
    </row>
    <row r="1565" spans="20:21" x14ac:dyDescent="0.3">
      <c r="T1565" t="str">
        <f>IF(ISERROR(MATCH('Analysis backend'!$M$1,E1565:N1565,0)),"",'Analysis backend'!$L$1)</f>
        <v/>
      </c>
      <c r="U1565" t="str">
        <f>IF(T1565='Analysis backend'!$L$1,IF(ISERROR(MATCH('Analysis backend'!$M$1,E1565:I1565,0)),"Dire","Radiant"),"")</f>
        <v/>
      </c>
    </row>
    <row r="1566" spans="20:21" x14ac:dyDescent="0.3">
      <c r="T1566" t="str">
        <f>IF(ISERROR(MATCH('Analysis backend'!$M$1,E1566:N1566,0)),"",'Analysis backend'!$L$1)</f>
        <v/>
      </c>
      <c r="U1566" t="str">
        <f>IF(T1566='Analysis backend'!$L$1,IF(ISERROR(MATCH('Analysis backend'!$M$1,E1566:I1566,0)),"Dire","Radiant"),"")</f>
        <v/>
      </c>
    </row>
    <row r="1567" spans="20:21" x14ac:dyDescent="0.3">
      <c r="T1567" t="str">
        <f>IF(ISERROR(MATCH('Analysis backend'!$M$1,E1567:N1567,0)),"",'Analysis backend'!$L$1)</f>
        <v/>
      </c>
      <c r="U1567" t="str">
        <f>IF(T1567='Analysis backend'!$L$1,IF(ISERROR(MATCH('Analysis backend'!$M$1,E1567:I1567,0)),"Dire","Radiant"),"")</f>
        <v/>
      </c>
    </row>
    <row r="1568" spans="20:21" x14ac:dyDescent="0.3">
      <c r="T1568" t="str">
        <f>IF(ISERROR(MATCH('Analysis backend'!$M$1,E1568:N1568,0)),"",'Analysis backend'!$L$1)</f>
        <v/>
      </c>
      <c r="U1568" t="str">
        <f>IF(T1568='Analysis backend'!$L$1,IF(ISERROR(MATCH('Analysis backend'!$M$1,E1568:I1568,0)),"Dire","Radiant"),"")</f>
        <v/>
      </c>
    </row>
    <row r="1569" spans="20:21" x14ac:dyDescent="0.3">
      <c r="T1569" t="str">
        <f>IF(ISERROR(MATCH('Analysis backend'!$M$1,E1569:N1569,0)),"",'Analysis backend'!$L$1)</f>
        <v/>
      </c>
      <c r="U1569" t="str">
        <f>IF(T1569='Analysis backend'!$L$1,IF(ISERROR(MATCH('Analysis backend'!$M$1,E1569:I1569,0)),"Dire","Radiant"),"")</f>
        <v/>
      </c>
    </row>
    <row r="1570" spans="20:21" x14ac:dyDescent="0.3">
      <c r="T1570" t="str">
        <f>IF(ISERROR(MATCH('Analysis backend'!$M$1,E1570:N1570,0)),"",'Analysis backend'!$L$1)</f>
        <v/>
      </c>
      <c r="U1570" t="str">
        <f>IF(T1570='Analysis backend'!$L$1,IF(ISERROR(MATCH('Analysis backend'!$M$1,E1570:I1570,0)),"Dire","Radiant"),"")</f>
        <v/>
      </c>
    </row>
    <row r="1571" spans="20:21" x14ac:dyDescent="0.3">
      <c r="T1571" t="str">
        <f>IF(ISERROR(MATCH('Analysis backend'!$M$1,E1571:N1571,0)),"",'Analysis backend'!$L$1)</f>
        <v/>
      </c>
      <c r="U1571" t="str">
        <f>IF(T1571='Analysis backend'!$L$1,IF(ISERROR(MATCH('Analysis backend'!$M$1,E1571:I1571,0)),"Dire","Radiant"),"")</f>
        <v/>
      </c>
    </row>
    <row r="1572" spans="20:21" x14ac:dyDescent="0.3">
      <c r="T1572" t="str">
        <f>IF(ISERROR(MATCH('Analysis backend'!$M$1,E1572:N1572,0)),"",'Analysis backend'!$L$1)</f>
        <v/>
      </c>
      <c r="U1572" t="str">
        <f>IF(T1572='Analysis backend'!$L$1,IF(ISERROR(MATCH('Analysis backend'!$M$1,E1572:I1572,0)),"Dire","Radiant"),"")</f>
        <v/>
      </c>
    </row>
    <row r="1573" spans="20:21" x14ac:dyDescent="0.3">
      <c r="T1573" t="str">
        <f>IF(ISERROR(MATCH('Analysis backend'!$M$1,E1573:N1573,0)),"",'Analysis backend'!$L$1)</f>
        <v/>
      </c>
      <c r="U1573" t="str">
        <f>IF(T1573='Analysis backend'!$L$1,IF(ISERROR(MATCH('Analysis backend'!$M$1,E1573:I1573,0)),"Dire","Radiant"),"")</f>
        <v/>
      </c>
    </row>
    <row r="1574" spans="20:21" x14ac:dyDescent="0.3">
      <c r="T1574" t="str">
        <f>IF(ISERROR(MATCH('Analysis backend'!$M$1,E1574:N1574,0)),"",'Analysis backend'!$L$1)</f>
        <v/>
      </c>
      <c r="U1574" t="str">
        <f>IF(T1574='Analysis backend'!$L$1,IF(ISERROR(MATCH('Analysis backend'!$M$1,E1574:I1574,0)),"Dire","Radiant"),"")</f>
        <v/>
      </c>
    </row>
    <row r="1575" spans="20:21" x14ac:dyDescent="0.3">
      <c r="T1575" t="str">
        <f>IF(ISERROR(MATCH('Analysis backend'!$M$1,E1575:N1575,0)),"",'Analysis backend'!$L$1)</f>
        <v/>
      </c>
      <c r="U1575" t="str">
        <f>IF(T1575='Analysis backend'!$L$1,IF(ISERROR(MATCH('Analysis backend'!$M$1,E1575:I1575,0)),"Dire","Radiant"),"")</f>
        <v/>
      </c>
    </row>
    <row r="1576" spans="20:21" x14ac:dyDescent="0.3">
      <c r="T1576" t="str">
        <f>IF(ISERROR(MATCH('Analysis backend'!$M$1,E1576:N1576,0)),"",'Analysis backend'!$L$1)</f>
        <v/>
      </c>
      <c r="U1576" t="str">
        <f>IF(T1576='Analysis backend'!$L$1,IF(ISERROR(MATCH('Analysis backend'!$M$1,E1576:I1576,0)),"Dire","Radiant"),"")</f>
        <v/>
      </c>
    </row>
    <row r="1577" spans="20:21" x14ac:dyDescent="0.3">
      <c r="T1577" t="str">
        <f>IF(ISERROR(MATCH('Analysis backend'!$M$1,E1577:N1577,0)),"",'Analysis backend'!$L$1)</f>
        <v/>
      </c>
      <c r="U1577" t="str">
        <f>IF(T1577='Analysis backend'!$L$1,IF(ISERROR(MATCH('Analysis backend'!$M$1,E1577:I1577,0)),"Dire","Radiant"),"")</f>
        <v/>
      </c>
    </row>
    <row r="1578" spans="20:21" x14ac:dyDescent="0.3">
      <c r="T1578" t="str">
        <f>IF(ISERROR(MATCH('Analysis backend'!$M$1,E1578:N1578,0)),"",'Analysis backend'!$L$1)</f>
        <v/>
      </c>
      <c r="U1578" t="str">
        <f>IF(T1578='Analysis backend'!$L$1,IF(ISERROR(MATCH('Analysis backend'!$M$1,E1578:I1578,0)),"Dire","Radiant"),"")</f>
        <v/>
      </c>
    </row>
    <row r="1579" spans="20:21" x14ac:dyDescent="0.3">
      <c r="T1579" t="str">
        <f>IF(ISERROR(MATCH('Analysis backend'!$M$1,E1579:N1579,0)),"",'Analysis backend'!$L$1)</f>
        <v/>
      </c>
      <c r="U1579" t="str">
        <f>IF(T1579='Analysis backend'!$L$1,IF(ISERROR(MATCH('Analysis backend'!$M$1,E1579:I1579,0)),"Dire","Radiant"),"")</f>
        <v/>
      </c>
    </row>
    <row r="1580" spans="20:21" x14ac:dyDescent="0.3">
      <c r="T1580" t="str">
        <f>IF(ISERROR(MATCH('Analysis backend'!$M$1,E1580:N1580,0)),"",'Analysis backend'!$L$1)</f>
        <v/>
      </c>
      <c r="U1580" t="str">
        <f>IF(T1580='Analysis backend'!$L$1,IF(ISERROR(MATCH('Analysis backend'!$M$1,E1580:I1580,0)),"Dire","Radiant"),"")</f>
        <v/>
      </c>
    </row>
    <row r="1581" spans="20:21" x14ac:dyDescent="0.3">
      <c r="T1581" t="str">
        <f>IF(ISERROR(MATCH('Analysis backend'!$M$1,E1581:N1581,0)),"",'Analysis backend'!$L$1)</f>
        <v/>
      </c>
      <c r="U1581" t="str">
        <f>IF(T1581='Analysis backend'!$L$1,IF(ISERROR(MATCH('Analysis backend'!$M$1,E1581:I1581,0)),"Dire","Radiant"),"")</f>
        <v/>
      </c>
    </row>
    <row r="1582" spans="20:21" x14ac:dyDescent="0.3">
      <c r="T1582" t="str">
        <f>IF(ISERROR(MATCH('Analysis backend'!$M$1,E1582:N1582,0)),"",'Analysis backend'!$L$1)</f>
        <v/>
      </c>
      <c r="U1582" t="str">
        <f>IF(T1582='Analysis backend'!$L$1,IF(ISERROR(MATCH('Analysis backend'!$M$1,E1582:I1582,0)),"Dire","Radiant"),"")</f>
        <v/>
      </c>
    </row>
    <row r="1583" spans="20:21" x14ac:dyDescent="0.3">
      <c r="T1583" t="str">
        <f>IF(ISERROR(MATCH('Analysis backend'!$M$1,E1583:N1583,0)),"",'Analysis backend'!$L$1)</f>
        <v/>
      </c>
      <c r="U1583" t="str">
        <f>IF(T1583='Analysis backend'!$L$1,IF(ISERROR(MATCH('Analysis backend'!$M$1,E1583:I1583,0)),"Dire","Radiant"),"")</f>
        <v/>
      </c>
    </row>
    <row r="1584" spans="20:21" x14ac:dyDescent="0.3">
      <c r="T1584" t="str">
        <f>IF(ISERROR(MATCH('Analysis backend'!$M$1,E1584:N1584,0)),"",'Analysis backend'!$L$1)</f>
        <v/>
      </c>
      <c r="U1584" t="str">
        <f>IF(T1584='Analysis backend'!$L$1,IF(ISERROR(MATCH('Analysis backend'!$M$1,E1584:I1584,0)),"Dire","Radiant"),"")</f>
        <v/>
      </c>
    </row>
    <row r="1585" spans="20:21" x14ac:dyDescent="0.3">
      <c r="T1585" t="str">
        <f>IF(ISERROR(MATCH('Analysis backend'!$M$1,E1585:N1585,0)),"",'Analysis backend'!$L$1)</f>
        <v/>
      </c>
      <c r="U1585" t="str">
        <f>IF(T1585='Analysis backend'!$L$1,IF(ISERROR(MATCH('Analysis backend'!$M$1,E1585:I1585,0)),"Dire","Radiant"),"")</f>
        <v/>
      </c>
    </row>
    <row r="1586" spans="20:21" x14ac:dyDescent="0.3">
      <c r="T1586" t="str">
        <f>IF(ISERROR(MATCH('Analysis backend'!$M$1,E1586:N1586,0)),"",'Analysis backend'!$L$1)</f>
        <v/>
      </c>
      <c r="U1586" t="str">
        <f>IF(T1586='Analysis backend'!$L$1,IF(ISERROR(MATCH('Analysis backend'!$M$1,E1586:I1586,0)),"Dire","Radiant"),"")</f>
        <v/>
      </c>
    </row>
    <row r="1587" spans="20:21" x14ac:dyDescent="0.3">
      <c r="T1587" t="str">
        <f>IF(ISERROR(MATCH('Analysis backend'!$M$1,E1587:N1587,0)),"",'Analysis backend'!$L$1)</f>
        <v/>
      </c>
      <c r="U1587" t="str">
        <f>IF(T1587='Analysis backend'!$L$1,IF(ISERROR(MATCH('Analysis backend'!$M$1,E1587:I1587,0)),"Dire","Radiant"),"")</f>
        <v/>
      </c>
    </row>
    <row r="1588" spans="20:21" x14ac:dyDescent="0.3">
      <c r="T1588" t="str">
        <f>IF(ISERROR(MATCH('Analysis backend'!$M$1,E1588:N1588,0)),"",'Analysis backend'!$L$1)</f>
        <v/>
      </c>
      <c r="U1588" t="str">
        <f>IF(T1588='Analysis backend'!$L$1,IF(ISERROR(MATCH('Analysis backend'!$M$1,E1588:I1588,0)),"Dire","Radiant"),"")</f>
        <v/>
      </c>
    </row>
    <row r="1589" spans="20:21" x14ac:dyDescent="0.3">
      <c r="T1589" t="str">
        <f>IF(ISERROR(MATCH('Analysis backend'!$M$1,E1589:N1589,0)),"",'Analysis backend'!$L$1)</f>
        <v/>
      </c>
      <c r="U1589" t="str">
        <f>IF(T1589='Analysis backend'!$L$1,IF(ISERROR(MATCH('Analysis backend'!$M$1,E1589:I1589,0)),"Dire","Radiant"),"")</f>
        <v/>
      </c>
    </row>
    <row r="1590" spans="20:21" x14ac:dyDescent="0.3">
      <c r="T1590" t="str">
        <f>IF(ISERROR(MATCH('Analysis backend'!$M$1,E1590:N1590,0)),"",'Analysis backend'!$L$1)</f>
        <v/>
      </c>
      <c r="U1590" t="str">
        <f>IF(T1590='Analysis backend'!$L$1,IF(ISERROR(MATCH('Analysis backend'!$M$1,E1590:I1590,0)),"Dire","Radiant"),"")</f>
        <v/>
      </c>
    </row>
    <row r="1591" spans="20:21" x14ac:dyDescent="0.3">
      <c r="T1591" t="str">
        <f>IF(ISERROR(MATCH('Analysis backend'!$M$1,E1591:N1591,0)),"",'Analysis backend'!$L$1)</f>
        <v/>
      </c>
      <c r="U1591" t="str">
        <f>IF(T1591='Analysis backend'!$L$1,IF(ISERROR(MATCH('Analysis backend'!$M$1,E1591:I1591,0)),"Dire","Radiant"),"")</f>
        <v/>
      </c>
    </row>
    <row r="1592" spans="20:21" x14ac:dyDescent="0.3">
      <c r="T1592" t="str">
        <f>IF(ISERROR(MATCH('Analysis backend'!$M$1,E1592:N1592,0)),"",'Analysis backend'!$L$1)</f>
        <v/>
      </c>
      <c r="U1592" t="str">
        <f>IF(T1592='Analysis backend'!$L$1,IF(ISERROR(MATCH('Analysis backend'!$M$1,E1592:I1592,0)),"Dire","Radiant"),"")</f>
        <v/>
      </c>
    </row>
    <row r="1593" spans="20:21" x14ac:dyDescent="0.3">
      <c r="T1593" t="str">
        <f>IF(ISERROR(MATCH('Analysis backend'!$M$1,E1593:N1593,0)),"",'Analysis backend'!$L$1)</f>
        <v/>
      </c>
      <c r="U1593" t="str">
        <f>IF(T1593='Analysis backend'!$L$1,IF(ISERROR(MATCH('Analysis backend'!$M$1,E1593:I1593,0)),"Dire","Radiant"),"")</f>
        <v/>
      </c>
    </row>
    <row r="1594" spans="20:21" x14ac:dyDescent="0.3">
      <c r="T1594" t="str">
        <f>IF(ISERROR(MATCH('Analysis backend'!$M$1,E1594:N1594,0)),"",'Analysis backend'!$L$1)</f>
        <v/>
      </c>
      <c r="U1594" t="str">
        <f>IF(T1594='Analysis backend'!$L$1,IF(ISERROR(MATCH('Analysis backend'!$M$1,E1594:I1594,0)),"Dire","Radiant"),"")</f>
        <v/>
      </c>
    </row>
    <row r="1595" spans="20:21" x14ac:dyDescent="0.3">
      <c r="T1595" t="str">
        <f>IF(ISERROR(MATCH('Analysis backend'!$M$1,E1595:N1595,0)),"",'Analysis backend'!$L$1)</f>
        <v/>
      </c>
      <c r="U1595" t="str">
        <f>IF(T1595='Analysis backend'!$L$1,IF(ISERROR(MATCH('Analysis backend'!$M$1,E1595:I1595,0)),"Dire","Radiant"),"")</f>
        <v/>
      </c>
    </row>
    <row r="1596" spans="20:21" x14ac:dyDescent="0.3">
      <c r="T1596" t="str">
        <f>IF(ISERROR(MATCH('Analysis backend'!$M$1,E1596:N1596,0)),"",'Analysis backend'!$L$1)</f>
        <v/>
      </c>
      <c r="U1596" t="str">
        <f>IF(T1596='Analysis backend'!$L$1,IF(ISERROR(MATCH('Analysis backend'!$M$1,E1596:I1596,0)),"Dire","Radiant"),"")</f>
        <v/>
      </c>
    </row>
    <row r="1597" spans="20:21" x14ac:dyDescent="0.3">
      <c r="T1597" t="str">
        <f>IF(ISERROR(MATCH('Analysis backend'!$M$1,E1597:N1597,0)),"",'Analysis backend'!$L$1)</f>
        <v/>
      </c>
      <c r="U1597" t="str">
        <f>IF(T1597='Analysis backend'!$L$1,IF(ISERROR(MATCH('Analysis backend'!$M$1,E1597:I1597,0)),"Dire","Radiant"),"")</f>
        <v/>
      </c>
    </row>
    <row r="1598" spans="20:21" x14ac:dyDescent="0.3">
      <c r="T1598" t="str">
        <f>IF(ISERROR(MATCH('Analysis backend'!$M$1,E1598:N1598,0)),"",'Analysis backend'!$L$1)</f>
        <v/>
      </c>
      <c r="U1598" t="str">
        <f>IF(T1598='Analysis backend'!$L$1,IF(ISERROR(MATCH('Analysis backend'!$M$1,E1598:I1598,0)),"Dire","Radiant"),"")</f>
        <v/>
      </c>
    </row>
    <row r="1599" spans="20:21" x14ac:dyDescent="0.3">
      <c r="T1599" t="str">
        <f>IF(ISERROR(MATCH('Analysis backend'!$M$1,E1599:N1599,0)),"",'Analysis backend'!$L$1)</f>
        <v/>
      </c>
      <c r="U1599" t="str">
        <f>IF(T1599='Analysis backend'!$L$1,IF(ISERROR(MATCH('Analysis backend'!$M$1,E1599:I1599,0)),"Dire","Radiant"),"")</f>
        <v/>
      </c>
    </row>
    <row r="1600" spans="20:21" x14ac:dyDescent="0.3">
      <c r="T1600" t="str">
        <f>IF(ISERROR(MATCH('Analysis backend'!$M$1,E1600:N1600,0)),"",'Analysis backend'!$L$1)</f>
        <v/>
      </c>
      <c r="U1600" t="str">
        <f>IF(T1600='Analysis backend'!$L$1,IF(ISERROR(MATCH('Analysis backend'!$M$1,E1600:I1600,0)),"Dire","Radiant"),"")</f>
        <v/>
      </c>
    </row>
    <row r="1601" spans="20:21" x14ac:dyDescent="0.3">
      <c r="T1601" t="str">
        <f>IF(ISERROR(MATCH('Analysis backend'!$M$1,E1601:N1601,0)),"",'Analysis backend'!$L$1)</f>
        <v/>
      </c>
      <c r="U1601" t="str">
        <f>IF(T1601='Analysis backend'!$L$1,IF(ISERROR(MATCH('Analysis backend'!$M$1,E1601:I1601,0)),"Dire","Radiant"),"")</f>
        <v/>
      </c>
    </row>
    <row r="1602" spans="20:21" x14ac:dyDescent="0.3">
      <c r="T1602" t="str">
        <f>IF(ISERROR(MATCH('Analysis backend'!$M$1,E1602:N1602,0)),"",'Analysis backend'!$L$1)</f>
        <v/>
      </c>
      <c r="U1602" t="str">
        <f>IF(T1602='Analysis backend'!$L$1,IF(ISERROR(MATCH('Analysis backend'!$M$1,E1602:I1602,0)),"Dire","Radiant"),"")</f>
        <v/>
      </c>
    </row>
    <row r="1603" spans="20:21" x14ac:dyDescent="0.3">
      <c r="T1603" t="str">
        <f>IF(ISERROR(MATCH('Analysis backend'!$M$1,E1603:N1603,0)),"",'Analysis backend'!$L$1)</f>
        <v/>
      </c>
      <c r="U1603" t="str">
        <f>IF(T1603='Analysis backend'!$L$1,IF(ISERROR(MATCH('Analysis backend'!$M$1,E1603:I1603,0)),"Dire","Radiant"),"")</f>
        <v/>
      </c>
    </row>
    <row r="1604" spans="20:21" x14ac:dyDescent="0.3">
      <c r="T1604" t="str">
        <f>IF(ISERROR(MATCH('Analysis backend'!$M$1,E1604:N1604,0)),"",'Analysis backend'!$L$1)</f>
        <v/>
      </c>
      <c r="U1604" t="str">
        <f>IF(T1604='Analysis backend'!$L$1,IF(ISERROR(MATCH('Analysis backend'!$M$1,E1604:I1604,0)),"Dire","Radiant"),"")</f>
        <v/>
      </c>
    </row>
    <row r="1605" spans="20:21" x14ac:dyDescent="0.3">
      <c r="T1605" t="str">
        <f>IF(ISERROR(MATCH('Analysis backend'!$M$1,E1605:N1605,0)),"",'Analysis backend'!$L$1)</f>
        <v/>
      </c>
      <c r="U1605" t="str">
        <f>IF(T1605='Analysis backend'!$L$1,IF(ISERROR(MATCH('Analysis backend'!$M$1,E1605:I1605,0)),"Dire","Radiant"),"")</f>
        <v/>
      </c>
    </row>
    <row r="1606" spans="20:21" x14ac:dyDescent="0.3">
      <c r="T1606" t="str">
        <f>IF(ISERROR(MATCH('Analysis backend'!$M$1,E1606:N1606,0)),"",'Analysis backend'!$L$1)</f>
        <v/>
      </c>
      <c r="U1606" t="str">
        <f>IF(T1606='Analysis backend'!$L$1,IF(ISERROR(MATCH('Analysis backend'!$M$1,E1606:I1606,0)),"Dire","Radiant"),"")</f>
        <v/>
      </c>
    </row>
    <row r="1607" spans="20:21" x14ac:dyDescent="0.3">
      <c r="T1607" t="str">
        <f>IF(ISERROR(MATCH('Analysis backend'!$M$1,E1607:N1607,0)),"",'Analysis backend'!$L$1)</f>
        <v/>
      </c>
      <c r="U1607" t="str">
        <f>IF(T1607='Analysis backend'!$L$1,IF(ISERROR(MATCH('Analysis backend'!$M$1,E1607:I1607,0)),"Dire","Radiant"),"")</f>
        <v/>
      </c>
    </row>
    <row r="1608" spans="20:21" x14ac:dyDescent="0.3">
      <c r="T1608" t="str">
        <f>IF(ISERROR(MATCH('Analysis backend'!$M$1,E1608:N1608,0)),"",'Analysis backend'!$L$1)</f>
        <v/>
      </c>
      <c r="U1608" t="str">
        <f>IF(T1608='Analysis backend'!$L$1,IF(ISERROR(MATCH('Analysis backend'!$M$1,E1608:I1608,0)),"Dire","Radiant"),"")</f>
        <v/>
      </c>
    </row>
    <row r="1609" spans="20:21" x14ac:dyDescent="0.3">
      <c r="T1609" t="str">
        <f>IF(ISERROR(MATCH('Analysis backend'!$M$1,E1609:N1609,0)),"",'Analysis backend'!$L$1)</f>
        <v/>
      </c>
      <c r="U1609" t="str">
        <f>IF(T1609='Analysis backend'!$L$1,IF(ISERROR(MATCH('Analysis backend'!$M$1,E1609:I1609,0)),"Dire","Radiant"),"")</f>
        <v/>
      </c>
    </row>
    <row r="1610" spans="20:21" x14ac:dyDescent="0.3">
      <c r="T1610" t="str">
        <f>IF(ISERROR(MATCH('Analysis backend'!$M$1,E1610:N1610,0)),"",'Analysis backend'!$L$1)</f>
        <v/>
      </c>
      <c r="U1610" t="str">
        <f>IF(T1610='Analysis backend'!$L$1,IF(ISERROR(MATCH('Analysis backend'!$M$1,E1610:I1610,0)),"Dire","Radiant"),"")</f>
        <v/>
      </c>
    </row>
    <row r="1611" spans="20:21" x14ac:dyDescent="0.3">
      <c r="T1611" t="str">
        <f>IF(ISERROR(MATCH('Analysis backend'!$M$1,E1611:N1611,0)),"",'Analysis backend'!$L$1)</f>
        <v/>
      </c>
      <c r="U1611" t="str">
        <f>IF(T1611='Analysis backend'!$L$1,IF(ISERROR(MATCH('Analysis backend'!$M$1,E1611:I1611,0)),"Dire","Radiant"),"")</f>
        <v/>
      </c>
    </row>
    <row r="1612" spans="20:21" x14ac:dyDescent="0.3">
      <c r="T1612" t="str">
        <f>IF(ISERROR(MATCH('Analysis backend'!$M$1,E1612:N1612,0)),"",'Analysis backend'!$L$1)</f>
        <v/>
      </c>
      <c r="U1612" t="str">
        <f>IF(T1612='Analysis backend'!$L$1,IF(ISERROR(MATCH('Analysis backend'!$M$1,E1612:I1612,0)),"Dire","Radiant"),"")</f>
        <v/>
      </c>
    </row>
    <row r="1613" spans="20:21" x14ac:dyDescent="0.3">
      <c r="T1613" t="str">
        <f>IF(ISERROR(MATCH('Analysis backend'!$M$1,E1613:N1613,0)),"",'Analysis backend'!$L$1)</f>
        <v/>
      </c>
      <c r="U1613" t="str">
        <f>IF(T1613='Analysis backend'!$L$1,IF(ISERROR(MATCH('Analysis backend'!$M$1,E1613:I1613,0)),"Dire","Radiant"),"")</f>
        <v/>
      </c>
    </row>
    <row r="1614" spans="20:21" x14ac:dyDescent="0.3">
      <c r="T1614" t="str">
        <f>IF(ISERROR(MATCH('Analysis backend'!$M$1,E1614:N1614,0)),"",'Analysis backend'!$L$1)</f>
        <v/>
      </c>
      <c r="U1614" t="str">
        <f>IF(T1614='Analysis backend'!$L$1,IF(ISERROR(MATCH('Analysis backend'!$M$1,E1614:I1614,0)),"Dire","Radiant"),"")</f>
        <v/>
      </c>
    </row>
    <row r="1615" spans="20:21" x14ac:dyDescent="0.3">
      <c r="T1615" t="str">
        <f>IF(ISERROR(MATCH('Analysis backend'!$M$1,E1615:N1615,0)),"",'Analysis backend'!$L$1)</f>
        <v/>
      </c>
      <c r="U1615" t="str">
        <f>IF(T1615='Analysis backend'!$L$1,IF(ISERROR(MATCH('Analysis backend'!$M$1,E1615:I1615,0)),"Dire","Radiant"),"")</f>
        <v/>
      </c>
    </row>
    <row r="1616" spans="20:21" x14ac:dyDescent="0.3">
      <c r="T1616" t="str">
        <f>IF(ISERROR(MATCH('Analysis backend'!$M$1,E1616:N1616,0)),"",'Analysis backend'!$L$1)</f>
        <v/>
      </c>
      <c r="U1616" t="str">
        <f>IF(T1616='Analysis backend'!$L$1,IF(ISERROR(MATCH('Analysis backend'!$M$1,E1616:I1616,0)),"Dire","Radiant"),"")</f>
        <v/>
      </c>
    </row>
    <row r="1617" spans="20:21" x14ac:dyDescent="0.3">
      <c r="T1617" t="str">
        <f>IF(ISERROR(MATCH('Analysis backend'!$M$1,E1617:N1617,0)),"",'Analysis backend'!$L$1)</f>
        <v/>
      </c>
      <c r="U1617" t="str">
        <f>IF(T1617='Analysis backend'!$L$1,IF(ISERROR(MATCH('Analysis backend'!$M$1,E1617:I1617,0)),"Dire","Radiant"),"")</f>
        <v/>
      </c>
    </row>
    <row r="1618" spans="20:21" x14ac:dyDescent="0.3">
      <c r="T1618" t="str">
        <f>IF(ISERROR(MATCH('Analysis backend'!$M$1,E1618:N1618,0)),"",'Analysis backend'!$L$1)</f>
        <v/>
      </c>
      <c r="U1618" t="str">
        <f>IF(T1618='Analysis backend'!$L$1,IF(ISERROR(MATCH('Analysis backend'!$M$1,E1618:I1618,0)),"Dire","Radiant"),"")</f>
        <v/>
      </c>
    </row>
    <row r="1619" spans="20:21" x14ac:dyDescent="0.3">
      <c r="T1619" t="str">
        <f>IF(ISERROR(MATCH('Analysis backend'!$M$1,E1619:N1619,0)),"",'Analysis backend'!$L$1)</f>
        <v/>
      </c>
      <c r="U1619" t="str">
        <f>IF(T1619='Analysis backend'!$L$1,IF(ISERROR(MATCH('Analysis backend'!$M$1,E1619:I1619,0)),"Dire","Radiant"),"")</f>
        <v/>
      </c>
    </row>
    <row r="1620" spans="20:21" x14ac:dyDescent="0.3">
      <c r="T1620" t="str">
        <f>IF(ISERROR(MATCH('Analysis backend'!$M$1,E1620:N1620,0)),"",'Analysis backend'!$L$1)</f>
        <v/>
      </c>
      <c r="U1620" t="str">
        <f>IF(T1620='Analysis backend'!$L$1,IF(ISERROR(MATCH('Analysis backend'!$M$1,E1620:I1620,0)),"Dire","Radiant"),"")</f>
        <v/>
      </c>
    </row>
    <row r="1621" spans="20:21" x14ac:dyDescent="0.3">
      <c r="T1621" t="str">
        <f>IF(ISERROR(MATCH('Analysis backend'!$M$1,E1621:N1621,0)),"",'Analysis backend'!$L$1)</f>
        <v/>
      </c>
      <c r="U1621" t="str">
        <f>IF(T1621='Analysis backend'!$L$1,IF(ISERROR(MATCH('Analysis backend'!$M$1,E1621:I1621,0)),"Dire","Radiant"),"")</f>
        <v/>
      </c>
    </row>
    <row r="1622" spans="20:21" x14ac:dyDescent="0.3">
      <c r="T1622" t="str">
        <f>IF(ISERROR(MATCH('Analysis backend'!$M$1,E1622:N1622,0)),"",'Analysis backend'!$L$1)</f>
        <v/>
      </c>
      <c r="U1622" t="str">
        <f>IF(T1622='Analysis backend'!$L$1,IF(ISERROR(MATCH('Analysis backend'!$M$1,E1622:I1622,0)),"Dire","Radiant"),"")</f>
        <v/>
      </c>
    </row>
    <row r="1623" spans="20:21" x14ac:dyDescent="0.3">
      <c r="T1623" t="str">
        <f>IF(ISERROR(MATCH('Analysis backend'!$M$1,E1623:N1623,0)),"",'Analysis backend'!$L$1)</f>
        <v/>
      </c>
      <c r="U1623" t="str">
        <f>IF(T1623='Analysis backend'!$L$1,IF(ISERROR(MATCH('Analysis backend'!$M$1,E1623:I1623,0)),"Dire","Radiant"),"")</f>
        <v/>
      </c>
    </row>
    <row r="1624" spans="20:21" x14ac:dyDescent="0.3">
      <c r="T1624" t="str">
        <f>IF(ISERROR(MATCH('Analysis backend'!$M$1,E1624:N1624,0)),"",'Analysis backend'!$L$1)</f>
        <v/>
      </c>
      <c r="U1624" t="str">
        <f>IF(T1624='Analysis backend'!$L$1,IF(ISERROR(MATCH('Analysis backend'!$M$1,E1624:I1624,0)),"Dire","Radiant"),"")</f>
        <v/>
      </c>
    </row>
    <row r="1625" spans="20:21" x14ac:dyDescent="0.3">
      <c r="T1625" t="str">
        <f>IF(ISERROR(MATCH('Analysis backend'!$M$1,E1625:N1625,0)),"",'Analysis backend'!$L$1)</f>
        <v/>
      </c>
      <c r="U1625" t="str">
        <f>IF(T1625='Analysis backend'!$L$1,IF(ISERROR(MATCH('Analysis backend'!$M$1,E1625:I1625,0)),"Dire","Radiant"),"")</f>
        <v/>
      </c>
    </row>
    <row r="1626" spans="20:21" x14ac:dyDescent="0.3">
      <c r="T1626" t="str">
        <f>IF(ISERROR(MATCH('Analysis backend'!$M$1,E1626:N1626,0)),"",'Analysis backend'!$L$1)</f>
        <v/>
      </c>
      <c r="U1626" t="str">
        <f>IF(T1626='Analysis backend'!$L$1,IF(ISERROR(MATCH('Analysis backend'!$M$1,E1626:I1626,0)),"Dire","Radiant"),"")</f>
        <v/>
      </c>
    </row>
    <row r="1627" spans="20:21" x14ac:dyDescent="0.3">
      <c r="T1627" t="str">
        <f>IF(ISERROR(MATCH('Analysis backend'!$M$1,E1627:N1627,0)),"",'Analysis backend'!$L$1)</f>
        <v/>
      </c>
      <c r="U1627" t="str">
        <f>IF(T1627='Analysis backend'!$L$1,IF(ISERROR(MATCH('Analysis backend'!$M$1,E1627:I1627,0)),"Dire","Radiant"),"")</f>
        <v/>
      </c>
    </row>
    <row r="1628" spans="20:21" x14ac:dyDescent="0.3">
      <c r="T1628" t="str">
        <f>IF(ISERROR(MATCH('Analysis backend'!$M$1,E1628:N1628,0)),"",'Analysis backend'!$L$1)</f>
        <v/>
      </c>
      <c r="U1628" t="str">
        <f>IF(T1628='Analysis backend'!$L$1,IF(ISERROR(MATCH('Analysis backend'!$M$1,E1628:I1628,0)),"Dire","Radiant"),"")</f>
        <v/>
      </c>
    </row>
    <row r="1629" spans="20:21" x14ac:dyDescent="0.3">
      <c r="T1629" t="str">
        <f>IF(ISERROR(MATCH('Analysis backend'!$M$1,E1629:N1629,0)),"",'Analysis backend'!$L$1)</f>
        <v/>
      </c>
      <c r="U1629" t="str">
        <f>IF(T1629='Analysis backend'!$L$1,IF(ISERROR(MATCH('Analysis backend'!$M$1,E1629:I1629,0)),"Dire","Radiant"),"")</f>
        <v/>
      </c>
    </row>
    <row r="1630" spans="20:21" x14ac:dyDescent="0.3">
      <c r="T1630" t="str">
        <f>IF(ISERROR(MATCH('Analysis backend'!$M$1,E1630:N1630,0)),"",'Analysis backend'!$L$1)</f>
        <v/>
      </c>
      <c r="U1630" t="str">
        <f>IF(T1630='Analysis backend'!$L$1,IF(ISERROR(MATCH('Analysis backend'!$M$1,E1630:I1630,0)),"Dire","Radiant"),"")</f>
        <v/>
      </c>
    </row>
    <row r="1631" spans="20:21" x14ac:dyDescent="0.3">
      <c r="T1631" t="str">
        <f>IF(ISERROR(MATCH('Analysis backend'!$M$1,E1631:N1631,0)),"",'Analysis backend'!$L$1)</f>
        <v/>
      </c>
      <c r="U1631" t="str">
        <f>IF(T1631='Analysis backend'!$L$1,IF(ISERROR(MATCH('Analysis backend'!$M$1,E1631:I1631,0)),"Dire","Radiant"),"")</f>
        <v/>
      </c>
    </row>
    <row r="1632" spans="20:21" x14ac:dyDescent="0.3">
      <c r="T1632" t="str">
        <f>IF(ISERROR(MATCH('Analysis backend'!$M$1,E1632:N1632,0)),"",'Analysis backend'!$L$1)</f>
        <v/>
      </c>
      <c r="U1632" t="str">
        <f>IF(T1632='Analysis backend'!$L$1,IF(ISERROR(MATCH('Analysis backend'!$M$1,E1632:I1632,0)),"Dire","Radiant"),"")</f>
        <v/>
      </c>
    </row>
    <row r="1633" spans="20:21" x14ac:dyDescent="0.3">
      <c r="T1633" t="str">
        <f>IF(ISERROR(MATCH('Analysis backend'!$M$1,E1633:N1633,0)),"",'Analysis backend'!$L$1)</f>
        <v/>
      </c>
      <c r="U1633" t="str">
        <f>IF(T1633='Analysis backend'!$L$1,IF(ISERROR(MATCH('Analysis backend'!$M$1,E1633:I1633,0)),"Dire","Radiant"),"")</f>
        <v/>
      </c>
    </row>
    <row r="1634" spans="20:21" x14ac:dyDescent="0.3">
      <c r="T1634" t="str">
        <f>IF(ISERROR(MATCH('Analysis backend'!$M$1,E1634:N1634,0)),"",'Analysis backend'!$L$1)</f>
        <v/>
      </c>
      <c r="U1634" t="str">
        <f>IF(T1634='Analysis backend'!$L$1,IF(ISERROR(MATCH('Analysis backend'!$M$1,E1634:I1634,0)),"Dire","Radiant"),"")</f>
        <v/>
      </c>
    </row>
    <row r="1635" spans="20:21" x14ac:dyDescent="0.3">
      <c r="T1635" t="str">
        <f>IF(ISERROR(MATCH('Analysis backend'!$M$1,E1635:N1635,0)),"",'Analysis backend'!$L$1)</f>
        <v/>
      </c>
      <c r="U1635" t="str">
        <f>IF(T1635='Analysis backend'!$L$1,IF(ISERROR(MATCH('Analysis backend'!$M$1,E1635:I1635,0)),"Dire","Radiant"),"")</f>
        <v/>
      </c>
    </row>
    <row r="1636" spans="20:21" x14ac:dyDescent="0.3">
      <c r="T1636" t="str">
        <f>IF(ISERROR(MATCH('Analysis backend'!$M$1,E1636:N1636,0)),"",'Analysis backend'!$L$1)</f>
        <v/>
      </c>
      <c r="U1636" t="str">
        <f>IF(T1636='Analysis backend'!$L$1,IF(ISERROR(MATCH('Analysis backend'!$M$1,E1636:I1636,0)),"Dire","Radiant"),"")</f>
        <v/>
      </c>
    </row>
    <row r="1637" spans="20:21" x14ac:dyDescent="0.3">
      <c r="T1637" t="str">
        <f>IF(ISERROR(MATCH('Analysis backend'!$M$1,E1637:N1637,0)),"",'Analysis backend'!$L$1)</f>
        <v/>
      </c>
      <c r="U1637" t="str">
        <f>IF(T1637='Analysis backend'!$L$1,IF(ISERROR(MATCH('Analysis backend'!$M$1,E1637:I1637,0)),"Dire","Radiant"),"")</f>
        <v/>
      </c>
    </row>
    <row r="1638" spans="20:21" x14ac:dyDescent="0.3">
      <c r="T1638" t="str">
        <f>IF(ISERROR(MATCH('Analysis backend'!$M$1,E1638:N1638,0)),"",'Analysis backend'!$L$1)</f>
        <v/>
      </c>
      <c r="U1638" t="str">
        <f>IF(T1638='Analysis backend'!$L$1,IF(ISERROR(MATCH('Analysis backend'!$M$1,E1638:I1638,0)),"Dire","Radiant"),"")</f>
        <v/>
      </c>
    </row>
    <row r="1639" spans="20:21" x14ac:dyDescent="0.3">
      <c r="T1639" t="str">
        <f>IF(ISERROR(MATCH('Analysis backend'!$M$1,E1639:N1639,0)),"",'Analysis backend'!$L$1)</f>
        <v/>
      </c>
      <c r="U1639" t="str">
        <f>IF(T1639='Analysis backend'!$L$1,IF(ISERROR(MATCH('Analysis backend'!$M$1,E1639:I1639,0)),"Dire","Radiant"),"")</f>
        <v/>
      </c>
    </row>
    <row r="1640" spans="20:21" x14ac:dyDescent="0.3">
      <c r="T1640" t="str">
        <f>IF(ISERROR(MATCH('Analysis backend'!$M$1,E1640:N1640,0)),"",'Analysis backend'!$L$1)</f>
        <v/>
      </c>
      <c r="U1640" t="str">
        <f>IF(T1640='Analysis backend'!$L$1,IF(ISERROR(MATCH('Analysis backend'!$M$1,E1640:I1640,0)),"Dire","Radiant"),"")</f>
        <v/>
      </c>
    </row>
    <row r="1641" spans="20:21" x14ac:dyDescent="0.3">
      <c r="T1641" t="str">
        <f>IF(ISERROR(MATCH('Analysis backend'!$M$1,E1641:N1641,0)),"",'Analysis backend'!$L$1)</f>
        <v/>
      </c>
      <c r="U1641" t="str">
        <f>IF(T1641='Analysis backend'!$L$1,IF(ISERROR(MATCH('Analysis backend'!$M$1,E1641:I1641,0)),"Dire","Radiant"),"")</f>
        <v/>
      </c>
    </row>
    <row r="1642" spans="20:21" x14ac:dyDescent="0.3">
      <c r="T1642" t="str">
        <f>IF(ISERROR(MATCH('Analysis backend'!$M$1,E1642:N1642,0)),"",'Analysis backend'!$L$1)</f>
        <v/>
      </c>
      <c r="U1642" t="str">
        <f>IF(T1642='Analysis backend'!$L$1,IF(ISERROR(MATCH('Analysis backend'!$M$1,E1642:I1642,0)),"Dire","Radiant"),"")</f>
        <v/>
      </c>
    </row>
    <row r="1643" spans="20:21" x14ac:dyDescent="0.3">
      <c r="T1643" t="str">
        <f>IF(ISERROR(MATCH('Analysis backend'!$M$1,E1643:N1643,0)),"",'Analysis backend'!$L$1)</f>
        <v/>
      </c>
      <c r="U1643" t="str">
        <f>IF(T1643='Analysis backend'!$L$1,IF(ISERROR(MATCH('Analysis backend'!$M$1,E1643:I1643,0)),"Dire","Radiant"),"")</f>
        <v/>
      </c>
    </row>
    <row r="1644" spans="20:21" x14ac:dyDescent="0.3">
      <c r="T1644" t="str">
        <f>IF(ISERROR(MATCH('Analysis backend'!$M$1,E1644:N1644,0)),"",'Analysis backend'!$L$1)</f>
        <v/>
      </c>
      <c r="U1644" t="str">
        <f>IF(T1644='Analysis backend'!$L$1,IF(ISERROR(MATCH('Analysis backend'!$M$1,E1644:I1644,0)),"Dire","Radiant"),"")</f>
        <v/>
      </c>
    </row>
    <row r="1645" spans="20:21" x14ac:dyDescent="0.3">
      <c r="T1645" t="str">
        <f>IF(ISERROR(MATCH('Analysis backend'!$M$1,E1645:N1645,0)),"",'Analysis backend'!$L$1)</f>
        <v/>
      </c>
      <c r="U1645" t="str">
        <f>IF(T1645='Analysis backend'!$L$1,IF(ISERROR(MATCH('Analysis backend'!$M$1,E1645:I1645,0)),"Dire","Radiant"),"")</f>
        <v/>
      </c>
    </row>
    <row r="1646" spans="20:21" x14ac:dyDescent="0.3">
      <c r="T1646" t="str">
        <f>IF(ISERROR(MATCH('Analysis backend'!$M$1,E1646:N1646,0)),"",'Analysis backend'!$L$1)</f>
        <v/>
      </c>
      <c r="U1646" t="str">
        <f>IF(T1646='Analysis backend'!$L$1,IF(ISERROR(MATCH('Analysis backend'!$M$1,E1646:I1646,0)),"Dire","Radiant"),"")</f>
        <v/>
      </c>
    </row>
    <row r="1647" spans="20:21" x14ac:dyDescent="0.3">
      <c r="T1647" t="str">
        <f>IF(ISERROR(MATCH('Analysis backend'!$M$1,E1647:N1647,0)),"",'Analysis backend'!$L$1)</f>
        <v/>
      </c>
      <c r="U1647" t="str">
        <f>IF(T1647='Analysis backend'!$L$1,IF(ISERROR(MATCH('Analysis backend'!$M$1,E1647:I1647,0)),"Dire","Radiant"),"")</f>
        <v/>
      </c>
    </row>
    <row r="1648" spans="20:21" x14ac:dyDescent="0.3">
      <c r="T1648" t="str">
        <f>IF(ISERROR(MATCH('Analysis backend'!$M$1,E1648:N1648,0)),"",'Analysis backend'!$L$1)</f>
        <v/>
      </c>
      <c r="U1648" t="str">
        <f>IF(T1648='Analysis backend'!$L$1,IF(ISERROR(MATCH('Analysis backend'!$M$1,E1648:I1648,0)),"Dire","Radiant"),"")</f>
        <v/>
      </c>
    </row>
    <row r="1649" spans="20:21" x14ac:dyDescent="0.3">
      <c r="T1649" t="str">
        <f>IF(ISERROR(MATCH('Analysis backend'!$M$1,E1649:N1649,0)),"",'Analysis backend'!$L$1)</f>
        <v/>
      </c>
      <c r="U1649" t="str">
        <f>IF(T1649='Analysis backend'!$L$1,IF(ISERROR(MATCH('Analysis backend'!$M$1,E1649:I1649,0)),"Dire","Radiant"),"")</f>
        <v/>
      </c>
    </row>
    <row r="1650" spans="20:21" x14ac:dyDescent="0.3">
      <c r="T1650" t="str">
        <f>IF(ISERROR(MATCH('Analysis backend'!$M$1,E1650:N1650,0)),"",'Analysis backend'!$L$1)</f>
        <v/>
      </c>
      <c r="U1650" t="str">
        <f>IF(T1650='Analysis backend'!$L$1,IF(ISERROR(MATCH('Analysis backend'!$M$1,E1650:I1650,0)),"Dire","Radiant"),"")</f>
        <v/>
      </c>
    </row>
    <row r="1651" spans="20:21" x14ac:dyDescent="0.3">
      <c r="T1651" t="str">
        <f>IF(ISERROR(MATCH('Analysis backend'!$M$1,E1651:N1651,0)),"",'Analysis backend'!$L$1)</f>
        <v/>
      </c>
      <c r="U1651" t="str">
        <f>IF(T1651='Analysis backend'!$L$1,IF(ISERROR(MATCH('Analysis backend'!$M$1,E1651:I1651,0)),"Dire","Radiant"),"")</f>
        <v/>
      </c>
    </row>
    <row r="1652" spans="20:21" x14ac:dyDescent="0.3">
      <c r="T1652" t="str">
        <f>IF(ISERROR(MATCH('Analysis backend'!$M$1,E1652:N1652,0)),"",'Analysis backend'!$L$1)</f>
        <v/>
      </c>
      <c r="U1652" t="str">
        <f>IF(T1652='Analysis backend'!$L$1,IF(ISERROR(MATCH('Analysis backend'!$M$1,E1652:I1652,0)),"Dire","Radiant"),"")</f>
        <v/>
      </c>
    </row>
    <row r="1653" spans="20:21" x14ac:dyDescent="0.3">
      <c r="T1653" t="str">
        <f>IF(ISERROR(MATCH('Analysis backend'!$M$1,E1653:N1653,0)),"",'Analysis backend'!$L$1)</f>
        <v/>
      </c>
      <c r="U1653" t="str">
        <f>IF(T1653='Analysis backend'!$L$1,IF(ISERROR(MATCH('Analysis backend'!$M$1,E1653:I1653,0)),"Dire","Radiant"),"")</f>
        <v/>
      </c>
    </row>
    <row r="1654" spans="20:21" x14ac:dyDescent="0.3">
      <c r="T1654" t="str">
        <f>IF(ISERROR(MATCH('Analysis backend'!$M$1,E1654:N1654,0)),"",'Analysis backend'!$L$1)</f>
        <v/>
      </c>
      <c r="U1654" t="str">
        <f>IF(T1654='Analysis backend'!$L$1,IF(ISERROR(MATCH('Analysis backend'!$M$1,E1654:I1654,0)),"Dire","Radiant"),"")</f>
        <v/>
      </c>
    </row>
    <row r="1655" spans="20:21" x14ac:dyDescent="0.3">
      <c r="T1655" t="str">
        <f>IF(ISERROR(MATCH('Analysis backend'!$M$1,E1655:N1655,0)),"",'Analysis backend'!$L$1)</f>
        <v/>
      </c>
      <c r="U1655" t="str">
        <f>IF(T1655='Analysis backend'!$L$1,IF(ISERROR(MATCH('Analysis backend'!$M$1,E1655:I1655,0)),"Dire","Radiant"),"")</f>
        <v/>
      </c>
    </row>
    <row r="1656" spans="20:21" x14ac:dyDescent="0.3">
      <c r="T1656" t="str">
        <f>IF(ISERROR(MATCH('Analysis backend'!$M$1,E1656:N1656,0)),"",'Analysis backend'!$L$1)</f>
        <v/>
      </c>
      <c r="U1656" t="str">
        <f>IF(T1656='Analysis backend'!$L$1,IF(ISERROR(MATCH('Analysis backend'!$M$1,E1656:I1656,0)),"Dire","Radiant"),"")</f>
        <v/>
      </c>
    </row>
    <row r="1657" spans="20:21" x14ac:dyDescent="0.3">
      <c r="T1657" t="str">
        <f>IF(ISERROR(MATCH('Analysis backend'!$M$1,E1657:N1657,0)),"",'Analysis backend'!$L$1)</f>
        <v/>
      </c>
      <c r="U1657" t="str">
        <f>IF(T1657='Analysis backend'!$L$1,IF(ISERROR(MATCH('Analysis backend'!$M$1,E1657:I1657,0)),"Dire","Radiant"),"")</f>
        <v/>
      </c>
    </row>
    <row r="1658" spans="20:21" x14ac:dyDescent="0.3">
      <c r="T1658" t="str">
        <f>IF(ISERROR(MATCH('Analysis backend'!$M$1,E1658:N1658,0)),"",'Analysis backend'!$L$1)</f>
        <v/>
      </c>
      <c r="U1658" t="str">
        <f>IF(T1658='Analysis backend'!$L$1,IF(ISERROR(MATCH('Analysis backend'!$M$1,E1658:I1658,0)),"Dire","Radiant"),"")</f>
        <v/>
      </c>
    </row>
    <row r="1659" spans="20:21" x14ac:dyDescent="0.3">
      <c r="T1659" t="str">
        <f>IF(ISERROR(MATCH('Analysis backend'!$M$1,E1659:N1659,0)),"",'Analysis backend'!$L$1)</f>
        <v/>
      </c>
      <c r="U1659" t="str">
        <f>IF(T1659='Analysis backend'!$L$1,IF(ISERROR(MATCH('Analysis backend'!$M$1,E1659:I1659,0)),"Dire","Radiant"),"")</f>
        <v/>
      </c>
    </row>
    <row r="1660" spans="20:21" x14ac:dyDescent="0.3">
      <c r="T1660" t="str">
        <f>IF(ISERROR(MATCH('Analysis backend'!$M$1,E1660:N1660,0)),"",'Analysis backend'!$L$1)</f>
        <v/>
      </c>
      <c r="U1660" t="str">
        <f>IF(T1660='Analysis backend'!$L$1,IF(ISERROR(MATCH('Analysis backend'!$M$1,E1660:I1660,0)),"Dire","Radiant"),"")</f>
        <v/>
      </c>
    </row>
    <row r="1661" spans="20:21" x14ac:dyDescent="0.3">
      <c r="T1661" t="str">
        <f>IF(ISERROR(MATCH('Analysis backend'!$M$1,E1661:N1661,0)),"",'Analysis backend'!$L$1)</f>
        <v/>
      </c>
      <c r="U1661" t="str">
        <f>IF(T1661='Analysis backend'!$L$1,IF(ISERROR(MATCH('Analysis backend'!$M$1,E1661:I1661,0)),"Dire","Radiant"),"")</f>
        <v/>
      </c>
    </row>
    <row r="1662" spans="20:21" x14ac:dyDescent="0.3">
      <c r="T1662" t="str">
        <f>IF(ISERROR(MATCH('Analysis backend'!$M$1,E1662:N1662,0)),"",'Analysis backend'!$L$1)</f>
        <v/>
      </c>
      <c r="U1662" t="str">
        <f>IF(T1662='Analysis backend'!$L$1,IF(ISERROR(MATCH('Analysis backend'!$M$1,E1662:I1662,0)),"Dire","Radiant"),"")</f>
        <v/>
      </c>
    </row>
    <row r="1663" spans="20:21" x14ac:dyDescent="0.3">
      <c r="T1663" t="str">
        <f>IF(ISERROR(MATCH('Analysis backend'!$M$1,E1663:N1663,0)),"",'Analysis backend'!$L$1)</f>
        <v/>
      </c>
      <c r="U1663" t="str">
        <f>IF(T1663='Analysis backend'!$L$1,IF(ISERROR(MATCH('Analysis backend'!$M$1,E1663:I1663,0)),"Dire","Radiant"),"")</f>
        <v/>
      </c>
    </row>
    <row r="1664" spans="20:21" x14ac:dyDescent="0.3">
      <c r="T1664" t="str">
        <f>IF(ISERROR(MATCH('Analysis backend'!$M$1,E1664:N1664,0)),"",'Analysis backend'!$L$1)</f>
        <v/>
      </c>
      <c r="U1664" t="str">
        <f>IF(T1664='Analysis backend'!$L$1,IF(ISERROR(MATCH('Analysis backend'!$M$1,E1664:I1664,0)),"Dire","Radiant"),"")</f>
        <v/>
      </c>
    </row>
    <row r="1665" spans="20:21" x14ac:dyDescent="0.3">
      <c r="T1665" t="str">
        <f>IF(ISERROR(MATCH('Analysis backend'!$M$1,E1665:N1665,0)),"",'Analysis backend'!$L$1)</f>
        <v/>
      </c>
      <c r="U1665" t="str">
        <f>IF(T1665='Analysis backend'!$L$1,IF(ISERROR(MATCH('Analysis backend'!$M$1,E1665:I1665,0)),"Dire","Radiant"),"")</f>
        <v/>
      </c>
    </row>
    <row r="1666" spans="20:21" x14ac:dyDescent="0.3">
      <c r="T1666" t="str">
        <f>IF(ISERROR(MATCH('Analysis backend'!$M$1,E1666:N1666,0)),"",'Analysis backend'!$L$1)</f>
        <v/>
      </c>
      <c r="U1666" t="str">
        <f>IF(T1666='Analysis backend'!$L$1,IF(ISERROR(MATCH('Analysis backend'!$M$1,E1666:I1666,0)),"Dire","Radiant"),"")</f>
        <v/>
      </c>
    </row>
    <row r="1667" spans="20:21" x14ac:dyDescent="0.3">
      <c r="T1667" t="str">
        <f>IF(ISERROR(MATCH('Analysis backend'!$M$1,E1667:N1667,0)),"",'Analysis backend'!$L$1)</f>
        <v/>
      </c>
      <c r="U1667" t="str">
        <f>IF(T1667='Analysis backend'!$L$1,IF(ISERROR(MATCH('Analysis backend'!$M$1,E1667:I1667,0)),"Dire","Radiant"),"")</f>
        <v/>
      </c>
    </row>
    <row r="1668" spans="20:21" x14ac:dyDescent="0.3">
      <c r="T1668" t="str">
        <f>IF(ISERROR(MATCH('Analysis backend'!$M$1,E1668:N1668,0)),"",'Analysis backend'!$L$1)</f>
        <v/>
      </c>
      <c r="U1668" t="str">
        <f>IF(T1668='Analysis backend'!$L$1,IF(ISERROR(MATCH('Analysis backend'!$M$1,E1668:I1668,0)),"Dire","Radiant"),"")</f>
        <v/>
      </c>
    </row>
    <row r="1669" spans="20:21" x14ac:dyDescent="0.3">
      <c r="T1669" t="str">
        <f>IF(ISERROR(MATCH('Analysis backend'!$M$1,E1669:N1669,0)),"",'Analysis backend'!$L$1)</f>
        <v/>
      </c>
      <c r="U1669" t="str">
        <f>IF(T1669='Analysis backend'!$L$1,IF(ISERROR(MATCH('Analysis backend'!$M$1,E1669:I1669,0)),"Dire","Radiant"),"")</f>
        <v/>
      </c>
    </row>
    <row r="1670" spans="20:21" x14ac:dyDescent="0.3">
      <c r="T1670" t="str">
        <f>IF(ISERROR(MATCH('Analysis backend'!$M$1,E1670:N1670,0)),"",'Analysis backend'!$L$1)</f>
        <v/>
      </c>
      <c r="U1670" t="str">
        <f>IF(T1670='Analysis backend'!$L$1,IF(ISERROR(MATCH('Analysis backend'!$M$1,E1670:I1670,0)),"Dire","Radiant"),"")</f>
        <v/>
      </c>
    </row>
    <row r="1671" spans="20:21" x14ac:dyDescent="0.3">
      <c r="T1671" t="str">
        <f>IF(ISERROR(MATCH('Analysis backend'!$M$1,E1671:N1671,0)),"",'Analysis backend'!$L$1)</f>
        <v/>
      </c>
      <c r="U1671" t="str">
        <f>IF(T1671='Analysis backend'!$L$1,IF(ISERROR(MATCH('Analysis backend'!$M$1,E1671:I1671,0)),"Dire","Radiant"),"")</f>
        <v/>
      </c>
    </row>
    <row r="1672" spans="20:21" x14ac:dyDescent="0.3">
      <c r="T1672" t="str">
        <f>IF(ISERROR(MATCH('Analysis backend'!$M$1,E1672:N1672,0)),"",'Analysis backend'!$L$1)</f>
        <v/>
      </c>
      <c r="U1672" t="str">
        <f>IF(T1672='Analysis backend'!$L$1,IF(ISERROR(MATCH('Analysis backend'!$M$1,E1672:I1672,0)),"Dire","Radiant"),"")</f>
        <v/>
      </c>
    </row>
    <row r="1673" spans="20:21" x14ac:dyDescent="0.3">
      <c r="T1673" t="str">
        <f>IF(ISERROR(MATCH('Analysis backend'!$M$1,E1673:N1673,0)),"",'Analysis backend'!$L$1)</f>
        <v/>
      </c>
      <c r="U1673" t="str">
        <f>IF(T1673='Analysis backend'!$L$1,IF(ISERROR(MATCH('Analysis backend'!$M$1,E1673:I1673,0)),"Dire","Radiant"),"")</f>
        <v/>
      </c>
    </row>
    <row r="1674" spans="20:21" x14ac:dyDescent="0.3">
      <c r="T1674" t="str">
        <f>IF(ISERROR(MATCH('Analysis backend'!$M$1,E1674:N1674,0)),"",'Analysis backend'!$L$1)</f>
        <v/>
      </c>
      <c r="U1674" t="str">
        <f>IF(T1674='Analysis backend'!$L$1,IF(ISERROR(MATCH('Analysis backend'!$M$1,E1674:I1674,0)),"Dire","Radiant"),"")</f>
        <v/>
      </c>
    </row>
    <row r="1675" spans="20:21" x14ac:dyDescent="0.3">
      <c r="T1675" t="str">
        <f>IF(ISERROR(MATCH('Analysis backend'!$M$1,E1675:N1675,0)),"",'Analysis backend'!$L$1)</f>
        <v/>
      </c>
      <c r="U1675" t="str">
        <f>IF(T1675='Analysis backend'!$L$1,IF(ISERROR(MATCH('Analysis backend'!$M$1,E1675:I1675,0)),"Dire","Radiant"),"")</f>
        <v/>
      </c>
    </row>
    <row r="1676" spans="20:21" x14ac:dyDescent="0.3">
      <c r="T1676" t="str">
        <f>IF(ISERROR(MATCH('Analysis backend'!$M$1,E1676:N1676,0)),"",'Analysis backend'!$L$1)</f>
        <v/>
      </c>
      <c r="U1676" t="str">
        <f>IF(T1676='Analysis backend'!$L$1,IF(ISERROR(MATCH('Analysis backend'!$M$1,E1676:I1676,0)),"Dire","Radiant"),"")</f>
        <v/>
      </c>
    </row>
    <row r="1677" spans="20:21" x14ac:dyDescent="0.3">
      <c r="T1677" t="str">
        <f>IF(ISERROR(MATCH('Analysis backend'!$M$1,E1677:N1677,0)),"",'Analysis backend'!$L$1)</f>
        <v/>
      </c>
      <c r="U1677" t="str">
        <f>IF(T1677='Analysis backend'!$L$1,IF(ISERROR(MATCH('Analysis backend'!$M$1,E1677:I1677,0)),"Dire","Radiant"),"")</f>
        <v/>
      </c>
    </row>
    <row r="1678" spans="20:21" x14ac:dyDescent="0.3">
      <c r="T1678" t="str">
        <f>IF(ISERROR(MATCH('Analysis backend'!$M$1,E1678:N1678,0)),"",'Analysis backend'!$L$1)</f>
        <v/>
      </c>
      <c r="U1678" t="str">
        <f>IF(T1678='Analysis backend'!$L$1,IF(ISERROR(MATCH('Analysis backend'!$M$1,E1678:I1678,0)),"Dire","Radiant"),"")</f>
        <v/>
      </c>
    </row>
    <row r="1679" spans="20:21" x14ac:dyDescent="0.3">
      <c r="T1679" t="str">
        <f>IF(ISERROR(MATCH('Analysis backend'!$M$1,E1679:N1679,0)),"",'Analysis backend'!$L$1)</f>
        <v/>
      </c>
      <c r="U1679" t="str">
        <f>IF(T1679='Analysis backend'!$L$1,IF(ISERROR(MATCH('Analysis backend'!$M$1,E1679:I1679,0)),"Dire","Radiant"),"")</f>
        <v/>
      </c>
    </row>
    <row r="1680" spans="20:21" x14ac:dyDescent="0.3">
      <c r="T1680" t="str">
        <f>IF(ISERROR(MATCH('Analysis backend'!$M$1,E1680:N1680,0)),"",'Analysis backend'!$L$1)</f>
        <v/>
      </c>
      <c r="U1680" t="str">
        <f>IF(T1680='Analysis backend'!$L$1,IF(ISERROR(MATCH('Analysis backend'!$M$1,E1680:I1680,0)),"Dire","Radiant"),"")</f>
        <v/>
      </c>
    </row>
    <row r="1681" spans="20:21" x14ac:dyDescent="0.3">
      <c r="T1681" t="str">
        <f>IF(ISERROR(MATCH('Analysis backend'!$M$1,E1681:N1681,0)),"",'Analysis backend'!$L$1)</f>
        <v/>
      </c>
      <c r="U1681" t="str">
        <f>IF(T1681='Analysis backend'!$L$1,IF(ISERROR(MATCH('Analysis backend'!$M$1,E1681:I1681,0)),"Dire","Radiant"),"")</f>
        <v/>
      </c>
    </row>
    <row r="1682" spans="20:21" x14ac:dyDescent="0.3">
      <c r="T1682" t="str">
        <f>IF(ISERROR(MATCH('Analysis backend'!$M$1,E1682:N1682,0)),"",'Analysis backend'!$L$1)</f>
        <v/>
      </c>
      <c r="U1682" t="str">
        <f>IF(T1682='Analysis backend'!$L$1,IF(ISERROR(MATCH('Analysis backend'!$M$1,E1682:I1682,0)),"Dire","Radiant"),"")</f>
        <v/>
      </c>
    </row>
    <row r="1683" spans="20:21" x14ac:dyDescent="0.3">
      <c r="T1683" t="str">
        <f>IF(ISERROR(MATCH('Analysis backend'!$M$1,E1683:N1683,0)),"",'Analysis backend'!$L$1)</f>
        <v/>
      </c>
      <c r="U1683" t="str">
        <f>IF(T1683='Analysis backend'!$L$1,IF(ISERROR(MATCH('Analysis backend'!$M$1,E1683:I1683,0)),"Dire","Radiant"),"")</f>
        <v/>
      </c>
    </row>
    <row r="1684" spans="20:21" x14ac:dyDescent="0.3">
      <c r="T1684" t="str">
        <f>IF(ISERROR(MATCH('Analysis backend'!$M$1,E1684:N1684,0)),"",'Analysis backend'!$L$1)</f>
        <v/>
      </c>
      <c r="U1684" t="str">
        <f>IF(T1684='Analysis backend'!$L$1,IF(ISERROR(MATCH('Analysis backend'!$M$1,E1684:I1684,0)),"Dire","Radiant"),"")</f>
        <v/>
      </c>
    </row>
    <row r="1685" spans="20:21" x14ac:dyDescent="0.3">
      <c r="T1685" t="str">
        <f>IF(ISERROR(MATCH('Analysis backend'!$M$1,E1685:N1685,0)),"",'Analysis backend'!$L$1)</f>
        <v/>
      </c>
      <c r="U1685" t="str">
        <f>IF(T1685='Analysis backend'!$L$1,IF(ISERROR(MATCH('Analysis backend'!$M$1,E1685:I1685,0)),"Dire","Radiant"),"")</f>
        <v/>
      </c>
    </row>
    <row r="1686" spans="20:21" x14ac:dyDescent="0.3">
      <c r="T1686" t="str">
        <f>IF(ISERROR(MATCH('Analysis backend'!$M$1,E1686:N1686,0)),"",'Analysis backend'!$L$1)</f>
        <v/>
      </c>
      <c r="U1686" t="str">
        <f>IF(T1686='Analysis backend'!$L$1,IF(ISERROR(MATCH('Analysis backend'!$M$1,E1686:I1686,0)),"Dire","Radiant"),"")</f>
        <v/>
      </c>
    </row>
    <row r="1687" spans="20:21" x14ac:dyDescent="0.3">
      <c r="T1687" t="str">
        <f>IF(ISERROR(MATCH('Analysis backend'!$M$1,E1687:N1687,0)),"",'Analysis backend'!$L$1)</f>
        <v/>
      </c>
      <c r="U1687" t="str">
        <f>IF(T1687='Analysis backend'!$L$1,IF(ISERROR(MATCH('Analysis backend'!$M$1,E1687:I1687,0)),"Dire","Radiant"),"")</f>
        <v/>
      </c>
    </row>
    <row r="1688" spans="20:21" x14ac:dyDescent="0.3">
      <c r="T1688" t="str">
        <f>IF(ISERROR(MATCH('Analysis backend'!$M$1,E1688:N1688,0)),"",'Analysis backend'!$L$1)</f>
        <v/>
      </c>
      <c r="U1688" t="str">
        <f>IF(T1688='Analysis backend'!$L$1,IF(ISERROR(MATCH('Analysis backend'!$M$1,E1688:I1688,0)),"Dire","Radiant"),"")</f>
        <v/>
      </c>
    </row>
    <row r="1689" spans="20:21" x14ac:dyDescent="0.3">
      <c r="T1689" t="str">
        <f>IF(ISERROR(MATCH('Analysis backend'!$M$1,E1689:N1689,0)),"",'Analysis backend'!$L$1)</f>
        <v/>
      </c>
      <c r="U1689" t="str">
        <f>IF(T1689='Analysis backend'!$L$1,IF(ISERROR(MATCH('Analysis backend'!$M$1,E1689:I1689,0)),"Dire","Radiant"),"")</f>
        <v/>
      </c>
    </row>
    <row r="1690" spans="20:21" x14ac:dyDescent="0.3">
      <c r="T1690" t="str">
        <f>IF(ISERROR(MATCH('Analysis backend'!$M$1,E1690:N1690,0)),"",'Analysis backend'!$L$1)</f>
        <v/>
      </c>
      <c r="U1690" t="str">
        <f>IF(T1690='Analysis backend'!$L$1,IF(ISERROR(MATCH('Analysis backend'!$M$1,E1690:I1690,0)),"Dire","Radiant"),"")</f>
        <v/>
      </c>
    </row>
    <row r="1691" spans="20:21" x14ac:dyDescent="0.3">
      <c r="T1691" t="str">
        <f>IF(ISERROR(MATCH('Analysis backend'!$M$1,E1691:N1691,0)),"",'Analysis backend'!$L$1)</f>
        <v/>
      </c>
      <c r="U1691" t="str">
        <f>IF(T1691='Analysis backend'!$L$1,IF(ISERROR(MATCH('Analysis backend'!$M$1,E1691:I1691,0)),"Dire","Radiant"),"")</f>
        <v/>
      </c>
    </row>
    <row r="1692" spans="20:21" x14ac:dyDescent="0.3">
      <c r="T1692" t="str">
        <f>IF(ISERROR(MATCH('Analysis backend'!$M$1,E1692:N1692,0)),"",'Analysis backend'!$L$1)</f>
        <v/>
      </c>
      <c r="U1692" t="str">
        <f>IF(T1692='Analysis backend'!$L$1,IF(ISERROR(MATCH('Analysis backend'!$M$1,E1692:I1692,0)),"Dire","Radiant"),"")</f>
        <v/>
      </c>
    </row>
    <row r="1693" spans="20:21" x14ac:dyDescent="0.3">
      <c r="T1693" t="str">
        <f>IF(ISERROR(MATCH('Analysis backend'!$M$1,E1693:N1693,0)),"",'Analysis backend'!$L$1)</f>
        <v/>
      </c>
      <c r="U1693" t="str">
        <f>IF(T1693='Analysis backend'!$L$1,IF(ISERROR(MATCH('Analysis backend'!$M$1,E1693:I1693,0)),"Dire","Radiant"),"")</f>
        <v/>
      </c>
    </row>
    <row r="1694" spans="20:21" x14ac:dyDescent="0.3">
      <c r="T1694" t="str">
        <f>IF(ISERROR(MATCH('Analysis backend'!$M$1,E1694:N1694,0)),"",'Analysis backend'!$L$1)</f>
        <v/>
      </c>
      <c r="U1694" t="str">
        <f>IF(T1694='Analysis backend'!$L$1,IF(ISERROR(MATCH('Analysis backend'!$M$1,E1694:I1694,0)),"Dire","Radiant"),"")</f>
        <v/>
      </c>
    </row>
    <row r="1695" spans="20:21" x14ac:dyDescent="0.3">
      <c r="T1695" t="str">
        <f>IF(ISERROR(MATCH('Analysis backend'!$M$1,E1695:N1695,0)),"",'Analysis backend'!$L$1)</f>
        <v/>
      </c>
      <c r="U1695" t="str">
        <f>IF(T1695='Analysis backend'!$L$1,IF(ISERROR(MATCH('Analysis backend'!$M$1,E1695:I1695,0)),"Dire","Radiant"),"")</f>
        <v/>
      </c>
    </row>
    <row r="1696" spans="20:21" x14ac:dyDescent="0.3">
      <c r="T1696" t="str">
        <f>IF(ISERROR(MATCH('Analysis backend'!$M$1,E1696:N1696,0)),"",'Analysis backend'!$L$1)</f>
        <v/>
      </c>
      <c r="U1696" t="str">
        <f>IF(T1696='Analysis backend'!$L$1,IF(ISERROR(MATCH('Analysis backend'!$M$1,E1696:I1696,0)),"Dire","Radiant"),"")</f>
        <v/>
      </c>
    </row>
    <row r="1697" spans="20:21" x14ac:dyDescent="0.3">
      <c r="T1697" t="str">
        <f>IF(ISERROR(MATCH('Analysis backend'!$M$1,E1697:N1697,0)),"",'Analysis backend'!$L$1)</f>
        <v/>
      </c>
      <c r="U1697" t="str">
        <f>IF(T1697='Analysis backend'!$L$1,IF(ISERROR(MATCH('Analysis backend'!$M$1,E1697:I1697,0)),"Dire","Radiant"),"")</f>
        <v/>
      </c>
    </row>
    <row r="1698" spans="20:21" x14ac:dyDescent="0.3">
      <c r="T1698" t="str">
        <f>IF(ISERROR(MATCH('Analysis backend'!$M$1,E1698:N1698,0)),"",'Analysis backend'!$L$1)</f>
        <v/>
      </c>
      <c r="U1698" t="str">
        <f>IF(T1698='Analysis backend'!$L$1,IF(ISERROR(MATCH('Analysis backend'!$M$1,E1698:I1698,0)),"Dire","Radiant"),"")</f>
        <v/>
      </c>
    </row>
    <row r="1699" spans="20:21" x14ac:dyDescent="0.3">
      <c r="T1699" t="str">
        <f>IF(ISERROR(MATCH('Analysis backend'!$M$1,E1699:N1699,0)),"",'Analysis backend'!$L$1)</f>
        <v/>
      </c>
      <c r="U1699" t="str">
        <f>IF(T1699='Analysis backend'!$L$1,IF(ISERROR(MATCH('Analysis backend'!$M$1,E1699:I1699,0)),"Dire","Radiant"),"")</f>
        <v/>
      </c>
    </row>
    <row r="1700" spans="20:21" x14ac:dyDescent="0.3">
      <c r="T1700" t="str">
        <f>IF(ISERROR(MATCH('Analysis backend'!$M$1,E1700:N1700,0)),"",'Analysis backend'!$L$1)</f>
        <v/>
      </c>
      <c r="U1700" t="str">
        <f>IF(T1700='Analysis backend'!$L$1,IF(ISERROR(MATCH('Analysis backend'!$M$1,E1700:I1700,0)),"Dire","Radiant"),"")</f>
        <v/>
      </c>
    </row>
    <row r="1701" spans="20:21" x14ac:dyDescent="0.3">
      <c r="T1701" t="str">
        <f>IF(ISERROR(MATCH('Analysis backend'!$M$1,E1701:N1701,0)),"",'Analysis backend'!$L$1)</f>
        <v/>
      </c>
      <c r="U1701" t="str">
        <f>IF(T1701='Analysis backend'!$L$1,IF(ISERROR(MATCH('Analysis backend'!$M$1,E1701:I1701,0)),"Dire","Radiant"),"")</f>
        <v/>
      </c>
    </row>
    <row r="1702" spans="20:21" x14ac:dyDescent="0.3">
      <c r="T1702" t="str">
        <f>IF(ISERROR(MATCH('Analysis backend'!$M$1,E1702:N1702,0)),"",'Analysis backend'!$L$1)</f>
        <v/>
      </c>
      <c r="U1702" t="str">
        <f>IF(T1702='Analysis backend'!$L$1,IF(ISERROR(MATCH('Analysis backend'!$M$1,E1702:I1702,0)),"Dire","Radiant"),"")</f>
        <v/>
      </c>
    </row>
    <row r="1703" spans="20:21" x14ac:dyDescent="0.3">
      <c r="T1703" t="str">
        <f>IF(ISERROR(MATCH('Analysis backend'!$M$1,E1703:N1703,0)),"",'Analysis backend'!$L$1)</f>
        <v/>
      </c>
      <c r="U1703" t="str">
        <f>IF(T1703='Analysis backend'!$L$1,IF(ISERROR(MATCH('Analysis backend'!$M$1,E1703:I1703,0)),"Dire","Radiant"),"")</f>
        <v/>
      </c>
    </row>
    <row r="1704" spans="20:21" x14ac:dyDescent="0.3">
      <c r="T1704" t="str">
        <f>IF(ISERROR(MATCH('Analysis backend'!$M$1,E1704:N1704,0)),"",'Analysis backend'!$L$1)</f>
        <v/>
      </c>
      <c r="U1704" t="str">
        <f>IF(T1704='Analysis backend'!$L$1,IF(ISERROR(MATCH('Analysis backend'!$M$1,E1704:I1704,0)),"Dire","Radiant"),"")</f>
        <v/>
      </c>
    </row>
    <row r="1705" spans="20:21" x14ac:dyDescent="0.3">
      <c r="T1705" t="str">
        <f>IF(ISERROR(MATCH('Analysis backend'!$M$1,E1705:N1705,0)),"",'Analysis backend'!$L$1)</f>
        <v/>
      </c>
      <c r="U1705" t="str">
        <f>IF(T1705='Analysis backend'!$L$1,IF(ISERROR(MATCH('Analysis backend'!$M$1,E1705:I1705,0)),"Dire","Radiant"),"")</f>
        <v/>
      </c>
    </row>
    <row r="1706" spans="20:21" x14ac:dyDescent="0.3">
      <c r="T1706" t="str">
        <f>IF(ISERROR(MATCH('Analysis backend'!$M$1,E1706:N1706,0)),"",'Analysis backend'!$L$1)</f>
        <v/>
      </c>
      <c r="U1706" t="str">
        <f>IF(T1706='Analysis backend'!$L$1,IF(ISERROR(MATCH('Analysis backend'!$M$1,E1706:I1706,0)),"Dire","Radiant"),"")</f>
        <v/>
      </c>
    </row>
    <row r="1707" spans="20:21" x14ac:dyDescent="0.3">
      <c r="T1707" t="str">
        <f>IF(ISERROR(MATCH('Analysis backend'!$M$1,E1707:N1707,0)),"",'Analysis backend'!$L$1)</f>
        <v/>
      </c>
      <c r="U1707" t="str">
        <f>IF(T1707='Analysis backend'!$L$1,IF(ISERROR(MATCH('Analysis backend'!$M$1,E1707:I1707,0)),"Dire","Radiant"),"")</f>
        <v/>
      </c>
    </row>
    <row r="1708" spans="20:21" x14ac:dyDescent="0.3">
      <c r="T1708" t="str">
        <f>IF(ISERROR(MATCH('Analysis backend'!$M$1,E1708:N1708,0)),"",'Analysis backend'!$L$1)</f>
        <v/>
      </c>
      <c r="U1708" t="str">
        <f>IF(T1708='Analysis backend'!$L$1,IF(ISERROR(MATCH('Analysis backend'!$M$1,E1708:I1708,0)),"Dire","Radiant"),"")</f>
        <v/>
      </c>
    </row>
    <row r="1709" spans="20:21" x14ac:dyDescent="0.3">
      <c r="T1709" t="str">
        <f>IF(ISERROR(MATCH('Analysis backend'!$M$1,E1709:N1709,0)),"",'Analysis backend'!$L$1)</f>
        <v/>
      </c>
      <c r="U1709" t="str">
        <f>IF(T1709='Analysis backend'!$L$1,IF(ISERROR(MATCH('Analysis backend'!$M$1,E1709:I1709,0)),"Dire","Radiant"),"")</f>
        <v/>
      </c>
    </row>
    <row r="1710" spans="20:21" x14ac:dyDescent="0.3">
      <c r="T1710" t="str">
        <f>IF(ISERROR(MATCH('Analysis backend'!$M$1,E1710:N1710,0)),"",'Analysis backend'!$L$1)</f>
        <v/>
      </c>
      <c r="U1710" t="str">
        <f>IF(T1710='Analysis backend'!$L$1,IF(ISERROR(MATCH('Analysis backend'!$M$1,E1710:I1710,0)),"Dire","Radiant"),"")</f>
        <v/>
      </c>
    </row>
    <row r="1711" spans="20:21" x14ac:dyDescent="0.3">
      <c r="T1711" t="str">
        <f>IF(ISERROR(MATCH('Analysis backend'!$M$1,E1711:N1711,0)),"",'Analysis backend'!$L$1)</f>
        <v/>
      </c>
      <c r="U1711" t="str">
        <f>IF(T1711='Analysis backend'!$L$1,IF(ISERROR(MATCH('Analysis backend'!$M$1,E1711:I1711,0)),"Dire","Radiant"),"")</f>
        <v/>
      </c>
    </row>
    <row r="1712" spans="20:21" x14ac:dyDescent="0.3">
      <c r="T1712" t="str">
        <f>IF(ISERROR(MATCH('Analysis backend'!$M$1,E1712:N1712,0)),"",'Analysis backend'!$L$1)</f>
        <v/>
      </c>
      <c r="U1712" t="str">
        <f>IF(T1712='Analysis backend'!$L$1,IF(ISERROR(MATCH('Analysis backend'!$M$1,E1712:I1712,0)),"Dire","Radiant"),"")</f>
        <v/>
      </c>
    </row>
    <row r="1713" spans="20:21" x14ac:dyDescent="0.3">
      <c r="T1713" t="str">
        <f>IF(ISERROR(MATCH('Analysis backend'!$M$1,E1713:N1713,0)),"",'Analysis backend'!$L$1)</f>
        <v/>
      </c>
      <c r="U1713" t="str">
        <f>IF(T1713='Analysis backend'!$L$1,IF(ISERROR(MATCH('Analysis backend'!$M$1,E1713:I1713,0)),"Dire","Radiant"),"")</f>
        <v/>
      </c>
    </row>
    <row r="1714" spans="20:21" x14ac:dyDescent="0.3">
      <c r="T1714" t="str">
        <f>IF(ISERROR(MATCH('Analysis backend'!$M$1,E1714:N1714,0)),"",'Analysis backend'!$L$1)</f>
        <v/>
      </c>
      <c r="U1714" t="str">
        <f>IF(T1714='Analysis backend'!$L$1,IF(ISERROR(MATCH('Analysis backend'!$M$1,E1714:I1714,0)),"Dire","Radiant"),"")</f>
        <v/>
      </c>
    </row>
    <row r="1715" spans="20:21" x14ac:dyDescent="0.3">
      <c r="T1715" t="str">
        <f>IF(ISERROR(MATCH('Analysis backend'!$M$1,E1715:N1715,0)),"",'Analysis backend'!$L$1)</f>
        <v/>
      </c>
      <c r="U1715" t="str">
        <f>IF(T1715='Analysis backend'!$L$1,IF(ISERROR(MATCH('Analysis backend'!$M$1,E1715:I1715,0)),"Dire","Radiant"),"")</f>
        <v/>
      </c>
    </row>
    <row r="1716" spans="20:21" x14ac:dyDescent="0.3">
      <c r="T1716" t="str">
        <f>IF(ISERROR(MATCH('Analysis backend'!$M$1,E1716:N1716,0)),"",'Analysis backend'!$L$1)</f>
        <v/>
      </c>
      <c r="U1716" t="str">
        <f>IF(T1716='Analysis backend'!$L$1,IF(ISERROR(MATCH('Analysis backend'!$M$1,E1716:I1716,0)),"Dire","Radiant"),"")</f>
        <v/>
      </c>
    </row>
    <row r="1717" spans="20:21" x14ac:dyDescent="0.3">
      <c r="T1717" t="str">
        <f>IF(ISERROR(MATCH('Analysis backend'!$M$1,E1717:N1717,0)),"",'Analysis backend'!$L$1)</f>
        <v/>
      </c>
      <c r="U1717" t="str">
        <f>IF(T1717='Analysis backend'!$L$1,IF(ISERROR(MATCH('Analysis backend'!$M$1,E1717:I1717,0)),"Dire","Radiant"),"")</f>
        <v/>
      </c>
    </row>
    <row r="1718" spans="20:21" x14ac:dyDescent="0.3">
      <c r="T1718" t="str">
        <f>IF(ISERROR(MATCH('Analysis backend'!$M$1,E1718:N1718,0)),"",'Analysis backend'!$L$1)</f>
        <v/>
      </c>
      <c r="U1718" t="str">
        <f>IF(T1718='Analysis backend'!$L$1,IF(ISERROR(MATCH('Analysis backend'!$M$1,E1718:I1718,0)),"Dire","Radiant"),"")</f>
        <v/>
      </c>
    </row>
    <row r="1719" spans="20:21" x14ac:dyDescent="0.3">
      <c r="T1719" t="str">
        <f>IF(ISERROR(MATCH('Analysis backend'!$M$1,E1719:N1719,0)),"",'Analysis backend'!$L$1)</f>
        <v/>
      </c>
      <c r="U1719" t="str">
        <f>IF(T1719='Analysis backend'!$L$1,IF(ISERROR(MATCH('Analysis backend'!$M$1,E1719:I1719,0)),"Dire","Radiant"),"")</f>
        <v/>
      </c>
    </row>
    <row r="1720" spans="20:21" x14ac:dyDescent="0.3">
      <c r="T1720" t="str">
        <f>IF(ISERROR(MATCH('Analysis backend'!$M$1,E1720:N1720,0)),"",'Analysis backend'!$L$1)</f>
        <v/>
      </c>
      <c r="U1720" t="str">
        <f>IF(T1720='Analysis backend'!$L$1,IF(ISERROR(MATCH('Analysis backend'!$M$1,E1720:I1720,0)),"Dire","Radiant"),"")</f>
        <v/>
      </c>
    </row>
    <row r="1721" spans="20:21" x14ac:dyDescent="0.3">
      <c r="T1721" t="str">
        <f>IF(ISERROR(MATCH('Analysis backend'!$M$1,E1721:N1721,0)),"",'Analysis backend'!$L$1)</f>
        <v/>
      </c>
      <c r="U1721" t="str">
        <f>IF(T1721='Analysis backend'!$L$1,IF(ISERROR(MATCH('Analysis backend'!$M$1,E1721:I1721,0)),"Dire","Radiant"),"")</f>
        <v/>
      </c>
    </row>
    <row r="1722" spans="20:21" x14ac:dyDescent="0.3">
      <c r="T1722" t="str">
        <f>IF(ISERROR(MATCH('Analysis backend'!$M$1,E1722:N1722,0)),"",'Analysis backend'!$L$1)</f>
        <v/>
      </c>
      <c r="U1722" t="str">
        <f>IF(T1722='Analysis backend'!$L$1,IF(ISERROR(MATCH('Analysis backend'!$M$1,E1722:I1722,0)),"Dire","Radiant"),"")</f>
        <v/>
      </c>
    </row>
    <row r="1723" spans="20:21" x14ac:dyDescent="0.3">
      <c r="T1723" t="str">
        <f>IF(ISERROR(MATCH('Analysis backend'!$M$1,E1723:N1723,0)),"",'Analysis backend'!$L$1)</f>
        <v/>
      </c>
      <c r="U1723" t="str">
        <f>IF(T1723='Analysis backend'!$L$1,IF(ISERROR(MATCH('Analysis backend'!$M$1,E1723:I1723,0)),"Dire","Radiant"),"")</f>
        <v/>
      </c>
    </row>
    <row r="1724" spans="20:21" x14ac:dyDescent="0.3">
      <c r="T1724" t="str">
        <f>IF(ISERROR(MATCH('Analysis backend'!$M$1,E1724:N1724,0)),"",'Analysis backend'!$L$1)</f>
        <v/>
      </c>
      <c r="U1724" t="str">
        <f>IF(T1724='Analysis backend'!$L$1,IF(ISERROR(MATCH('Analysis backend'!$M$1,E1724:I1724,0)),"Dire","Radiant"),"")</f>
        <v/>
      </c>
    </row>
    <row r="1725" spans="20:21" x14ac:dyDescent="0.3">
      <c r="T1725" t="str">
        <f>IF(ISERROR(MATCH('Analysis backend'!$M$1,E1725:N1725,0)),"",'Analysis backend'!$L$1)</f>
        <v/>
      </c>
      <c r="U1725" t="str">
        <f>IF(T1725='Analysis backend'!$L$1,IF(ISERROR(MATCH('Analysis backend'!$M$1,E1725:I1725,0)),"Dire","Radiant"),"")</f>
        <v/>
      </c>
    </row>
    <row r="1726" spans="20:21" x14ac:dyDescent="0.3">
      <c r="T1726" t="str">
        <f>IF(ISERROR(MATCH('Analysis backend'!$M$1,E1726:N1726,0)),"",'Analysis backend'!$L$1)</f>
        <v/>
      </c>
      <c r="U1726" t="str">
        <f>IF(T1726='Analysis backend'!$L$1,IF(ISERROR(MATCH('Analysis backend'!$M$1,E1726:I1726,0)),"Dire","Radiant"),"")</f>
        <v/>
      </c>
    </row>
    <row r="1727" spans="20:21" x14ac:dyDescent="0.3">
      <c r="T1727" t="str">
        <f>IF(ISERROR(MATCH('Analysis backend'!$M$1,E1727:N1727,0)),"",'Analysis backend'!$L$1)</f>
        <v/>
      </c>
      <c r="U1727" t="str">
        <f>IF(T1727='Analysis backend'!$L$1,IF(ISERROR(MATCH('Analysis backend'!$M$1,E1727:I1727,0)),"Dire","Radiant"),"")</f>
        <v/>
      </c>
    </row>
    <row r="1728" spans="20:21" x14ac:dyDescent="0.3">
      <c r="T1728" t="str">
        <f>IF(ISERROR(MATCH('Analysis backend'!$M$1,E1728:N1728,0)),"",'Analysis backend'!$L$1)</f>
        <v/>
      </c>
      <c r="U1728" t="str">
        <f>IF(T1728='Analysis backend'!$L$1,IF(ISERROR(MATCH('Analysis backend'!$M$1,E1728:I1728,0)),"Dire","Radiant"),"")</f>
        <v/>
      </c>
    </row>
    <row r="1729" spans="20:21" x14ac:dyDescent="0.3">
      <c r="T1729" t="str">
        <f>IF(ISERROR(MATCH('Analysis backend'!$M$1,E1729:N1729,0)),"",'Analysis backend'!$L$1)</f>
        <v/>
      </c>
      <c r="U1729" t="str">
        <f>IF(T1729='Analysis backend'!$L$1,IF(ISERROR(MATCH('Analysis backend'!$M$1,E1729:I1729,0)),"Dire","Radiant"),"")</f>
        <v/>
      </c>
    </row>
    <row r="1730" spans="20:21" x14ac:dyDescent="0.3">
      <c r="T1730" t="str">
        <f>IF(ISERROR(MATCH('Analysis backend'!$M$1,E1730:N1730,0)),"",'Analysis backend'!$L$1)</f>
        <v/>
      </c>
      <c r="U1730" t="str">
        <f>IF(T1730='Analysis backend'!$L$1,IF(ISERROR(MATCH('Analysis backend'!$M$1,E1730:I1730,0)),"Dire","Radiant"),"")</f>
        <v/>
      </c>
    </row>
    <row r="1731" spans="20:21" x14ac:dyDescent="0.3">
      <c r="T1731" t="str">
        <f>IF(ISERROR(MATCH('Analysis backend'!$M$1,E1731:N1731,0)),"",'Analysis backend'!$L$1)</f>
        <v/>
      </c>
      <c r="U1731" t="str">
        <f>IF(T1731='Analysis backend'!$L$1,IF(ISERROR(MATCH('Analysis backend'!$M$1,E1731:I1731,0)),"Dire","Radiant"),"")</f>
        <v/>
      </c>
    </row>
    <row r="1732" spans="20:21" x14ac:dyDescent="0.3">
      <c r="T1732" t="str">
        <f>IF(ISERROR(MATCH('Analysis backend'!$M$1,E1732:N1732,0)),"",'Analysis backend'!$L$1)</f>
        <v/>
      </c>
      <c r="U1732" t="str">
        <f>IF(T1732='Analysis backend'!$L$1,IF(ISERROR(MATCH('Analysis backend'!$M$1,E1732:I1732,0)),"Dire","Radiant"),"")</f>
        <v/>
      </c>
    </row>
    <row r="1733" spans="20:21" x14ac:dyDescent="0.3">
      <c r="T1733" t="str">
        <f>IF(ISERROR(MATCH('Analysis backend'!$M$1,E1733:N1733,0)),"",'Analysis backend'!$L$1)</f>
        <v/>
      </c>
      <c r="U1733" t="str">
        <f>IF(T1733='Analysis backend'!$L$1,IF(ISERROR(MATCH('Analysis backend'!$M$1,E1733:I1733,0)),"Dire","Radiant"),"")</f>
        <v/>
      </c>
    </row>
    <row r="1734" spans="20:21" x14ac:dyDescent="0.3">
      <c r="T1734" t="str">
        <f>IF(ISERROR(MATCH('Analysis backend'!$M$1,E1734:N1734,0)),"",'Analysis backend'!$L$1)</f>
        <v/>
      </c>
      <c r="U1734" t="str">
        <f>IF(T1734='Analysis backend'!$L$1,IF(ISERROR(MATCH('Analysis backend'!$M$1,E1734:I1734,0)),"Dire","Radiant"),"")</f>
        <v/>
      </c>
    </row>
    <row r="1735" spans="20:21" x14ac:dyDescent="0.3">
      <c r="T1735" t="str">
        <f>IF(ISERROR(MATCH('Analysis backend'!$M$1,E1735:N1735,0)),"",'Analysis backend'!$L$1)</f>
        <v/>
      </c>
      <c r="U1735" t="str">
        <f>IF(T1735='Analysis backend'!$L$1,IF(ISERROR(MATCH('Analysis backend'!$M$1,E1735:I1735,0)),"Dire","Radiant"),"")</f>
        <v/>
      </c>
    </row>
    <row r="1736" spans="20:21" x14ac:dyDescent="0.3">
      <c r="T1736" t="str">
        <f>IF(ISERROR(MATCH('Analysis backend'!$M$1,E1736:N1736,0)),"",'Analysis backend'!$L$1)</f>
        <v/>
      </c>
      <c r="U1736" t="str">
        <f>IF(T1736='Analysis backend'!$L$1,IF(ISERROR(MATCH('Analysis backend'!$M$1,E1736:I1736,0)),"Dire","Radiant"),"")</f>
        <v/>
      </c>
    </row>
    <row r="1737" spans="20:21" x14ac:dyDescent="0.3">
      <c r="T1737" t="str">
        <f>IF(ISERROR(MATCH('Analysis backend'!$M$1,E1737:N1737,0)),"",'Analysis backend'!$L$1)</f>
        <v/>
      </c>
      <c r="U1737" t="str">
        <f>IF(T1737='Analysis backend'!$L$1,IF(ISERROR(MATCH('Analysis backend'!$M$1,E1737:I1737,0)),"Dire","Radiant"),"")</f>
        <v/>
      </c>
    </row>
    <row r="1738" spans="20:21" x14ac:dyDescent="0.3">
      <c r="T1738" t="str">
        <f>IF(ISERROR(MATCH('Analysis backend'!$M$1,E1738:N1738,0)),"",'Analysis backend'!$L$1)</f>
        <v/>
      </c>
      <c r="U1738" t="str">
        <f>IF(T1738='Analysis backend'!$L$1,IF(ISERROR(MATCH('Analysis backend'!$M$1,E1738:I1738,0)),"Dire","Radiant"),"")</f>
        <v/>
      </c>
    </row>
    <row r="1739" spans="20:21" x14ac:dyDescent="0.3">
      <c r="T1739" t="str">
        <f>IF(ISERROR(MATCH('Analysis backend'!$M$1,E1739:N1739,0)),"",'Analysis backend'!$L$1)</f>
        <v/>
      </c>
      <c r="U1739" t="str">
        <f>IF(T1739='Analysis backend'!$L$1,IF(ISERROR(MATCH('Analysis backend'!$M$1,E1739:I1739,0)),"Dire","Radiant"),"")</f>
        <v/>
      </c>
    </row>
    <row r="1740" spans="20:21" x14ac:dyDescent="0.3">
      <c r="T1740" t="str">
        <f>IF(ISERROR(MATCH('Analysis backend'!$M$1,E1740:N1740,0)),"",'Analysis backend'!$L$1)</f>
        <v/>
      </c>
      <c r="U1740" t="str">
        <f>IF(T1740='Analysis backend'!$L$1,IF(ISERROR(MATCH('Analysis backend'!$M$1,E1740:I1740,0)),"Dire","Radiant"),"")</f>
        <v/>
      </c>
    </row>
    <row r="1741" spans="20:21" x14ac:dyDescent="0.3">
      <c r="T1741" t="str">
        <f>IF(ISERROR(MATCH('Analysis backend'!$M$1,E1741:N1741,0)),"",'Analysis backend'!$L$1)</f>
        <v/>
      </c>
      <c r="U1741" t="str">
        <f>IF(T1741='Analysis backend'!$L$1,IF(ISERROR(MATCH('Analysis backend'!$M$1,E1741:I1741,0)),"Dire","Radiant"),"")</f>
        <v/>
      </c>
    </row>
    <row r="1742" spans="20:21" x14ac:dyDescent="0.3">
      <c r="T1742" t="str">
        <f>IF(ISERROR(MATCH('Analysis backend'!$M$1,E1742:N1742,0)),"",'Analysis backend'!$L$1)</f>
        <v/>
      </c>
      <c r="U1742" t="str">
        <f>IF(T1742='Analysis backend'!$L$1,IF(ISERROR(MATCH('Analysis backend'!$M$1,E1742:I1742,0)),"Dire","Radiant"),"")</f>
        <v/>
      </c>
    </row>
    <row r="1743" spans="20:21" x14ac:dyDescent="0.3">
      <c r="T1743" t="str">
        <f>IF(ISERROR(MATCH('Analysis backend'!$M$1,E1743:N1743,0)),"",'Analysis backend'!$L$1)</f>
        <v/>
      </c>
      <c r="U1743" t="str">
        <f>IF(T1743='Analysis backend'!$L$1,IF(ISERROR(MATCH('Analysis backend'!$M$1,E1743:I1743,0)),"Dire","Radiant"),"")</f>
        <v/>
      </c>
    </row>
    <row r="1744" spans="20:21" x14ac:dyDescent="0.3">
      <c r="T1744" t="str">
        <f>IF(ISERROR(MATCH('Analysis backend'!$M$1,E1744:N1744,0)),"",'Analysis backend'!$L$1)</f>
        <v/>
      </c>
      <c r="U1744" t="str">
        <f>IF(T1744='Analysis backend'!$L$1,IF(ISERROR(MATCH('Analysis backend'!$M$1,E1744:I1744,0)),"Dire","Radiant"),"")</f>
        <v/>
      </c>
    </row>
    <row r="1745" spans="20:21" x14ac:dyDescent="0.3">
      <c r="T1745" t="str">
        <f>IF(ISERROR(MATCH('Analysis backend'!$M$1,E1745:N1745,0)),"",'Analysis backend'!$L$1)</f>
        <v/>
      </c>
      <c r="U1745" t="str">
        <f>IF(T1745='Analysis backend'!$L$1,IF(ISERROR(MATCH('Analysis backend'!$M$1,E1745:I1745,0)),"Dire","Radiant"),"")</f>
        <v/>
      </c>
    </row>
    <row r="1746" spans="20:21" x14ac:dyDescent="0.3">
      <c r="T1746" t="str">
        <f>IF(ISERROR(MATCH('Analysis backend'!$M$1,E1746:N1746,0)),"",'Analysis backend'!$L$1)</f>
        <v/>
      </c>
      <c r="U1746" t="str">
        <f>IF(T1746='Analysis backend'!$L$1,IF(ISERROR(MATCH('Analysis backend'!$M$1,E1746:I1746,0)),"Dire","Radiant"),"")</f>
        <v/>
      </c>
    </row>
    <row r="1747" spans="20:21" x14ac:dyDescent="0.3">
      <c r="T1747" t="str">
        <f>IF(ISERROR(MATCH('Analysis backend'!$M$1,E1747:N1747,0)),"",'Analysis backend'!$L$1)</f>
        <v/>
      </c>
      <c r="U1747" t="str">
        <f>IF(T1747='Analysis backend'!$L$1,IF(ISERROR(MATCH('Analysis backend'!$M$1,E1747:I1747,0)),"Dire","Radiant"),"")</f>
        <v/>
      </c>
    </row>
    <row r="1748" spans="20:21" x14ac:dyDescent="0.3">
      <c r="T1748" t="str">
        <f>IF(ISERROR(MATCH('Analysis backend'!$M$1,E1748:N1748,0)),"",'Analysis backend'!$L$1)</f>
        <v/>
      </c>
      <c r="U1748" t="str">
        <f>IF(T1748='Analysis backend'!$L$1,IF(ISERROR(MATCH('Analysis backend'!$M$1,E1748:I1748,0)),"Dire","Radiant"),"")</f>
        <v/>
      </c>
    </row>
    <row r="1749" spans="20:21" x14ac:dyDescent="0.3">
      <c r="T1749" t="str">
        <f>IF(ISERROR(MATCH('Analysis backend'!$M$1,E1749:N1749,0)),"",'Analysis backend'!$L$1)</f>
        <v/>
      </c>
      <c r="U1749" t="str">
        <f>IF(T1749='Analysis backend'!$L$1,IF(ISERROR(MATCH('Analysis backend'!$M$1,E1749:I1749,0)),"Dire","Radiant"),"")</f>
        <v/>
      </c>
    </row>
    <row r="1750" spans="20:21" x14ac:dyDescent="0.3">
      <c r="T1750" t="str">
        <f>IF(ISERROR(MATCH('Analysis backend'!$M$1,E1750:N1750,0)),"",'Analysis backend'!$L$1)</f>
        <v/>
      </c>
      <c r="U1750" t="str">
        <f>IF(T1750='Analysis backend'!$L$1,IF(ISERROR(MATCH('Analysis backend'!$M$1,E1750:I1750,0)),"Dire","Radiant"),"")</f>
        <v/>
      </c>
    </row>
    <row r="1751" spans="20:21" x14ac:dyDescent="0.3">
      <c r="T1751" t="str">
        <f>IF(ISERROR(MATCH('Analysis backend'!$M$1,E1751:N1751,0)),"",'Analysis backend'!$L$1)</f>
        <v/>
      </c>
      <c r="U1751" t="str">
        <f>IF(T1751='Analysis backend'!$L$1,IF(ISERROR(MATCH('Analysis backend'!$M$1,E1751:I1751,0)),"Dire","Radiant"),"")</f>
        <v/>
      </c>
    </row>
    <row r="1752" spans="20:21" x14ac:dyDescent="0.3">
      <c r="T1752" t="str">
        <f>IF(ISERROR(MATCH('Analysis backend'!$M$1,E1752:N1752,0)),"",'Analysis backend'!$L$1)</f>
        <v/>
      </c>
      <c r="U1752" t="str">
        <f>IF(T1752='Analysis backend'!$L$1,IF(ISERROR(MATCH('Analysis backend'!$M$1,E1752:I1752,0)),"Dire","Radiant"),"")</f>
        <v/>
      </c>
    </row>
    <row r="1753" spans="20:21" x14ac:dyDescent="0.3">
      <c r="T1753" t="str">
        <f>IF(ISERROR(MATCH('Analysis backend'!$M$1,E1753:N1753,0)),"",'Analysis backend'!$L$1)</f>
        <v/>
      </c>
      <c r="U1753" t="str">
        <f>IF(T1753='Analysis backend'!$L$1,IF(ISERROR(MATCH('Analysis backend'!$M$1,E1753:I1753,0)),"Dire","Radiant"),"")</f>
        <v/>
      </c>
    </row>
    <row r="1754" spans="20:21" x14ac:dyDescent="0.3">
      <c r="T1754" t="str">
        <f>IF(ISERROR(MATCH('Analysis backend'!$M$1,E1754:N1754,0)),"",'Analysis backend'!$L$1)</f>
        <v/>
      </c>
      <c r="U1754" t="str">
        <f>IF(T1754='Analysis backend'!$L$1,IF(ISERROR(MATCH('Analysis backend'!$M$1,E1754:I1754,0)),"Dire","Radiant"),"")</f>
        <v/>
      </c>
    </row>
    <row r="1755" spans="20:21" x14ac:dyDescent="0.3">
      <c r="T1755" t="str">
        <f>IF(ISERROR(MATCH('Analysis backend'!$M$1,E1755:N1755,0)),"",'Analysis backend'!$L$1)</f>
        <v/>
      </c>
      <c r="U1755" t="str">
        <f>IF(T1755='Analysis backend'!$L$1,IF(ISERROR(MATCH('Analysis backend'!$M$1,E1755:I1755,0)),"Dire","Radiant"),"")</f>
        <v/>
      </c>
    </row>
    <row r="1756" spans="20:21" x14ac:dyDescent="0.3">
      <c r="T1756" t="str">
        <f>IF(ISERROR(MATCH('Analysis backend'!$M$1,E1756:N1756,0)),"",'Analysis backend'!$L$1)</f>
        <v/>
      </c>
      <c r="U1756" t="str">
        <f>IF(T1756='Analysis backend'!$L$1,IF(ISERROR(MATCH('Analysis backend'!$M$1,E1756:I1756,0)),"Dire","Radiant"),"")</f>
        <v/>
      </c>
    </row>
    <row r="1757" spans="20:21" x14ac:dyDescent="0.3">
      <c r="T1757" t="str">
        <f>IF(ISERROR(MATCH('Analysis backend'!$M$1,E1757:N1757,0)),"",'Analysis backend'!$L$1)</f>
        <v/>
      </c>
      <c r="U1757" t="str">
        <f>IF(T1757='Analysis backend'!$L$1,IF(ISERROR(MATCH('Analysis backend'!$M$1,E1757:I1757,0)),"Dire","Radiant"),"")</f>
        <v/>
      </c>
    </row>
    <row r="1758" spans="20:21" x14ac:dyDescent="0.3">
      <c r="T1758" t="str">
        <f>IF(ISERROR(MATCH('Analysis backend'!$M$1,E1758:N1758,0)),"",'Analysis backend'!$L$1)</f>
        <v/>
      </c>
      <c r="U1758" t="str">
        <f>IF(T1758='Analysis backend'!$L$1,IF(ISERROR(MATCH('Analysis backend'!$M$1,E1758:I1758,0)),"Dire","Radiant"),"")</f>
        <v/>
      </c>
    </row>
    <row r="1759" spans="20:21" x14ac:dyDescent="0.3">
      <c r="T1759" t="str">
        <f>IF(ISERROR(MATCH('Analysis backend'!$M$1,E1759:N1759,0)),"",'Analysis backend'!$L$1)</f>
        <v/>
      </c>
      <c r="U1759" t="str">
        <f>IF(T1759='Analysis backend'!$L$1,IF(ISERROR(MATCH('Analysis backend'!$M$1,E1759:I1759,0)),"Dire","Radiant"),"")</f>
        <v/>
      </c>
    </row>
    <row r="1760" spans="20:21" x14ac:dyDescent="0.3">
      <c r="T1760" t="str">
        <f>IF(ISERROR(MATCH('Analysis backend'!$M$1,E1760:N1760,0)),"",'Analysis backend'!$L$1)</f>
        <v/>
      </c>
      <c r="U1760" t="str">
        <f>IF(T1760='Analysis backend'!$L$1,IF(ISERROR(MATCH('Analysis backend'!$M$1,E1760:I1760,0)),"Dire","Radiant"),"")</f>
        <v/>
      </c>
    </row>
    <row r="1761" spans="20:21" x14ac:dyDescent="0.3">
      <c r="T1761" t="str">
        <f>IF(ISERROR(MATCH('Analysis backend'!$M$1,E1761:N1761,0)),"",'Analysis backend'!$L$1)</f>
        <v/>
      </c>
      <c r="U1761" t="str">
        <f>IF(T1761='Analysis backend'!$L$1,IF(ISERROR(MATCH('Analysis backend'!$M$1,E1761:I1761,0)),"Dire","Radiant"),"")</f>
        <v/>
      </c>
    </row>
    <row r="1762" spans="20:21" x14ac:dyDescent="0.3">
      <c r="T1762" t="str">
        <f>IF(ISERROR(MATCH('Analysis backend'!$M$1,E1762:N1762,0)),"",'Analysis backend'!$L$1)</f>
        <v/>
      </c>
      <c r="U1762" t="str">
        <f>IF(T1762='Analysis backend'!$L$1,IF(ISERROR(MATCH('Analysis backend'!$M$1,E1762:I1762,0)),"Dire","Radiant"),"")</f>
        <v/>
      </c>
    </row>
    <row r="1763" spans="20:21" x14ac:dyDescent="0.3">
      <c r="T1763" t="str">
        <f>IF(ISERROR(MATCH('Analysis backend'!$M$1,E1763:N1763,0)),"",'Analysis backend'!$L$1)</f>
        <v/>
      </c>
      <c r="U1763" t="str">
        <f>IF(T1763='Analysis backend'!$L$1,IF(ISERROR(MATCH('Analysis backend'!$M$1,E1763:I1763,0)),"Dire","Radiant"),"")</f>
        <v/>
      </c>
    </row>
    <row r="1764" spans="20:21" x14ac:dyDescent="0.3">
      <c r="T1764" t="str">
        <f>IF(ISERROR(MATCH('Analysis backend'!$M$1,E1764:N1764,0)),"",'Analysis backend'!$L$1)</f>
        <v/>
      </c>
      <c r="U1764" t="str">
        <f>IF(T1764='Analysis backend'!$L$1,IF(ISERROR(MATCH('Analysis backend'!$M$1,E1764:I1764,0)),"Dire","Radiant"),"")</f>
        <v/>
      </c>
    </row>
    <row r="1765" spans="20:21" x14ac:dyDescent="0.3">
      <c r="T1765" t="str">
        <f>IF(ISERROR(MATCH('Analysis backend'!$M$1,E1765:N1765,0)),"",'Analysis backend'!$L$1)</f>
        <v/>
      </c>
      <c r="U1765" t="str">
        <f>IF(T1765='Analysis backend'!$L$1,IF(ISERROR(MATCH('Analysis backend'!$M$1,E1765:I1765,0)),"Dire","Radiant"),"")</f>
        <v/>
      </c>
    </row>
    <row r="1766" spans="20:21" x14ac:dyDescent="0.3">
      <c r="T1766" t="str">
        <f>IF(ISERROR(MATCH('Analysis backend'!$M$1,E1766:N1766,0)),"",'Analysis backend'!$L$1)</f>
        <v/>
      </c>
      <c r="U1766" t="str">
        <f>IF(T1766='Analysis backend'!$L$1,IF(ISERROR(MATCH('Analysis backend'!$M$1,E1766:I1766,0)),"Dire","Radiant"),"")</f>
        <v/>
      </c>
    </row>
    <row r="1767" spans="20:21" x14ac:dyDescent="0.3">
      <c r="T1767" t="str">
        <f>IF(ISERROR(MATCH('Analysis backend'!$M$1,E1767:N1767,0)),"",'Analysis backend'!$L$1)</f>
        <v/>
      </c>
      <c r="U1767" t="str">
        <f>IF(T1767='Analysis backend'!$L$1,IF(ISERROR(MATCH('Analysis backend'!$M$1,E1767:I1767,0)),"Dire","Radiant"),"")</f>
        <v/>
      </c>
    </row>
    <row r="1768" spans="20:21" x14ac:dyDescent="0.3">
      <c r="T1768" t="str">
        <f>IF(ISERROR(MATCH('Analysis backend'!$M$1,E1768:N1768,0)),"",'Analysis backend'!$L$1)</f>
        <v/>
      </c>
      <c r="U1768" t="str">
        <f>IF(T1768='Analysis backend'!$L$1,IF(ISERROR(MATCH('Analysis backend'!$M$1,E1768:I1768,0)),"Dire","Radiant"),"")</f>
        <v/>
      </c>
    </row>
    <row r="1769" spans="20:21" x14ac:dyDescent="0.3">
      <c r="T1769" t="str">
        <f>IF(ISERROR(MATCH('Analysis backend'!$M$1,E1769:N1769,0)),"",'Analysis backend'!$L$1)</f>
        <v/>
      </c>
      <c r="U1769" t="str">
        <f>IF(T1769='Analysis backend'!$L$1,IF(ISERROR(MATCH('Analysis backend'!$M$1,E1769:I1769,0)),"Dire","Radiant"),"")</f>
        <v/>
      </c>
    </row>
    <row r="1770" spans="20:21" x14ac:dyDescent="0.3">
      <c r="T1770" t="str">
        <f>IF(ISERROR(MATCH('Analysis backend'!$M$1,E1770:N1770,0)),"",'Analysis backend'!$L$1)</f>
        <v/>
      </c>
      <c r="U1770" t="str">
        <f>IF(T1770='Analysis backend'!$L$1,IF(ISERROR(MATCH('Analysis backend'!$M$1,E1770:I1770,0)),"Dire","Radiant"),"")</f>
        <v/>
      </c>
    </row>
    <row r="1771" spans="20:21" x14ac:dyDescent="0.3">
      <c r="T1771" t="str">
        <f>IF(ISERROR(MATCH('Analysis backend'!$M$1,E1771:N1771,0)),"",'Analysis backend'!$L$1)</f>
        <v/>
      </c>
      <c r="U1771" t="str">
        <f>IF(T1771='Analysis backend'!$L$1,IF(ISERROR(MATCH('Analysis backend'!$M$1,E1771:I1771,0)),"Dire","Radiant"),"")</f>
        <v/>
      </c>
    </row>
    <row r="1772" spans="20:21" x14ac:dyDescent="0.3">
      <c r="T1772" t="str">
        <f>IF(ISERROR(MATCH('Analysis backend'!$M$1,E1772:N1772,0)),"",'Analysis backend'!$L$1)</f>
        <v/>
      </c>
      <c r="U1772" t="str">
        <f>IF(T1772='Analysis backend'!$L$1,IF(ISERROR(MATCH('Analysis backend'!$M$1,E1772:I1772,0)),"Dire","Radiant"),"")</f>
        <v/>
      </c>
    </row>
    <row r="1773" spans="20:21" x14ac:dyDescent="0.3">
      <c r="T1773" t="str">
        <f>IF(ISERROR(MATCH('Analysis backend'!$M$1,E1773:N1773,0)),"",'Analysis backend'!$L$1)</f>
        <v/>
      </c>
      <c r="U1773" t="str">
        <f>IF(T1773='Analysis backend'!$L$1,IF(ISERROR(MATCH('Analysis backend'!$M$1,E1773:I1773,0)),"Dire","Radiant"),"")</f>
        <v/>
      </c>
    </row>
    <row r="1774" spans="20:21" x14ac:dyDescent="0.3">
      <c r="T1774" t="str">
        <f>IF(ISERROR(MATCH('Analysis backend'!$M$1,E1774:N1774,0)),"",'Analysis backend'!$L$1)</f>
        <v/>
      </c>
      <c r="U1774" t="str">
        <f>IF(T1774='Analysis backend'!$L$1,IF(ISERROR(MATCH('Analysis backend'!$M$1,E1774:I1774,0)),"Dire","Radiant"),"")</f>
        <v/>
      </c>
    </row>
    <row r="1775" spans="20:21" x14ac:dyDescent="0.3">
      <c r="T1775" t="str">
        <f>IF(ISERROR(MATCH('Analysis backend'!$M$1,E1775:N1775,0)),"",'Analysis backend'!$L$1)</f>
        <v/>
      </c>
      <c r="U1775" t="str">
        <f>IF(T1775='Analysis backend'!$L$1,IF(ISERROR(MATCH('Analysis backend'!$M$1,E1775:I1775,0)),"Dire","Radiant"),"")</f>
        <v/>
      </c>
    </row>
    <row r="1776" spans="20:21" x14ac:dyDescent="0.3">
      <c r="T1776" t="str">
        <f>IF(ISERROR(MATCH('Analysis backend'!$M$1,E1776:N1776,0)),"",'Analysis backend'!$L$1)</f>
        <v/>
      </c>
      <c r="U1776" t="str">
        <f>IF(T1776='Analysis backend'!$L$1,IF(ISERROR(MATCH('Analysis backend'!$M$1,E1776:I1776,0)),"Dire","Radiant"),"")</f>
        <v/>
      </c>
    </row>
    <row r="1777" spans="20:21" x14ac:dyDescent="0.3">
      <c r="T1777" t="str">
        <f>IF(ISERROR(MATCH('Analysis backend'!$M$1,E1777:N1777,0)),"",'Analysis backend'!$L$1)</f>
        <v/>
      </c>
      <c r="U1777" t="str">
        <f>IF(T1777='Analysis backend'!$L$1,IF(ISERROR(MATCH('Analysis backend'!$M$1,E1777:I1777,0)),"Dire","Radiant"),"")</f>
        <v/>
      </c>
    </row>
    <row r="1778" spans="20:21" x14ac:dyDescent="0.3">
      <c r="T1778" t="str">
        <f>IF(ISERROR(MATCH('Analysis backend'!$M$1,E1778:N1778,0)),"",'Analysis backend'!$L$1)</f>
        <v/>
      </c>
      <c r="U1778" t="str">
        <f>IF(T1778='Analysis backend'!$L$1,IF(ISERROR(MATCH('Analysis backend'!$M$1,E1778:I1778,0)),"Dire","Radiant"),"")</f>
        <v/>
      </c>
    </row>
    <row r="1779" spans="20:21" x14ac:dyDescent="0.3">
      <c r="T1779" t="str">
        <f>IF(ISERROR(MATCH('Analysis backend'!$M$1,E1779:N1779,0)),"",'Analysis backend'!$L$1)</f>
        <v/>
      </c>
      <c r="U1779" t="str">
        <f>IF(T1779='Analysis backend'!$L$1,IF(ISERROR(MATCH('Analysis backend'!$M$1,E1779:I1779,0)),"Dire","Radiant"),"")</f>
        <v/>
      </c>
    </row>
    <row r="1780" spans="20:21" x14ac:dyDescent="0.3">
      <c r="T1780" t="str">
        <f>IF(ISERROR(MATCH('Analysis backend'!$M$1,E1780:N1780,0)),"",'Analysis backend'!$L$1)</f>
        <v/>
      </c>
      <c r="U1780" t="str">
        <f>IF(T1780='Analysis backend'!$L$1,IF(ISERROR(MATCH('Analysis backend'!$M$1,E1780:I1780,0)),"Dire","Radiant"),"")</f>
        <v/>
      </c>
    </row>
    <row r="1781" spans="20:21" x14ac:dyDescent="0.3">
      <c r="T1781" t="str">
        <f>IF(ISERROR(MATCH('Analysis backend'!$M$1,E1781:N1781,0)),"",'Analysis backend'!$L$1)</f>
        <v/>
      </c>
      <c r="U1781" t="str">
        <f>IF(T1781='Analysis backend'!$L$1,IF(ISERROR(MATCH('Analysis backend'!$M$1,E1781:I1781,0)),"Dire","Radiant"),"")</f>
        <v/>
      </c>
    </row>
    <row r="1782" spans="20:21" x14ac:dyDescent="0.3">
      <c r="T1782" t="str">
        <f>IF(ISERROR(MATCH('Analysis backend'!$M$1,E1782:N1782,0)),"",'Analysis backend'!$L$1)</f>
        <v/>
      </c>
      <c r="U1782" t="str">
        <f>IF(T1782='Analysis backend'!$L$1,IF(ISERROR(MATCH('Analysis backend'!$M$1,E1782:I1782,0)),"Dire","Radiant"),"")</f>
        <v/>
      </c>
    </row>
    <row r="1783" spans="20:21" x14ac:dyDescent="0.3">
      <c r="T1783" t="str">
        <f>IF(ISERROR(MATCH('Analysis backend'!$M$1,E1783:N1783,0)),"",'Analysis backend'!$L$1)</f>
        <v/>
      </c>
      <c r="U1783" t="str">
        <f>IF(T1783='Analysis backend'!$L$1,IF(ISERROR(MATCH('Analysis backend'!$M$1,E1783:I1783,0)),"Dire","Radiant"),"")</f>
        <v/>
      </c>
    </row>
    <row r="1784" spans="20:21" x14ac:dyDescent="0.3">
      <c r="T1784" t="str">
        <f>IF(ISERROR(MATCH('Analysis backend'!$M$1,E1784:N1784,0)),"",'Analysis backend'!$L$1)</f>
        <v/>
      </c>
      <c r="U1784" t="str">
        <f>IF(T1784='Analysis backend'!$L$1,IF(ISERROR(MATCH('Analysis backend'!$M$1,E1784:I1784,0)),"Dire","Radiant"),"")</f>
        <v/>
      </c>
    </row>
    <row r="1785" spans="20:21" x14ac:dyDescent="0.3">
      <c r="T1785" t="str">
        <f>IF(ISERROR(MATCH('Analysis backend'!$M$1,E1785:N1785,0)),"",'Analysis backend'!$L$1)</f>
        <v/>
      </c>
      <c r="U1785" t="str">
        <f>IF(T1785='Analysis backend'!$L$1,IF(ISERROR(MATCH('Analysis backend'!$M$1,E1785:I1785,0)),"Dire","Radiant"),"")</f>
        <v/>
      </c>
    </row>
    <row r="1786" spans="20:21" x14ac:dyDescent="0.3">
      <c r="T1786" t="str">
        <f>IF(ISERROR(MATCH('Analysis backend'!$M$1,E1786:N1786,0)),"",'Analysis backend'!$L$1)</f>
        <v/>
      </c>
      <c r="U1786" t="str">
        <f>IF(T1786='Analysis backend'!$L$1,IF(ISERROR(MATCH('Analysis backend'!$M$1,E1786:I1786,0)),"Dire","Radiant"),"")</f>
        <v/>
      </c>
    </row>
    <row r="1787" spans="20:21" x14ac:dyDescent="0.3">
      <c r="T1787" t="str">
        <f>IF(ISERROR(MATCH('Analysis backend'!$M$1,E1787:N1787,0)),"",'Analysis backend'!$L$1)</f>
        <v/>
      </c>
      <c r="U1787" t="str">
        <f>IF(T1787='Analysis backend'!$L$1,IF(ISERROR(MATCH('Analysis backend'!$M$1,E1787:I1787,0)),"Dire","Radiant"),"")</f>
        <v/>
      </c>
    </row>
    <row r="1788" spans="20:21" x14ac:dyDescent="0.3">
      <c r="T1788" t="str">
        <f>IF(ISERROR(MATCH('Analysis backend'!$M$1,E1788:N1788,0)),"",'Analysis backend'!$L$1)</f>
        <v/>
      </c>
      <c r="U1788" t="str">
        <f>IF(T1788='Analysis backend'!$L$1,IF(ISERROR(MATCH('Analysis backend'!$M$1,E1788:I1788,0)),"Dire","Radiant"),"")</f>
        <v/>
      </c>
    </row>
    <row r="1789" spans="20:21" x14ac:dyDescent="0.3">
      <c r="T1789" t="str">
        <f>IF(ISERROR(MATCH('Analysis backend'!$M$1,E1789:N1789,0)),"",'Analysis backend'!$L$1)</f>
        <v/>
      </c>
      <c r="U1789" t="str">
        <f>IF(T1789='Analysis backend'!$L$1,IF(ISERROR(MATCH('Analysis backend'!$M$1,E1789:I1789,0)),"Dire","Radiant"),"")</f>
        <v/>
      </c>
    </row>
    <row r="1790" spans="20:21" x14ac:dyDescent="0.3">
      <c r="T1790" t="str">
        <f>IF(ISERROR(MATCH('Analysis backend'!$M$1,E1790:N1790,0)),"",'Analysis backend'!$L$1)</f>
        <v/>
      </c>
      <c r="U1790" t="str">
        <f>IF(T1790='Analysis backend'!$L$1,IF(ISERROR(MATCH('Analysis backend'!$M$1,E1790:I1790,0)),"Dire","Radiant"),"")</f>
        <v/>
      </c>
    </row>
    <row r="1791" spans="20:21" x14ac:dyDescent="0.3">
      <c r="T1791" t="str">
        <f>IF(ISERROR(MATCH('Analysis backend'!$M$1,E1791:N1791,0)),"",'Analysis backend'!$L$1)</f>
        <v/>
      </c>
      <c r="U1791" t="str">
        <f>IF(T1791='Analysis backend'!$L$1,IF(ISERROR(MATCH('Analysis backend'!$M$1,E1791:I1791,0)),"Dire","Radiant"),"")</f>
        <v/>
      </c>
    </row>
    <row r="1792" spans="20:21" x14ac:dyDescent="0.3">
      <c r="T1792" t="str">
        <f>IF(ISERROR(MATCH('Analysis backend'!$M$1,E1792:N1792,0)),"",'Analysis backend'!$L$1)</f>
        <v/>
      </c>
      <c r="U1792" t="str">
        <f>IF(T1792='Analysis backend'!$L$1,IF(ISERROR(MATCH('Analysis backend'!$M$1,E1792:I1792,0)),"Dire","Radiant"),"")</f>
        <v/>
      </c>
    </row>
    <row r="1793" spans="20:21" x14ac:dyDescent="0.3">
      <c r="T1793" t="str">
        <f>IF(ISERROR(MATCH('Analysis backend'!$M$1,E1793:N1793,0)),"",'Analysis backend'!$L$1)</f>
        <v/>
      </c>
      <c r="U1793" t="str">
        <f>IF(T1793='Analysis backend'!$L$1,IF(ISERROR(MATCH('Analysis backend'!$M$1,E1793:I1793,0)),"Dire","Radiant"),"")</f>
        <v/>
      </c>
    </row>
    <row r="1794" spans="20:21" x14ac:dyDescent="0.3">
      <c r="T1794" t="str">
        <f>IF(ISERROR(MATCH('Analysis backend'!$M$1,E1794:N1794,0)),"",'Analysis backend'!$L$1)</f>
        <v/>
      </c>
      <c r="U1794" t="str">
        <f>IF(T1794='Analysis backend'!$L$1,IF(ISERROR(MATCH('Analysis backend'!$M$1,E1794:I1794,0)),"Dire","Radiant"),"")</f>
        <v/>
      </c>
    </row>
    <row r="1795" spans="20:21" x14ac:dyDescent="0.3">
      <c r="T1795" t="str">
        <f>IF(ISERROR(MATCH('Analysis backend'!$M$1,E1795:N1795,0)),"",'Analysis backend'!$L$1)</f>
        <v/>
      </c>
      <c r="U1795" t="str">
        <f>IF(T1795='Analysis backend'!$L$1,IF(ISERROR(MATCH('Analysis backend'!$M$1,E1795:I1795,0)),"Dire","Radiant"),"")</f>
        <v/>
      </c>
    </row>
    <row r="1796" spans="20:21" x14ac:dyDescent="0.3">
      <c r="T1796" t="str">
        <f>IF(ISERROR(MATCH('Analysis backend'!$M$1,E1796:N1796,0)),"",'Analysis backend'!$L$1)</f>
        <v/>
      </c>
      <c r="U1796" t="str">
        <f>IF(T1796='Analysis backend'!$L$1,IF(ISERROR(MATCH('Analysis backend'!$M$1,E1796:I1796,0)),"Dire","Radiant"),"")</f>
        <v/>
      </c>
    </row>
    <row r="1797" spans="20:21" x14ac:dyDescent="0.3">
      <c r="T1797" t="str">
        <f>IF(ISERROR(MATCH('Analysis backend'!$M$1,E1797:N1797,0)),"",'Analysis backend'!$L$1)</f>
        <v/>
      </c>
      <c r="U1797" t="str">
        <f>IF(T1797='Analysis backend'!$L$1,IF(ISERROR(MATCH('Analysis backend'!$M$1,E1797:I1797,0)),"Dire","Radiant"),"")</f>
        <v/>
      </c>
    </row>
    <row r="1798" spans="20:21" x14ac:dyDescent="0.3">
      <c r="T1798" t="str">
        <f>IF(ISERROR(MATCH('Analysis backend'!$M$1,E1798:N1798,0)),"",'Analysis backend'!$L$1)</f>
        <v/>
      </c>
      <c r="U1798" t="str">
        <f>IF(T1798='Analysis backend'!$L$1,IF(ISERROR(MATCH('Analysis backend'!$M$1,E1798:I1798,0)),"Dire","Radiant"),"")</f>
        <v/>
      </c>
    </row>
    <row r="1799" spans="20:21" x14ac:dyDescent="0.3">
      <c r="T1799" t="str">
        <f>IF(ISERROR(MATCH('Analysis backend'!$M$1,E1799:N1799,0)),"",'Analysis backend'!$L$1)</f>
        <v/>
      </c>
      <c r="U1799" t="str">
        <f>IF(T1799='Analysis backend'!$L$1,IF(ISERROR(MATCH('Analysis backend'!$M$1,E1799:I1799,0)),"Dire","Radiant"),"")</f>
        <v/>
      </c>
    </row>
    <row r="1800" spans="20:21" x14ac:dyDescent="0.3">
      <c r="T1800" t="str">
        <f>IF(ISERROR(MATCH('Analysis backend'!$M$1,E1800:N1800,0)),"",'Analysis backend'!$L$1)</f>
        <v/>
      </c>
      <c r="U1800" t="str">
        <f>IF(T1800='Analysis backend'!$L$1,IF(ISERROR(MATCH('Analysis backend'!$M$1,E1800:I1800,0)),"Dire","Radiant"),"")</f>
        <v/>
      </c>
    </row>
    <row r="1801" spans="20:21" x14ac:dyDescent="0.3">
      <c r="T1801" t="str">
        <f>IF(ISERROR(MATCH('Analysis backend'!$M$1,E1801:N1801,0)),"",'Analysis backend'!$L$1)</f>
        <v/>
      </c>
      <c r="U1801" t="str">
        <f>IF(T1801='Analysis backend'!$L$1,IF(ISERROR(MATCH('Analysis backend'!$M$1,E1801:I1801,0)),"Dire","Radiant"),"")</f>
        <v/>
      </c>
    </row>
    <row r="1802" spans="20:21" x14ac:dyDescent="0.3">
      <c r="T1802" t="str">
        <f>IF(ISERROR(MATCH('Analysis backend'!$M$1,E1802:N1802,0)),"",'Analysis backend'!$L$1)</f>
        <v/>
      </c>
      <c r="U1802" t="str">
        <f>IF(T1802='Analysis backend'!$L$1,IF(ISERROR(MATCH('Analysis backend'!$M$1,E1802:I1802,0)),"Dire","Radiant"),"")</f>
        <v/>
      </c>
    </row>
    <row r="1803" spans="20:21" x14ac:dyDescent="0.3">
      <c r="T1803" t="str">
        <f>IF(ISERROR(MATCH('Analysis backend'!$M$1,E1803:N1803,0)),"",'Analysis backend'!$L$1)</f>
        <v/>
      </c>
      <c r="U1803" t="str">
        <f>IF(T1803='Analysis backend'!$L$1,IF(ISERROR(MATCH('Analysis backend'!$M$1,E1803:I1803,0)),"Dire","Radiant"),"")</f>
        <v/>
      </c>
    </row>
    <row r="1804" spans="20:21" x14ac:dyDescent="0.3">
      <c r="T1804" t="str">
        <f>IF(ISERROR(MATCH('Analysis backend'!$M$1,E1804:N1804,0)),"",'Analysis backend'!$L$1)</f>
        <v/>
      </c>
      <c r="U1804" t="str">
        <f>IF(T1804='Analysis backend'!$L$1,IF(ISERROR(MATCH('Analysis backend'!$M$1,E1804:I1804,0)),"Dire","Radiant"),"")</f>
        <v/>
      </c>
    </row>
    <row r="1805" spans="20:21" x14ac:dyDescent="0.3">
      <c r="T1805" t="str">
        <f>IF(ISERROR(MATCH('Analysis backend'!$M$1,E1805:N1805,0)),"",'Analysis backend'!$L$1)</f>
        <v/>
      </c>
      <c r="U1805" t="str">
        <f>IF(T1805='Analysis backend'!$L$1,IF(ISERROR(MATCH('Analysis backend'!$M$1,E1805:I1805,0)),"Dire","Radiant"),"")</f>
        <v/>
      </c>
    </row>
    <row r="1806" spans="20:21" x14ac:dyDescent="0.3">
      <c r="T1806" t="str">
        <f>IF(ISERROR(MATCH('Analysis backend'!$M$1,E1806:N1806,0)),"",'Analysis backend'!$L$1)</f>
        <v/>
      </c>
      <c r="U1806" t="str">
        <f>IF(T1806='Analysis backend'!$L$1,IF(ISERROR(MATCH('Analysis backend'!$M$1,E1806:I1806,0)),"Dire","Radiant"),"")</f>
        <v/>
      </c>
    </row>
    <row r="1807" spans="20:21" x14ac:dyDescent="0.3">
      <c r="T1807" t="str">
        <f>IF(ISERROR(MATCH('Analysis backend'!$M$1,E1807:N1807,0)),"",'Analysis backend'!$L$1)</f>
        <v/>
      </c>
      <c r="U1807" t="str">
        <f>IF(T1807='Analysis backend'!$L$1,IF(ISERROR(MATCH('Analysis backend'!$M$1,E1807:I1807,0)),"Dire","Radiant"),"")</f>
        <v/>
      </c>
    </row>
    <row r="1808" spans="20:21" x14ac:dyDescent="0.3">
      <c r="T1808" t="str">
        <f>IF(ISERROR(MATCH('Analysis backend'!$M$1,E1808:N1808,0)),"",'Analysis backend'!$L$1)</f>
        <v/>
      </c>
      <c r="U1808" t="str">
        <f>IF(T1808='Analysis backend'!$L$1,IF(ISERROR(MATCH('Analysis backend'!$M$1,E1808:I1808,0)),"Dire","Radiant"),"")</f>
        <v/>
      </c>
    </row>
    <row r="1809" spans="20:21" x14ac:dyDescent="0.3">
      <c r="T1809" t="str">
        <f>IF(ISERROR(MATCH('Analysis backend'!$M$1,E1809:N1809,0)),"",'Analysis backend'!$L$1)</f>
        <v/>
      </c>
      <c r="U1809" t="str">
        <f>IF(T1809='Analysis backend'!$L$1,IF(ISERROR(MATCH('Analysis backend'!$M$1,E1809:I1809,0)),"Dire","Radiant"),"")</f>
        <v/>
      </c>
    </row>
    <row r="1810" spans="20:21" x14ac:dyDescent="0.3">
      <c r="T1810" t="str">
        <f>IF(ISERROR(MATCH('Analysis backend'!$M$1,E1810:N1810,0)),"",'Analysis backend'!$L$1)</f>
        <v/>
      </c>
      <c r="U1810" t="str">
        <f>IF(T1810='Analysis backend'!$L$1,IF(ISERROR(MATCH('Analysis backend'!$M$1,E1810:I1810,0)),"Dire","Radiant"),"")</f>
        <v/>
      </c>
    </row>
    <row r="1811" spans="20:21" x14ac:dyDescent="0.3">
      <c r="T1811" t="str">
        <f>IF(ISERROR(MATCH('Analysis backend'!$M$1,E1811:N1811,0)),"",'Analysis backend'!$L$1)</f>
        <v/>
      </c>
      <c r="U1811" t="str">
        <f>IF(T1811='Analysis backend'!$L$1,IF(ISERROR(MATCH('Analysis backend'!$M$1,E1811:I1811,0)),"Dire","Radiant"),"")</f>
        <v/>
      </c>
    </row>
    <row r="1812" spans="20:21" x14ac:dyDescent="0.3">
      <c r="T1812" t="str">
        <f>IF(ISERROR(MATCH('Analysis backend'!$M$1,E1812:N1812,0)),"",'Analysis backend'!$L$1)</f>
        <v/>
      </c>
      <c r="U1812" t="str">
        <f>IF(T1812='Analysis backend'!$L$1,IF(ISERROR(MATCH('Analysis backend'!$M$1,E1812:I1812,0)),"Dire","Radiant"),"")</f>
        <v/>
      </c>
    </row>
    <row r="1813" spans="20:21" x14ac:dyDescent="0.3">
      <c r="T1813" t="str">
        <f>IF(ISERROR(MATCH('Analysis backend'!$M$1,E1813:N1813,0)),"",'Analysis backend'!$L$1)</f>
        <v/>
      </c>
      <c r="U1813" t="str">
        <f>IF(T1813='Analysis backend'!$L$1,IF(ISERROR(MATCH('Analysis backend'!$M$1,E1813:I1813,0)),"Dire","Radiant"),"")</f>
        <v/>
      </c>
    </row>
    <row r="1814" spans="20:21" x14ac:dyDescent="0.3">
      <c r="T1814" t="str">
        <f>IF(ISERROR(MATCH('Analysis backend'!$M$1,E1814:N1814,0)),"",'Analysis backend'!$L$1)</f>
        <v/>
      </c>
      <c r="U1814" t="str">
        <f>IF(T1814='Analysis backend'!$L$1,IF(ISERROR(MATCH('Analysis backend'!$M$1,E1814:I1814,0)),"Dire","Radiant"),"")</f>
        <v/>
      </c>
    </row>
    <row r="1815" spans="20:21" x14ac:dyDescent="0.3">
      <c r="T1815" t="str">
        <f>IF(ISERROR(MATCH('Analysis backend'!$M$1,E1815:N1815,0)),"",'Analysis backend'!$L$1)</f>
        <v/>
      </c>
      <c r="U1815" t="str">
        <f>IF(T1815='Analysis backend'!$L$1,IF(ISERROR(MATCH('Analysis backend'!$M$1,E1815:I1815,0)),"Dire","Radiant"),"")</f>
        <v/>
      </c>
    </row>
    <row r="1816" spans="20:21" x14ac:dyDescent="0.3">
      <c r="T1816" t="str">
        <f>IF(ISERROR(MATCH('Analysis backend'!$M$1,E1816:N1816,0)),"",'Analysis backend'!$L$1)</f>
        <v/>
      </c>
      <c r="U1816" t="str">
        <f>IF(T1816='Analysis backend'!$L$1,IF(ISERROR(MATCH('Analysis backend'!$M$1,E1816:I1816,0)),"Dire","Radiant"),"")</f>
        <v/>
      </c>
    </row>
    <row r="1817" spans="20:21" x14ac:dyDescent="0.3">
      <c r="T1817" t="str">
        <f>IF(ISERROR(MATCH('Analysis backend'!$M$1,E1817:N1817,0)),"",'Analysis backend'!$L$1)</f>
        <v/>
      </c>
      <c r="U1817" t="str">
        <f>IF(T1817='Analysis backend'!$L$1,IF(ISERROR(MATCH('Analysis backend'!$M$1,E1817:I1817,0)),"Dire","Radiant"),"")</f>
        <v/>
      </c>
    </row>
    <row r="1818" spans="20:21" x14ac:dyDescent="0.3">
      <c r="T1818" t="str">
        <f>IF(ISERROR(MATCH('Analysis backend'!$M$1,E1818:N1818,0)),"",'Analysis backend'!$L$1)</f>
        <v/>
      </c>
      <c r="U1818" t="str">
        <f>IF(T1818='Analysis backend'!$L$1,IF(ISERROR(MATCH('Analysis backend'!$M$1,E1818:I1818,0)),"Dire","Radiant"),"")</f>
        <v/>
      </c>
    </row>
    <row r="1819" spans="20:21" x14ac:dyDescent="0.3">
      <c r="T1819" t="str">
        <f>IF(ISERROR(MATCH('Analysis backend'!$M$1,E1819:N1819,0)),"",'Analysis backend'!$L$1)</f>
        <v/>
      </c>
      <c r="U1819" t="str">
        <f>IF(T1819='Analysis backend'!$L$1,IF(ISERROR(MATCH('Analysis backend'!$M$1,E1819:I1819,0)),"Dire","Radiant"),"")</f>
        <v/>
      </c>
    </row>
    <row r="1820" spans="20:21" x14ac:dyDescent="0.3">
      <c r="T1820" t="str">
        <f>IF(ISERROR(MATCH('Analysis backend'!$M$1,E1820:N1820,0)),"",'Analysis backend'!$L$1)</f>
        <v/>
      </c>
      <c r="U1820" t="str">
        <f>IF(T1820='Analysis backend'!$L$1,IF(ISERROR(MATCH('Analysis backend'!$M$1,E1820:I1820,0)),"Dire","Radiant"),"")</f>
        <v/>
      </c>
    </row>
    <row r="1821" spans="20:21" x14ac:dyDescent="0.3">
      <c r="T1821" t="str">
        <f>IF(ISERROR(MATCH('Analysis backend'!$M$1,E1821:N1821,0)),"",'Analysis backend'!$L$1)</f>
        <v/>
      </c>
      <c r="U1821" t="str">
        <f>IF(T1821='Analysis backend'!$L$1,IF(ISERROR(MATCH('Analysis backend'!$M$1,E1821:I1821,0)),"Dire","Radiant"),"")</f>
        <v/>
      </c>
    </row>
    <row r="1822" spans="20:21" x14ac:dyDescent="0.3">
      <c r="T1822" t="str">
        <f>IF(ISERROR(MATCH('Analysis backend'!$M$1,E1822:N1822,0)),"",'Analysis backend'!$L$1)</f>
        <v/>
      </c>
      <c r="U1822" t="str">
        <f>IF(T1822='Analysis backend'!$L$1,IF(ISERROR(MATCH('Analysis backend'!$M$1,E1822:I1822,0)),"Dire","Radiant"),"")</f>
        <v/>
      </c>
    </row>
    <row r="1823" spans="20:21" x14ac:dyDescent="0.3">
      <c r="T1823" t="str">
        <f>IF(ISERROR(MATCH('Analysis backend'!$M$1,E1823:N1823,0)),"",'Analysis backend'!$L$1)</f>
        <v/>
      </c>
      <c r="U1823" t="str">
        <f>IF(T1823='Analysis backend'!$L$1,IF(ISERROR(MATCH('Analysis backend'!$M$1,E1823:I1823,0)),"Dire","Radiant"),"")</f>
        <v/>
      </c>
    </row>
    <row r="1824" spans="20:21" x14ac:dyDescent="0.3">
      <c r="T1824" t="str">
        <f>IF(ISERROR(MATCH('Analysis backend'!$M$1,E1824:N1824,0)),"",'Analysis backend'!$L$1)</f>
        <v/>
      </c>
      <c r="U1824" t="str">
        <f>IF(T1824='Analysis backend'!$L$1,IF(ISERROR(MATCH('Analysis backend'!$M$1,E1824:I1824,0)),"Dire","Radiant"),"")</f>
        <v/>
      </c>
    </row>
    <row r="1825" spans="20:21" x14ac:dyDescent="0.3">
      <c r="T1825" t="str">
        <f>IF(ISERROR(MATCH('Analysis backend'!$M$1,E1825:N1825,0)),"",'Analysis backend'!$L$1)</f>
        <v/>
      </c>
      <c r="U1825" t="str">
        <f>IF(T1825='Analysis backend'!$L$1,IF(ISERROR(MATCH('Analysis backend'!$M$1,E1825:I1825,0)),"Dire","Radiant"),"")</f>
        <v/>
      </c>
    </row>
    <row r="1826" spans="20:21" x14ac:dyDescent="0.3">
      <c r="T1826" t="str">
        <f>IF(ISERROR(MATCH('Analysis backend'!$M$1,E1826:N1826,0)),"",'Analysis backend'!$L$1)</f>
        <v/>
      </c>
      <c r="U1826" t="str">
        <f>IF(T1826='Analysis backend'!$L$1,IF(ISERROR(MATCH('Analysis backend'!$M$1,E1826:I1826,0)),"Dire","Radiant"),"")</f>
        <v/>
      </c>
    </row>
    <row r="1827" spans="20:21" x14ac:dyDescent="0.3">
      <c r="T1827" t="str">
        <f>IF(ISERROR(MATCH('Analysis backend'!$M$1,E1827:N1827,0)),"",'Analysis backend'!$L$1)</f>
        <v/>
      </c>
      <c r="U1827" t="str">
        <f>IF(T1827='Analysis backend'!$L$1,IF(ISERROR(MATCH('Analysis backend'!$M$1,E1827:I1827,0)),"Dire","Radiant"),"")</f>
        <v/>
      </c>
    </row>
    <row r="1828" spans="20:21" x14ac:dyDescent="0.3">
      <c r="T1828" t="str">
        <f>IF(ISERROR(MATCH('Analysis backend'!$M$1,E1828:N1828,0)),"",'Analysis backend'!$L$1)</f>
        <v/>
      </c>
      <c r="U1828" t="str">
        <f>IF(T1828='Analysis backend'!$L$1,IF(ISERROR(MATCH('Analysis backend'!$M$1,E1828:I1828,0)),"Dire","Radiant"),"")</f>
        <v/>
      </c>
    </row>
    <row r="1829" spans="20:21" x14ac:dyDescent="0.3">
      <c r="T1829" t="str">
        <f>IF(ISERROR(MATCH('Analysis backend'!$M$1,E1829:N1829,0)),"",'Analysis backend'!$L$1)</f>
        <v/>
      </c>
      <c r="U1829" t="str">
        <f>IF(T1829='Analysis backend'!$L$1,IF(ISERROR(MATCH('Analysis backend'!$M$1,E1829:I1829,0)),"Dire","Radiant"),"")</f>
        <v/>
      </c>
    </row>
    <row r="1830" spans="20:21" x14ac:dyDescent="0.3">
      <c r="T1830" t="str">
        <f>IF(ISERROR(MATCH('Analysis backend'!$M$1,E1830:N1830,0)),"",'Analysis backend'!$L$1)</f>
        <v/>
      </c>
      <c r="U1830" t="str">
        <f>IF(T1830='Analysis backend'!$L$1,IF(ISERROR(MATCH('Analysis backend'!$M$1,E1830:I1830,0)),"Dire","Radiant"),"")</f>
        <v/>
      </c>
    </row>
    <row r="1831" spans="20:21" x14ac:dyDescent="0.3">
      <c r="T1831" t="str">
        <f>IF(ISERROR(MATCH('Analysis backend'!$M$1,E1831:N1831,0)),"",'Analysis backend'!$L$1)</f>
        <v/>
      </c>
      <c r="U1831" t="str">
        <f>IF(T1831='Analysis backend'!$L$1,IF(ISERROR(MATCH('Analysis backend'!$M$1,E1831:I1831,0)),"Dire","Radiant"),"")</f>
        <v/>
      </c>
    </row>
    <row r="1832" spans="20:21" x14ac:dyDescent="0.3">
      <c r="T1832" t="str">
        <f>IF(ISERROR(MATCH('Analysis backend'!$M$1,E1832:N1832,0)),"",'Analysis backend'!$L$1)</f>
        <v/>
      </c>
      <c r="U1832" t="str">
        <f>IF(T1832='Analysis backend'!$L$1,IF(ISERROR(MATCH('Analysis backend'!$M$1,E1832:I1832,0)),"Dire","Radiant"),"")</f>
        <v/>
      </c>
    </row>
    <row r="1833" spans="20:21" x14ac:dyDescent="0.3">
      <c r="T1833" t="str">
        <f>IF(ISERROR(MATCH('Analysis backend'!$M$1,E1833:N1833,0)),"",'Analysis backend'!$L$1)</f>
        <v/>
      </c>
      <c r="U1833" t="str">
        <f>IF(T1833='Analysis backend'!$L$1,IF(ISERROR(MATCH('Analysis backend'!$M$1,E1833:I1833,0)),"Dire","Radiant"),"")</f>
        <v/>
      </c>
    </row>
    <row r="1834" spans="20:21" x14ac:dyDescent="0.3">
      <c r="T1834" t="str">
        <f>IF(ISERROR(MATCH('Analysis backend'!$M$1,E1834:N1834,0)),"",'Analysis backend'!$L$1)</f>
        <v/>
      </c>
      <c r="U1834" t="str">
        <f>IF(T1834='Analysis backend'!$L$1,IF(ISERROR(MATCH('Analysis backend'!$M$1,E1834:I1834,0)),"Dire","Radiant"),"")</f>
        <v/>
      </c>
    </row>
    <row r="1835" spans="20:21" x14ac:dyDescent="0.3">
      <c r="T1835" t="str">
        <f>IF(ISERROR(MATCH('Analysis backend'!$M$1,E1835:N1835,0)),"",'Analysis backend'!$L$1)</f>
        <v/>
      </c>
      <c r="U1835" t="str">
        <f>IF(T1835='Analysis backend'!$L$1,IF(ISERROR(MATCH('Analysis backend'!$M$1,E1835:I1835,0)),"Dire","Radiant"),"")</f>
        <v/>
      </c>
    </row>
    <row r="1836" spans="20:21" x14ac:dyDescent="0.3">
      <c r="T1836" t="str">
        <f>IF(ISERROR(MATCH('Analysis backend'!$M$1,E1836:N1836,0)),"",'Analysis backend'!$L$1)</f>
        <v/>
      </c>
      <c r="U1836" t="str">
        <f>IF(T1836='Analysis backend'!$L$1,IF(ISERROR(MATCH('Analysis backend'!$M$1,E1836:I1836,0)),"Dire","Radiant"),"")</f>
        <v/>
      </c>
    </row>
    <row r="1837" spans="20:21" x14ac:dyDescent="0.3">
      <c r="T1837" t="str">
        <f>IF(ISERROR(MATCH('Analysis backend'!$M$1,E1837:N1837,0)),"",'Analysis backend'!$L$1)</f>
        <v/>
      </c>
      <c r="U1837" t="str">
        <f>IF(T1837='Analysis backend'!$L$1,IF(ISERROR(MATCH('Analysis backend'!$M$1,E1837:I1837,0)),"Dire","Radiant"),"")</f>
        <v/>
      </c>
    </row>
    <row r="1838" spans="20:21" x14ac:dyDescent="0.3">
      <c r="T1838" t="str">
        <f>IF(ISERROR(MATCH('Analysis backend'!$M$1,E1838:N1838,0)),"",'Analysis backend'!$L$1)</f>
        <v/>
      </c>
      <c r="U1838" t="str">
        <f>IF(T1838='Analysis backend'!$L$1,IF(ISERROR(MATCH('Analysis backend'!$M$1,E1838:I1838,0)),"Dire","Radiant"),"")</f>
        <v/>
      </c>
    </row>
    <row r="1839" spans="20:21" x14ac:dyDescent="0.3">
      <c r="T1839" t="str">
        <f>IF(ISERROR(MATCH('Analysis backend'!$M$1,E1839:N1839,0)),"",'Analysis backend'!$L$1)</f>
        <v/>
      </c>
      <c r="U1839" t="str">
        <f>IF(T1839='Analysis backend'!$L$1,IF(ISERROR(MATCH('Analysis backend'!$M$1,E1839:I1839,0)),"Dire","Radiant"),"")</f>
        <v/>
      </c>
    </row>
    <row r="1840" spans="20:21" x14ac:dyDescent="0.3">
      <c r="T1840" t="str">
        <f>IF(ISERROR(MATCH('Analysis backend'!$M$1,E1840:N1840,0)),"",'Analysis backend'!$L$1)</f>
        <v/>
      </c>
      <c r="U1840" t="str">
        <f>IF(T1840='Analysis backend'!$L$1,IF(ISERROR(MATCH('Analysis backend'!$M$1,E1840:I1840,0)),"Dire","Radiant"),"")</f>
        <v/>
      </c>
    </row>
    <row r="1841" spans="20:21" x14ac:dyDescent="0.3">
      <c r="T1841" t="str">
        <f>IF(ISERROR(MATCH('Analysis backend'!$M$1,E1841:N1841,0)),"",'Analysis backend'!$L$1)</f>
        <v/>
      </c>
      <c r="U1841" t="str">
        <f>IF(T1841='Analysis backend'!$L$1,IF(ISERROR(MATCH('Analysis backend'!$M$1,E1841:I1841,0)),"Dire","Radiant"),"")</f>
        <v/>
      </c>
    </row>
    <row r="1842" spans="20:21" x14ac:dyDescent="0.3">
      <c r="T1842" t="str">
        <f>IF(ISERROR(MATCH('Analysis backend'!$M$1,E1842:N1842,0)),"",'Analysis backend'!$L$1)</f>
        <v/>
      </c>
      <c r="U1842" t="str">
        <f>IF(T1842='Analysis backend'!$L$1,IF(ISERROR(MATCH('Analysis backend'!$M$1,E1842:I1842,0)),"Dire","Radiant"),"")</f>
        <v/>
      </c>
    </row>
    <row r="1843" spans="20:21" x14ac:dyDescent="0.3">
      <c r="T1843" t="str">
        <f>IF(ISERROR(MATCH('Analysis backend'!$M$1,E1843:N1843,0)),"",'Analysis backend'!$L$1)</f>
        <v/>
      </c>
      <c r="U1843" t="str">
        <f>IF(T1843='Analysis backend'!$L$1,IF(ISERROR(MATCH('Analysis backend'!$M$1,E1843:I1843,0)),"Dire","Radiant"),"")</f>
        <v/>
      </c>
    </row>
    <row r="1844" spans="20:21" x14ac:dyDescent="0.3">
      <c r="T1844" t="str">
        <f>IF(ISERROR(MATCH('Analysis backend'!$M$1,E1844:N1844,0)),"",'Analysis backend'!$L$1)</f>
        <v/>
      </c>
      <c r="U1844" t="str">
        <f>IF(T1844='Analysis backend'!$L$1,IF(ISERROR(MATCH('Analysis backend'!$M$1,E1844:I1844,0)),"Dire","Radiant"),"")</f>
        <v/>
      </c>
    </row>
    <row r="1845" spans="20:21" x14ac:dyDescent="0.3">
      <c r="T1845" t="str">
        <f>IF(ISERROR(MATCH('Analysis backend'!$M$1,E1845:N1845,0)),"",'Analysis backend'!$L$1)</f>
        <v/>
      </c>
      <c r="U1845" t="str">
        <f>IF(T1845='Analysis backend'!$L$1,IF(ISERROR(MATCH('Analysis backend'!$M$1,E1845:I1845,0)),"Dire","Radiant"),"")</f>
        <v/>
      </c>
    </row>
    <row r="1846" spans="20:21" x14ac:dyDescent="0.3">
      <c r="T1846" t="str">
        <f>IF(ISERROR(MATCH('Analysis backend'!$M$1,E1846:N1846,0)),"",'Analysis backend'!$L$1)</f>
        <v/>
      </c>
      <c r="U1846" t="str">
        <f>IF(T1846='Analysis backend'!$L$1,IF(ISERROR(MATCH('Analysis backend'!$M$1,E1846:I1846,0)),"Dire","Radiant"),"")</f>
        <v/>
      </c>
    </row>
    <row r="1847" spans="20:21" x14ac:dyDescent="0.3">
      <c r="T1847" t="str">
        <f>IF(ISERROR(MATCH('Analysis backend'!$M$1,E1847:N1847,0)),"",'Analysis backend'!$L$1)</f>
        <v/>
      </c>
      <c r="U1847" t="str">
        <f>IF(T1847='Analysis backend'!$L$1,IF(ISERROR(MATCH('Analysis backend'!$M$1,E1847:I1847,0)),"Dire","Radiant"),"")</f>
        <v/>
      </c>
    </row>
    <row r="1848" spans="20:21" x14ac:dyDescent="0.3">
      <c r="T1848" t="str">
        <f>IF(ISERROR(MATCH('Analysis backend'!$M$1,E1848:N1848,0)),"",'Analysis backend'!$L$1)</f>
        <v/>
      </c>
      <c r="U1848" t="str">
        <f>IF(T1848='Analysis backend'!$L$1,IF(ISERROR(MATCH('Analysis backend'!$M$1,E1848:I1848,0)),"Dire","Radiant"),"")</f>
        <v/>
      </c>
    </row>
    <row r="1849" spans="20:21" x14ac:dyDescent="0.3">
      <c r="T1849" t="str">
        <f>IF(ISERROR(MATCH('Analysis backend'!$M$1,E1849:N1849,0)),"",'Analysis backend'!$L$1)</f>
        <v/>
      </c>
      <c r="U1849" t="str">
        <f>IF(T1849='Analysis backend'!$L$1,IF(ISERROR(MATCH('Analysis backend'!$M$1,E1849:I1849,0)),"Dire","Radiant"),"")</f>
        <v/>
      </c>
    </row>
    <row r="1850" spans="20:21" x14ac:dyDescent="0.3">
      <c r="T1850" t="str">
        <f>IF(ISERROR(MATCH('Analysis backend'!$M$1,E1850:N1850,0)),"",'Analysis backend'!$L$1)</f>
        <v/>
      </c>
      <c r="U1850" t="str">
        <f>IF(T1850='Analysis backend'!$L$1,IF(ISERROR(MATCH('Analysis backend'!$M$1,E1850:I1850,0)),"Dire","Radiant"),"")</f>
        <v/>
      </c>
    </row>
    <row r="1851" spans="20:21" x14ac:dyDescent="0.3">
      <c r="T1851" t="str">
        <f>IF(ISERROR(MATCH('Analysis backend'!$M$1,E1851:N1851,0)),"",'Analysis backend'!$L$1)</f>
        <v/>
      </c>
      <c r="U1851" t="str">
        <f>IF(T1851='Analysis backend'!$L$1,IF(ISERROR(MATCH('Analysis backend'!$M$1,E1851:I1851,0)),"Dire","Radiant"),"")</f>
        <v/>
      </c>
    </row>
    <row r="1852" spans="20:21" x14ac:dyDescent="0.3">
      <c r="T1852" t="str">
        <f>IF(ISERROR(MATCH('Analysis backend'!$M$1,E1852:N1852,0)),"",'Analysis backend'!$L$1)</f>
        <v/>
      </c>
      <c r="U1852" t="str">
        <f>IF(T1852='Analysis backend'!$L$1,IF(ISERROR(MATCH('Analysis backend'!$M$1,E1852:I1852,0)),"Dire","Radiant"),"")</f>
        <v/>
      </c>
    </row>
    <row r="1853" spans="20:21" x14ac:dyDescent="0.3">
      <c r="T1853" t="str">
        <f>IF(ISERROR(MATCH('Analysis backend'!$M$1,E1853:N1853,0)),"",'Analysis backend'!$L$1)</f>
        <v/>
      </c>
      <c r="U1853" t="str">
        <f>IF(T1853='Analysis backend'!$L$1,IF(ISERROR(MATCH('Analysis backend'!$M$1,E1853:I1853,0)),"Dire","Radiant"),"")</f>
        <v/>
      </c>
    </row>
    <row r="1854" spans="20:21" x14ac:dyDescent="0.3">
      <c r="T1854" t="str">
        <f>IF(ISERROR(MATCH('Analysis backend'!$M$1,E1854:N1854,0)),"",'Analysis backend'!$L$1)</f>
        <v/>
      </c>
      <c r="U1854" t="str">
        <f>IF(T1854='Analysis backend'!$L$1,IF(ISERROR(MATCH('Analysis backend'!$M$1,E1854:I1854,0)),"Dire","Radiant"),"")</f>
        <v/>
      </c>
    </row>
    <row r="1855" spans="20:21" x14ac:dyDescent="0.3">
      <c r="T1855" t="str">
        <f>IF(ISERROR(MATCH('Analysis backend'!$M$1,E1855:N1855,0)),"",'Analysis backend'!$L$1)</f>
        <v/>
      </c>
      <c r="U1855" t="str">
        <f>IF(T1855='Analysis backend'!$L$1,IF(ISERROR(MATCH('Analysis backend'!$M$1,E1855:I1855,0)),"Dire","Radiant"),"")</f>
        <v/>
      </c>
    </row>
    <row r="1856" spans="20:21" x14ac:dyDescent="0.3">
      <c r="T1856" t="str">
        <f>IF(ISERROR(MATCH('Analysis backend'!$M$1,E1856:N1856,0)),"",'Analysis backend'!$L$1)</f>
        <v/>
      </c>
      <c r="U1856" t="str">
        <f>IF(T1856='Analysis backend'!$L$1,IF(ISERROR(MATCH('Analysis backend'!$M$1,E1856:I1856,0)),"Dire","Radiant"),"")</f>
        <v/>
      </c>
    </row>
    <row r="1857" spans="20:21" x14ac:dyDescent="0.3">
      <c r="T1857" t="str">
        <f>IF(ISERROR(MATCH('Analysis backend'!$M$1,E1857:N1857,0)),"",'Analysis backend'!$L$1)</f>
        <v/>
      </c>
      <c r="U1857" t="str">
        <f>IF(T1857='Analysis backend'!$L$1,IF(ISERROR(MATCH('Analysis backend'!$M$1,E1857:I1857,0)),"Dire","Radiant"),"")</f>
        <v/>
      </c>
    </row>
    <row r="1858" spans="20:21" x14ac:dyDescent="0.3">
      <c r="T1858" t="str">
        <f>IF(ISERROR(MATCH('Analysis backend'!$M$1,E1858:N1858,0)),"",'Analysis backend'!$L$1)</f>
        <v/>
      </c>
      <c r="U1858" t="str">
        <f>IF(T1858='Analysis backend'!$L$1,IF(ISERROR(MATCH('Analysis backend'!$M$1,E1858:I1858,0)),"Dire","Radiant"),"")</f>
        <v/>
      </c>
    </row>
    <row r="1859" spans="20:21" x14ac:dyDescent="0.3">
      <c r="T1859" t="str">
        <f>IF(ISERROR(MATCH('Analysis backend'!$M$1,E1859:N1859,0)),"",'Analysis backend'!$L$1)</f>
        <v/>
      </c>
      <c r="U1859" t="str">
        <f>IF(T1859='Analysis backend'!$L$1,IF(ISERROR(MATCH('Analysis backend'!$M$1,E1859:I1859,0)),"Dire","Radiant"),"")</f>
        <v/>
      </c>
    </row>
    <row r="1860" spans="20:21" x14ac:dyDescent="0.3">
      <c r="T1860" t="str">
        <f>IF(ISERROR(MATCH('Analysis backend'!$M$1,E1860:N1860,0)),"",'Analysis backend'!$L$1)</f>
        <v/>
      </c>
      <c r="U1860" t="str">
        <f>IF(T1860='Analysis backend'!$L$1,IF(ISERROR(MATCH('Analysis backend'!$M$1,E1860:I1860,0)),"Dire","Radiant"),"")</f>
        <v/>
      </c>
    </row>
    <row r="1861" spans="20:21" x14ac:dyDescent="0.3">
      <c r="T1861" t="str">
        <f>IF(ISERROR(MATCH('Analysis backend'!$M$1,E1861:N1861,0)),"",'Analysis backend'!$L$1)</f>
        <v/>
      </c>
      <c r="U1861" t="str">
        <f>IF(T1861='Analysis backend'!$L$1,IF(ISERROR(MATCH('Analysis backend'!$M$1,E1861:I1861,0)),"Dire","Radiant"),"")</f>
        <v/>
      </c>
    </row>
    <row r="1862" spans="20:21" x14ac:dyDescent="0.3">
      <c r="T1862" t="str">
        <f>IF(ISERROR(MATCH('Analysis backend'!$M$1,E1862:N1862,0)),"",'Analysis backend'!$L$1)</f>
        <v/>
      </c>
      <c r="U1862" t="str">
        <f>IF(T1862='Analysis backend'!$L$1,IF(ISERROR(MATCH('Analysis backend'!$M$1,E1862:I1862,0)),"Dire","Radiant"),"")</f>
        <v/>
      </c>
    </row>
    <row r="1863" spans="20:21" x14ac:dyDescent="0.3">
      <c r="T1863" t="str">
        <f>IF(ISERROR(MATCH('Analysis backend'!$M$1,E1863:N1863,0)),"",'Analysis backend'!$L$1)</f>
        <v/>
      </c>
      <c r="U1863" t="str">
        <f>IF(T1863='Analysis backend'!$L$1,IF(ISERROR(MATCH('Analysis backend'!$M$1,E1863:I1863,0)),"Dire","Radiant"),"")</f>
        <v/>
      </c>
    </row>
    <row r="1864" spans="20:21" x14ac:dyDescent="0.3">
      <c r="T1864" t="str">
        <f>IF(ISERROR(MATCH('Analysis backend'!$M$1,E1864:N1864,0)),"",'Analysis backend'!$L$1)</f>
        <v/>
      </c>
      <c r="U1864" t="str">
        <f>IF(T1864='Analysis backend'!$L$1,IF(ISERROR(MATCH('Analysis backend'!$M$1,E1864:I1864,0)),"Dire","Radiant"),"")</f>
        <v/>
      </c>
    </row>
    <row r="1865" spans="20:21" x14ac:dyDescent="0.3">
      <c r="T1865" t="str">
        <f>IF(ISERROR(MATCH('Analysis backend'!$M$1,E1865:N1865,0)),"",'Analysis backend'!$L$1)</f>
        <v/>
      </c>
      <c r="U1865" t="str">
        <f>IF(T1865='Analysis backend'!$L$1,IF(ISERROR(MATCH('Analysis backend'!$M$1,E1865:I1865,0)),"Dire","Radiant"),"")</f>
        <v/>
      </c>
    </row>
    <row r="1866" spans="20:21" x14ac:dyDescent="0.3">
      <c r="T1866" t="str">
        <f>IF(ISERROR(MATCH('Analysis backend'!$M$1,E1866:N1866,0)),"",'Analysis backend'!$L$1)</f>
        <v/>
      </c>
      <c r="U1866" t="str">
        <f>IF(T1866='Analysis backend'!$L$1,IF(ISERROR(MATCH('Analysis backend'!$M$1,E1866:I1866,0)),"Dire","Radiant"),"")</f>
        <v/>
      </c>
    </row>
    <row r="1867" spans="20:21" x14ac:dyDescent="0.3">
      <c r="T1867" t="str">
        <f>IF(ISERROR(MATCH('Analysis backend'!$M$1,E1867:N1867,0)),"",'Analysis backend'!$L$1)</f>
        <v/>
      </c>
      <c r="U1867" t="str">
        <f>IF(T1867='Analysis backend'!$L$1,IF(ISERROR(MATCH('Analysis backend'!$M$1,E1867:I1867,0)),"Dire","Radiant"),"")</f>
        <v/>
      </c>
    </row>
    <row r="1868" spans="20:21" x14ac:dyDescent="0.3">
      <c r="T1868" t="str">
        <f>IF(ISERROR(MATCH('Analysis backend'!$M$1,E1868:N1868,0)),"",'Analysis backend'!$L$1)</f>
        <v/>
      </c>
      <c r="U1868" t="str">
        <f>IF(T1868='Analysis backend'!$L$1,IF(ISERROR(MATCH('Analysis backend'!$M$1,E1868:I1868,0)),"Dire","Radiant"),"")</f>
        <v/>
      </c>
    </row>
    <row r="1869" spans="20:21" x14ac:dyDescent="0.3">
      <c r="T1869" t="str">
        <f>IF(ISERROR(MATCH('Analysis backend'!$M$1,E1869:N1869,0)),"",'Analysis backend'!$L$1)</f>
        <v/>
      </c>
      <c r="U1869" t="str">
        <f>IF(T1869='Analysis backend'!$L$1,IF(ISERROR(MATCH('Analysis backend'!$M$1,E1869:I1869,0)),"Dire","Radiant"),"")</f>
        <v/>
      </c>
    </row>
    <row r="1870" spans="20:21" x14ac:dyDescent="0.3">
      <c r="T1870" t="str">
        <f>IF(ISERROR(MATCH('Analysis backend'!$M$1,E1870:N1870,0)),"",'Analysis backend'!$L$1)</f>
        <v/>
      </c>
      <c r="U1870" t="str">
        <f>IF(T1870='Analysis backend'!$L$1,IF(ISERROR(MATCH('Analysis backend'!$M$1,E1870:I1870,0)),"Dire","Radiant"),"")</f>
        <v/>
      </c>
    </row>
    <row r="1871" spans="20:21" x14ac:dyDescent="0.3">
      <c r="T1871" t="str">
        <f>IF(ISERROR(MATCH('Analysis backend'!$M$1,E1871:N1871,0)),"",'Analysis backend'!$L$1)</f>
        <v/>
      </c>
      <c r="U1871" t="str">
        <f>IF(T1871='Analysis backend'!$L$1,IF(ISERROR(MATCH('Analysis backend'!$M$1,E1871:I1871,0)),"Dire","Radiant"),"")</f>
        <v/>
      </c>
    </row>
    <row r="1872" spans="20:21" x14ac:dyDescent="0.3">
      <c r="T1872" t="str">
        <f>IF(ISERROR(MATCH('Analysis backend'!$M$1,E1872:N1872,0)),"",'Analysis backend'!$L$1)</f>
        <v/>
      </c>
      <c r="U1872" t="str">
        <f>IF(T1872='Analysis backend'!$L$1,IF(ISERROR(MATCH('Analysis backend'!$M$1,E1872:I1872,0)),"Dire","Radiant"),"")</f>
        <v/>
      </c>
    </row>
    <row r="1873" spans="20:21" x14ac:dyDescent="0.3">
      <c r="T1873" t="str">
        <f>IF(ISERROR(MATCH('Analysis backend'!$M$1,E1873:N1873,0)),"",'Analysis backend'!$L$1)</f>
        <v/>
      </c>
      <c r="U1873" t="str">
        <f>IF(T1873='Analysis backend'!$L$1,IF(ISERROR(MATCH('Analysis backend'!$M$1,E1873:I1873,0)),"Dire","Radiant"),"")</f>
        <v/>
      </c>
    </row>
    <row r="1874" spans="20:21" x14ac:dyDescent="0.3">
      <c r="T1874" t="str">
        <f>IF(ISERROR(MATCH('Analysis backend'!$M$1,E1874:N1874,0)),"",'Analysis backend'!$L$1)</f>
        <v/>
      </c>
      <c r="U1874" t="str">
        <f>IF(T1874='Analysis backend'!$L$1,IF(ISERROR(MATCH('Analysis backend'!$M$1,E1874:I1874,0)),"Dire","Radiant"),"")</f>
        <v/>
      </c>
    </row>
    <row r="1875" spans="20:21" x14ac:dyDescent="0.3">
      <c r="T1875" t="str">
        <f>IF(ISERROR(MATCH('Analysis backend'!$M$1,E1875:N1875,0)),"",'Analysis backend'!$L$1)</f>
        <v/>
      </c>
      <c r="U1875" t="str">
        <f>IF(T1875='Analysis backend'!$L$1,IF(ISERROR(MATCH('Analysis backend'!$M$1,E1875:I1875,0)),"Dire","Radiant"),"")</f>
        <v/>
      </c>
    </row>
    <row r="1876" spans="20:21" x14ac:dyDescent="0.3">
      <c r="T1876" t="str">
        <f>IF(ISERROR(MATCH('Analysis backend'!$M$1,E1876:N1876,0)),"",'Analysis backend'!$L$1)</f>
        <v/>
      </c>
      <c r="U1876" t="str">
        <f>IF(T1876='Analysis backend'!$L$1,IF(ISERROR(MATCH('Analysis backend'!$M$1,E1876:I1876,0)),"Dire","Radiant"),"")</f>
        <v/>
      </c>
    </row>
    <row r="1877" spans="20:21" x14ac:dyDescent="0.3">
      <c r="T1877" t="str">
        <f>IF(ISERROR(MATCH('Analysis backend'!$M$1,E1877:N1877,0)),"",'Analysis backend'!$L$1)</f>
        <v/>
      </c>
      <c r="U1877" t="str">
        <f>IF(T1877='Analysis backend'!$L$1,IF(ISERROR(MATCH('Analysis backend'!$M$1,E1877:I1877,0)),"Dire","Radiant"),"")</f>
        <v/>
      </c>
    </row>
    <row r="1878" spans="20:21" x14ac:dyDescent="0.3">
      <c r="T1878" t="str">
        <f>IF(ISERROR(MATCH('Analysis backend'!$M$1,E1878:N1878,0)),"",'Analysis backend'!$L$1)</f>
        <v/>
      </c>
      <c r="U1878" t="str">
        <f>IF(T1878='Analysis backend'!$L$1,IF(ISERROR(MATCH('Analysis backend'!$M$1,E1878:I1878,0)),"Dire","Radiant"),"")</f>
        <v/>
      </c>
    </row>
    <row r="1879" spans="20:21" x14ac:dyDescent="0.3">
      <c r="T1879" t="str">
        <f>IF(ISERROR(MATCH('Analysis backend'!$M$1,E1879:N1879,0)),"",'Analysis backend'!$L$1)</f>
        <v/>
      </c>
      <c r="U1879" t="str">
        <f>IF(T1879='Analysis backend'!$L$1,IF(ISERROR(MATCH('Analysis backend'!$M$1,E1879:I1879,0)),"Dire","Radiant"),"")</f>
        <v/>
      </c>
    </row>
    <row r="1880" spans="20:21" x14ac:dyDescent="0.3">
      <c r="T1880" t="str">
        <f>IF(ISERROR(MATCH('Analysis backend'!$M$1,E1880:N1880,0)),"",'Analysis backend'!$L$1)</f>
        <v/>
      </c>
      <c r="U1880" t="str">
        <f>IF(T1880='Analysis backend'!$L$1,IF(ISERROR(MATCH('Analysis backend'!$M$1,E1880:I1880,0)),"Dire","Radiant"),"")</f>
        <v/>
      </c>
    </row>
    <row r="1881" spans="20:21" x14ac:dyDescent="0.3">
      <c r="T1881" t="str">
        <f>IF(ISERROR(MATCH('Analysis backend'!$M$1,E1881:N1881,0)),"",'Analysis backend'!$L$1)</f>
        <v/>
      </c>
      <c r="U1881" t="str">
        <f>IF(T1881='Analysis backend'!$L$1,IF(ISERROR(MATCH('Analysis backend'!$M$1,E1881:I1881,0)),"Dire","Radiant"),"")</f>
        <v/>
      </c>
    </row>
    <row r="1882" spans="20:21" x14ac:dyDescent="0.3">
      <c r="T1882" t="str">
        <f>IF(ISERROR(MATCH('Analysis backend'!$M$1,E1882:N1882,0)),"",'Analysis backend'!$L$1)</f>
        <v/>
      </c>
      <c r="U1882" t="str">
        <f>IF(T1882='Analysis backend'!$L$1,IF(ISERROR(MATCH('Analysis backend'!$M$1,E1882:I1882,0)),"Dire","Radiant"),"")</f>
        <v/>
      </c>
    </row>
    <row r="1883" spans="20:21" x14ac:dyDescent="0.3">
      <c r="T1883" t="str">
        <f>IF(ISERROR(MATCH('Analysis backend'!$M$1,E1883:N1883,0)),"",'Analysis backend'!$L$1)</f>
        <v/>
      </c>
      <c r="U1883" t="str">
        <f>IF(T1883='Analysis backend'!$L$1,IF(ISERROR(MATCH('Analysis backend'!$M$1,E1883:I1883,0)),"Dire","Radiant"),"")</f>
        <v/>
      </c>
    </row>
    <row r="1884" spans="20:21" x14ac:dyDescent="0.3">
      <c r="T1884" t="str">
        <f>IF(ISERROR(MATCH('Analysis backend'!$M$1,E1884:N1884,0)),"",'Analysis backend'!$L$1)</f>
        <v/>
      </c>
      <c r="U1884" t="str">
        <f>IF(T1884='Analysis backend'!$L$1,IF(ISERROR(MATCH('Analysis backend'!$M$1,E1884:I1884,0)),"Dire","Radiant"),"")</f>
        <v/>
      </c>
    </row>
    <row r="1885" spans="20:21" x14ac:dyDescent="0.3">
      <c r="T1885" t="str">
        <f>IF(ISERROR(MATCH('Analysis backend'!$M$1,E1885:N1885,0)),"",'Analysis backend'!$L$1)</f>
        <v/>
      </c>
      <c r="U1885" t="str">
        <f>IF(T1885='Analysis backend'!$L$1,IF(ISERROR(MATCH('Analysis backend'!$M$1,E1885:I1885,0)),"Dire","Radiant"),"")</f>
        <v/>
      </c>
    </row>
    <row r="1886" spans="20:21" x14ac:dyDescent="0.3">
      <c r="T1886" t="str">
        <f>IF(ISERROR(MATCH('Analysis backend'!$M$1,E1886:N1886,0)),"",'Analysis backend'!$L$1)</f>
        <v/>
      </c>
      <c r="U1886" t="str">
        <f>IF(T1886='Analysis backend'!$L$1,IF(ISERROR(MATCH('Analysis backend'!$M$1,E1886:I1886,0)),"Dire","Radiant"),"")</f>
        <v/>
      </c>
    </row>
    <row r="1887" spans="20:21" x14ac:dyDescent="0.3">
      <c r="T1887" t="str">
        <f>IF(ISERROR(MATCH('Analysis backend'!$M$1,E1887:N1887,0)),"",'Analysis backend'!$L$1)</f>
        <v/>
      </c>
      <c r="U1887" t="str">
        <f>IF(T1887='Analysis backend'!$L$1,IF(ISERROR(MATCH('Analysis backend'!$M$1,E1887:I1887,0)),"Dire","Radiant"),"")</f>
        <v/>
      </c>
    </row>
    <row r="1888" spans="20:21" x14ac:dyDescent="0.3">
      <c r="T1888" t="str">
        <f>IF(ISERROR(MATCH('Analysis backend'!$M$1,E1888:N1888,0)),"",'Analysis backend'!$L$1)</f>
        <v/>
      </c>
      <c r="U1888" t="str">
        <f>IF(T1888='Analysis backend'!$L$1,IF(ISERROR(MATCH('Analysis backend'!$M$1,E1888:I1888,0)),"Dire","Radiant"),"")</f>
        <v/>
      </c>
    </row>
    <row r="1889" spans="20:21" x14ac:dyDescent="0.3">
      <c r="T1889" t="str">
        <f>IF(ISERROR(MATCH('Analysis backend'!$M$1,E1889:N1889,0)),"",'Analysis backend'!$L$1)</f>
        <v/>
      </c>
      <c r="U1889" t="str">
        <f>IF(T1889='Analysis backend'!$L$1,IF(ISERROR(MATCH('Analysis backend'!$M$1,E1889:I1889,0)),"Dire","Radiant"),"")</f>
        <v/>
      </c>
    </row>
    <row r="1890" spans="20:21" x14ac:dyDescent="0.3">
      <c r="T1890" t="str">
        <f>IF(ISERROR(MATCH('Analysis backend'!$M$1,E1890:N1890,0)),"",'Analysis backend'!$L$1)</f>
        <v/>
      </c>
      <c r="U1890" t="str">
        <f>IF(T1890='Analysis backend'!$L$1,IF(ISERROR(MATCH('Analysis backend'!$M$1,E1890:I1890,0)),"Dire","Radiant"),"")</f>
        <v/>
      </c>
    </row>
    <row r="1891" spans="20:21" x14ac:dyDescent="0.3">
      <c r="T1891" t="str">
        <f>IF(ISERROR(MATCH('Analysis backend'!$M$1,E1891:N1891,0)),"",'Analysis backend'!$L$1)</f>
        <v/>
      </c>
      <c r="U1891" t="str">
        <f>IF(T1891='Analysis backend'!$L$1,IF(ISERROR(MATCH('Analysis backend'!$M$1,E1891:I1891,0)),"Dire","Radiant"),"")</f>
        <v/>
      </c>
    </row>
    <row r="1892" spans="20:21" x14ac:dyDescent="0.3">
      <c r="T1892" t="str">
        <f>IF(ISERROR(MATCH('Analysis backend'!$M$1,E1892:N1892,0)),"",'Analysis backend'!$L$1)</f>
        <v/>
      </c>
      <c r="U1892" t="str">
        <f>IF(T1892='Analysis backend'!$L$1,IF(ISERROR(MATCH('Analysis backend'!$M$1,E1892:I1892,0)),"Dire","Radiant"),"")</f>
        <v/>
      </c>
    </row>
    <row r="1893" spans="20:21" x14ac:dyDescent="0.3">
      <c r="T1893" t="str">
        <f>IF(ISERROR(MATCH('Analysis backend'!$M$1,E1893:N1893,0)),"",'Analysis backend'!$L$1)</f>
        <v/>
      </c>
      <c r="U1893" t="str">
        <f>IF(T1893='Analysis backend'!$L$1,IF(ISERROR(MATCH('Analysis backend'!$M$1,E1893:I1893,0)),"Dire","Radiant"),"")</f>
        <v/>
      </c>
    </row>
    <row r="1894" spans="20:21" x14ac:dyDescent="0.3">
      <c r="T1894" t="str">
        <f>IF(ISERROR(MATCH('Analysis backend'!$M$1,E1894:N1894,0)),"",'Analysis backend'!$L$1)</f>
        <v/>
      </c>
      <c r="U1894" t="str">
        <f>IF(T1894='Analysis backend'!$L$1,IF(ISERROR(MATCH('Analysis backend'!$M$1,E1894:I1894,0)),"Dire","Radiant"),"")</f>
        <v/>
      </c>
    </row>
    <row r="1895" spans="20:21" x14ac:dyDescent="0.3">
      <c r="T1895" t="str">
        <f>IF(ISERROR(MATCH('Analysis backend'!$M$1,E1895:N1895,0)),"",'Analysis backend'!$L$1)</f>
        <v/>
      </c>
      <c r="U1895" t="str">
        <f>IF(T1895='Analysis backend'!$L$1,IF(ISERROR(MATCH('Analysis backend'!$M$1,E1895:I1895,0)),"Dire","Radiant"),"")</f>
        <v/>
      </c>
    </row>
    <row r="1896" spans="20:21" x14ac:dyDescent="0.3">
      <c r="T1896" t="str">
        <f>IF(ISERROR(MATCH('Analysis backend'!$M$1,E1896:N1896,0)),"",'Analysis backend'!$L$1)</f>
        <v/>
      </c>
      <c r="U1896" t="str">
        <f>IF(T1896='Analysis backend'!$L$1,IF(ISERROR(MATCH('Analysis backend'!$M$1,E1896:I1896,0)),"Dire","Radiant"),"")</f>
        <v/>
      </c>
    </row>
    <row r="1897" spans="20:21" x14ac:dyDescent="0.3">
      <c r="T1897" t="str">
        <f>IF(ISERROR(MATCH('Analysis backend'!$M$1,E1897:N1897,0)),"",'Analysis backend'!$L$1)</f>
        <v/>
      </c>
      <c r="U1897" t="str">
        <f>IF(T1897='Analysis backend'!$L$1,IF(ISERROR(MATCH('Analysis backend'!$M$1,E1897:I1897,0)),"Dire","Radiant"),"")</f>
        <v/>
      </c>
    </row>
    <row r="1898" spans="20:21" x14ac:dyDescent="0.3">
      <c r="T1898" t="str">
        <f>IF(ISERROR(MATCH('Analysis backend'!$M$1,E1898:N1898,0)),"",'Analysis backend'!$L$1)</f>
        <v/>
      </c>
      <c r="U1898" t="str">
        <f>IF(T1898='Analysis backend'!$L$1,IF(ISERROR(MATCH('Analysis backend'!$M$1,E1898:I1898,0)),"Dire","Radiant"),"")</f>
        <v/>
      </c>
    </row>
    <row r="1899" spans="20:21" x14ac:dyDescent="0.3">
      <c r="T1899" t="str">
        <f>IF(ISERROR(MATCH('Analysis backend'!$M$1,E1899:N1899,0)),"",'Analysis backend'!$L$1)</f>
        <v/>
      </c>
      <c r="U1899" t="str">
        <f>IF(T1899='Analysis backend'!$L$1,IF(ISERROR(MATCH('Analysis backend'!$M$1,E1899:I1899,0)),"Dire","Radiant"),"")</f>
        <v/>
      </c>
    </row>
    <row r="1900" spans="20:21" x14ac:dyDescent="0.3">
      <c r="T1900" t="str">
        <f>IF(ISERROR(MATCH('Analysis backend'!$M$1,E1900:N1900,0)),"",'Analysis backend'!$L$1)</f>
        <v/>
      </c>
      <c r="U1900" t="str">
        <f>IF(T1900='Analysis backend'!$L$1,IF(ISERROR(MATCH('Analysis backend'!$M$1,E1900:I1900,0)),"Dire","Radiant"),"")</f>
        <v/>
      </c>
    </row>
    <row r="1901" spans="20:21" x14ac:dyDescent="0.3">
      <c r="T1901" t="str">
        <f>IF(ISERROR(MATCH('Analysis backend'!$M$1,E1901:N1901,0)),"",'Analysis backend'!$L$1)</f>
        <v/>
      </c>
      <c r="U1901" t="str">
        <f>IF(T1901='Analysis backend'!$L$1,IF(ISERROR(MATCH('Analysis backend'!$M$1,E1901:I1901,0)),"Dire","Radiant"),"")</f>
        <v/>
      </c>
    </row>
    <row r="1902" spans="20:21" x14ac:dyDescent="0.3">
      <c r="T1902" t="str">
        <f>IF(ISERROR(MATCH('Analysis backend'!$M$1,E1902:N1902,0)),"",'Analysis backend'!$L$1)</f>
        <v/>
      </c>
      <c r="U1902" t="str">
        <f>IF(T1902='Analysis backend'!$L$1,IF(ISERROR(MATCH('Analysis backend'!$M$1,E1902:I1902,0)),"Dire","Radiant"),"")</f>
        <v/>
      </c>
    </row>
    <row r="1903" spans="20:21" x14ac:dyDescent="0.3">
      <c r="T1903" t="str">
        <f>IF(ISERROR(MATCH('Analysis backend'!$M$1,E1903:N1903,0)),"",'Analysis backend'!$L$1)</f>
        <v/>
      </c>
      <c r="U1903" t="str">
        <f>IF(T1903='Analysis backend'!$L$1,IF(ISERROR(MATCH('Analysis backend'!$M$1,E1903:I1903,0)),"Dire","Radiant"),"")</f>
        <v/>
      </c>
    </row>
    <row r="1904" spans="20:21" x14ac:dyDescent="0.3">
      <c r="T1904" t="str">
        <f>IF(ISERROR(MATCH('Analysis backend'!$M$1,E1904:N1904,0)),"",'Analysis backend'!$L$1)</f>
        <v/>
      </c>
      <c r="U1904" t="str">
        <f>IF(T1904='Analysis backend'!$L$1,IF(ISERROR(MATCH('Analysis backend'!$M$1,E1904:I1904,0)),"Dire","Radiant"),"")</f>
        <v/>
      </c>
    </row>
    <row r="1905" spans="20:21" x14ac:dyDescent="0.3">
      <c r="T1905" t="str">
        <f>IF(ISERROR(MATCH('Analysis backend'!$M$1,E1905:N1905,0)),"",'Analysis backend'!$L$1)</f>
        <v/>
      </c>
      <c r="U1905" t="str">
        <f>IF(T1905='Analysis backend'!$L$1,IF(ISERROR(MATCH('Analysis backend'!$M$1,E1905:I1905,0)),"Dire","Radiant"),"")</f>
        <v/>
      </c>
    </row>
    <row r="1906" spans="20:21" x14ac:dyDescent="0.3">
      <c r="T1906" t="str">
        <f>IF(ISERROR(MATCH('Analysis backend'!$M$1,E1906:N1906,0)),"",'Analysis backend'!$L$1)</f>
        <v/>
      </c>
      <c r="U1906" t="str">
        <f>IF(T1906='Analysis backend'!$L$1,IF(ISERROR(MATCH('Analysis backend'!$M$1,E1906:I1906,0)),"Dire","Radiant"),"")</f>
        <v/>
      </c>
    </row>
    <row r="1907" spans="20:21" x14ac:dyDescent="0.3">
      <c r="T1907" t="str">
        <f>IF(ISERROR(MATCH('Analysis backend'!$M$1,E1907:N1907,0)),"",'Analysis backend'!$L$1)</f>
        <v/>
      </c>
      <c r="U1907" t="str">
        <f>IF(T1907='Analysis backend'!$L$1,IF(ISERROR(MATCH('Analysis backend'!$M$1,E1907:I1907,0)),"Dire","Radiant"),"")</f>
        <v/>
      </c>
    </row>
    <row r="1908" spans="20:21" x14ac:dyDescent="0.3">
      <c r="T1908" t="str">
        <f>IF(ISERROR(MATCH('Analysis backend'!$M$1,E1908:N1908,0)),"",'Analysis backend'!$L$1)</f>
        <v/>
      </c>
      <c r="U1908" t="str">
        <f>IF(T1908='Analysis backend'!$L$1,IF(ISERROR(MATCH('Analysis backend'!$M$1,E1908:I1908,0)),"Dire","Radiant"),"")</f>
        <v/>
      </c>
    </row>
    <row r="1909" spans="20:21" x14ac:dyDescent="0.3">
      <c r="T1909" t="str">
        <f>IF(ISERROR(MATCH('Analysis backend'!$M$1,E1909:N1909,0)),"",'Analysis backend'!$L$1)</f>
        <v/>
      </c>
      <c r="U1909" t="str">
        <f>IF(T1909='Analysis backend'!$L$1,IF(ISERROR(MATCH('Analysis backend'!$M$1,E1909:I1909,0)),"Dire","Radiant"),"")</f>
        <v/>
      </c>
    </row>
    <row r="1910" spans="20:21" x14ac:dyDescent="0.3">
      <c r="T1910" t="str">
        <f>IF(ISERROR(MATCH('Analysis backend'!$M$1,E1910:N1910,0)),"",'Analysis backend'!$L$1)</f>
        <v/>
      </c>
      <c r="U1910" t="str">
        <f>IF(T1910='Analysis backend'!$L$1,IF(ISERROR(MATCH('Analysis backend'!$M$1,E1910:I1910,0)),"Dire","Radiant"),"")</f>
        <v/>
      </c>
    </row>
    <row r="1911" spans="20:21" x14ac:dyDescent="0.3">
      <c r="T1911" t="str">
        <f>IF(ISERROR(MATCH('Analysis backend'!$M$1,E1911:N1911,0)),"",'Analysis backend'!$L$1)</f>
        <v/>
      </c>
      <c r="U1911" t="str">
        <f>IF(T1911='Analysis backend'!$L$1,IF(ISERROR(MATCH('Analysis backend'!$M$1,E1911:I1911,0)),"Dire","Radiant"),"")</f>
        <v/>
      </c>
    </row>
    <row r="1912" spans="20:21" x14ac:dyDescent="0.3">
      <c r="T1912" t="str">
        <f>IF(ISERROR(MATCH('Analysis backend'!$M$1,E1912:N1912,0)),"",'Analysis backend'!$L$1)</f>
        <v/>
      </c>
      <c r="U1912" t="str">
        <f>IF(T1912='Analysis backend'!$L$1,IF(ISERROR(MATCH('Analysis backend'!$M$1,E1912:I1912,0)),"Dire","Radiant"),"")</f>
        <v/>
      </c>
    </row>
    <row r="1913" spans="20:21" x14ac:dyDescent="0.3">
      <c r="T1913" t="str">
        <f>IF(ISERROR(MATCH('Analysis backend'!$M$1,E1913:N1913,0)),"",'Analysis backend'!$L$1)</f>
        <v/>
      </c>
      <c r="U1913" t="str">
        <f>IF(T1913='Analysis backend'!$L$1,IF(ISERROR(MATCH('Analysis backend'!$M$1,E1913:I1913,0)),"Dire","Radiant"),"")</f>
        <v/>
      </c>
    </row>
    <row r="1914" spans="20:21" x14ac:dyDescent="0.3">
      <c r="T1914" t="str">
        <f>IF(ISERROR(MATCH('Analysis backend'!$M$1,E1914:N1914,0)),"",'Analysis backend'!$L$1)</f>
        <v/>
      </c>
      <c r="U1914" t="str">
        <f>IF(T1914='Analysis backend'!$L$1,IF(ISERROR(MATCH('Analysis backend'!$M$1,E1914:I1914,0)),"Dire","Radiant"),"")</f>
        <v/>
      </c>
    </row>
    <row r="1915" spans="20:21" x14ac:dyDescent="0.3">
      <c r="T1915" t="str">
        <f>IF(ISERROR(MATCH('Analysis backend'!$M$1,E1915:N1915,0)),"",'Analysis backend'!$L$1)</f>
        <v/>
      </c>
      <c r="U1915" t="str">
        <f>IF(T1915='Analysis backend'!$L$1,IF(ISERROR(MATCH('Analysis backend'!$M$1,E1915:I1915,0)),"Dire","Radiant"),"")</f>
        <v/>
      </c>
    </row>
    <row r="1916" spans="20:21" x14ac:dyDescent="0.3">
      <c r="T1916" t="str">
        <f>IF(ISERROR(MATCH('Analysis backend'!$M$1,E1916:N1916,0)),"",'Analysis backend'!$L$1)</f>
        <v/>
      </c>
      <c r="U1916" t="str">
        <f>IF(T1916='Analysis backend'!$L$1,IF(ISERROR(MATCH('Analysis backend'!$M$1,E1916:I1916,0)),"Dire","Radiant"),"")</f>
        <v/>
      </c>
    </row>
    <row r="1917" spans="20:21" x14ac:dyDescent="0.3">
      <c r="T1917" t="str">
        <f>IF(ISERROR(MATCH('Analysis backend'!$M$1,E1917:N1917,0)),"",'Analysis backend'!$L$1)</f>
        <v/>
      </c>
      <c r="U1917" t="str">
        <f>IF(T1917='Analysis backend'!$L$1,IF(ISERROR(MATCH('Analysis backend'!$M$1,E1917:I1917,0)),"Dire","Radiant"),"")</f>
        <v/>
      </c>
    </row>
    <row r="1918" spans="20:21" x14ac:dyDescent="0.3">
      <c r="T1918" t="str">
        <f>IF(ISERROR(MATCH('Analysis backend'!$M$1,E1918:N1918,0)),"",'Analysis backend'!$L$1)</f>
        <v/>
      </c>
      <c r="U1918" t="str">
        <f>IF(T1918='Analysis backend'!$L$1,IF(ISERROR(MATCH('Analysis backend'!$M$1,E1918:I1918,0)),"Dire","Radiant"),"")</f>
        <v/>
      </c>
    </row>
    <row r="1919" spans="20:21" x14ac:dyDescent="0.3">
      <c r="T1919" t="str">
        <f>IF(ISERROR(MATCH('Analysis backend'!$M$1,E1919:N1919,0)),"",'Analysis backend'!$L$1)</f>
        <v/>
      </c>
      <c r="U1919" t="str">
        <f>IF(T1919='Analysis backend'!$L$1,IF(ISERROR(MATCH('Analysis backend'!$M$1,E1919:I1919,0)),"Dire","Radiant"),"")</f>
        <v/>
      </c>
    </row>
    <row r="1920" spans="20:21" x14ac:dyDescent="0.3">
      <c r="T1920" t="str">
        <f>IF(ISERROR(MATCH('Analysis backend'!$M$1,E1920:N1920,0)),"",'Analysis backend'!$L$1)</f>
        <v/>
      </c>
      <c r="U1920" t="str">
        <f>IF(T1920='Analysis backend'!$L$1,IF(ISERROR(MATCH('Analysis backend'!$M$1,E1920:I1920,0)),"Dire","Radiant"),"")</f>
        <v/>
      </c>
    </row>
    <row r="1921" spans="20:21" x14ac:dyDescent="0.3">
      <c r="T1921" t="str">
        <f>IF(ISERROR(MATCH('Analysis backend'!$M$1,E1921:N1921,0)),"",'Analysis backend'!$L$1)</f>
        <v/>
      </c>
      <c r="U1921" t="str">
        <f>IF(T1921='Analysis backend'!$L$1,IF(ISERROR(MATCH('Analysis backend'!$M$1,E1921:I1921,0)),"Dire","Radiant"),"")</f>
        <v/>
      </c>
    </row>
    <row r="1922" spans="20:21" x14ac:dyDescent="0.3">
      <c r="T1922" t="str">
        <f>IF(ISERROR(MATCH('Analysis backend'!$M$1,E1922:N1922,0)),"",'Analysis backend'!$L$1)</f>
        <v/>
      </c>
      <c r="U1922" t="str">
        <f>IF(T1922='Analysis backend'!$L$1,IF(ISERROR(MATCH('Analysis backend'!$M$1,E1922:I1922,0)),"Dire","Radiant"),"")</f>
        <v/>
      </c>
    </row>
    <row r="1923" spans="20:21" x14ac:dyDescent="0.3">
      <c r="T1923" t="str">
        <f>IF(ISERROR(MATCH('Analysis backend'!$M$1,E1923:N1923,0)),"",'Analysis backend'!$L$1)</f>
        <v/>
      </c>
      <c r="U1923" t="str">
        <f>IF(T1923='Analysis backend'!$L$1,IF(ISERROR(MATCH('Analysis backend'!$M$1,E1923:I1923,0)),"Dire","Radiant"),"")</f>
        <v/>
      </c>
    </row>
    <row r="1924" spans="20:21" x14ac:dyDescent="0.3">
      <c r="T1924" t="str">
        <f>IF(ISERROR(MATCH('Analysis backend'!$M$1,E1924:N1924,0)),"",'Analysis backend'!$L$1)</f>
        <v/>
      </c>
      <c r="U1924" t="str">
        <f>IF(T1924='Analysis backend'!$L$1,IF(ISERROR(MATCH('Analysis backend'!$M$1,E1924:I1924,0)),"Dire","Radiant"),"")</f>
        <v/>
      </c>
    </row>
    <row r="1925" spans="20:21" x14ac:dyDescent="0.3">
      <c r="T1925" t="str">
        <f>IF(ISERROR(MATCH('Analysis backend'!$M$1,E1925:N1925,0)),"",'Analysis backend'!$L$1)</f>
        <v/>
      </c>
      <c r="U1925" t="str">
        <f>IF(T1925='Analysis backend'!$L$1,IF(ISERROR(MATCH('Analysis backend'!$M$1,E1925:I1925,0)),"Dire","Radiant"),"")</f>
        <v/>
      </c>
    </row>
    <row r="1926" spans="20:21" x14ac:dyDescent="0.3">
      <c r="T1926" t="str">
        <f>IF(ISERROR(MATCH('Analysis backend'!$M$1,E1926:N1926,0)),"",'Analysis backend'!$L$1)</f>
        <v/>
      </c>
      <c r="U1926" t="str">
        <f>IF(T1926='Analysis backend'!$L$1,IF(ISERROR(MATCH('Analysis backend'!$M$1,E1926:I1926,0)),"Dire","Radiant"),"")</f>
        <v/>
      </c>
    </row>
    <row r="1927" spans="20:21" x14ac:dyDescent="0.3">
      <c r="T1927" t="str">
        <f>IF(ISERROR(MATCH('Analysis backend'!$M$1,E1927:N1927,0)),"",'Analysis backend'!$L$1)</f>
        <v/>
      </c>
      <c r="U1927" t="str">
        <f>IF(T1927='Analysis backend'!$L$1,IF(ISERROR(MATCH('Analysis backend'!$M$1,E1927:I1927,0)),"Dire","Radiant"),"")</f>
        <v/>
      </c>
    </row>
    <row r="1928" spans="20:21" x14ac:dyDescent="0.3">
      <c r="T1928" t="str">
        <f>IF(ISERROR(MATCH('Analysis backend'!$M$1,E1928:N1928,0)),"",'Analysis backend'!$L$1)</f>
        <v/>
      </c>
      <c r="U1928" t="str">
        <f>IF(T1928='Analysis backend'!$L$1,IF(ISERROR(MATCH('Analysis backend'!$M$1,E1928:I1928,0)),"Dire","Radiant"),"")</f>
        <v/>
      </c>
    </row>
    <row r="1929" spans="20:21" x14ac:dyDescent="0.3">
      <c r="T1929" t="str">
        <f>IF(ISERROR(MATCH('Analysis backend'!$M$1,E1929:N1929,0)),"",'Analysis backend'!$L$1)</f>
        <v/>
      </c>
      <c r="U1929" t="str">
        <f>IF(T1929='Analysis backend'!$L$1,IF(ISERROR(MATCH('Analysis backend'!$M$1,E1929:I1929,0)),"Dire","Radiant"),"")</f>
        <v/>
      </c>
    </row>
    <row r="1930" spans="20:21" x14ac:dyDescent="0.3">
      <c r="T1930" t="str">
        <f>IF(ISERROR(MATCH('Analysis backend'!$M$1,E1930:N1930,0)),"",'Analysis backend'!$L$1)</f>
        <v/>
      </c>
      <c r="U1930" t="str">
        <f>IF(T1930='Analysis backend'!$L$1,IF(ISERROR(MATCH('Analysis backend'!$M$1,E1930:I1930,0)),"Dire","Radiant"),"")</f>
        <v/>
      </c>
    </row>
    <row r="1931" spans="20:21" x14ac:dyDescent="0.3">
      <c r="T1931" t="str">
        <f>IF(ISERROR(MATCH('Analysis backend'!$M$1,E1931:N1931,0)),"",'Analysis backend'!$L$1)</f>
        <v/>
      </c>
      <c r="U1931" t="str">
        <f>IF(T1931='Analysis backend'!$L$1,IF(ISERROR(MATCH('Analysis backend'!$M$1,E1931:I1931,0)),"Dire","Radiant"),"")</f>
        <v/>
      </c>
    </row>
    <row r="1932" spans="20:21" x14ac:dyDescent="0.3">
      <c r="T1932" t="str">
        <f>IF(ISERROR(MATCH('Analysis backend'!$M$1,E1932:N1932,0)),"",'Analysis backend'!$L$1)</f>
        <v/>
      </c>
      <c r="U1932" t="str">
        <f>IF(T1932='Analysis backend'!$L$1,IF(ISERROR(MATCH('Analysis backend'!$M$1,E1932:I1932,0)),"Dire","Radiant"),"")</f>
        <v/>
      </c>
    </row>
    <row r="1933" spans="20:21" x14ac:dyDescent="0.3">
      <c r="T1933" t="str">
        <f>IF(ISERROR(MATCH('Analysis backend'!$M$1,E1933:N1933,0)),"",'Analysis backend'!$L$1)</f>
        <v/>
      </c>
      <c r="U1933" t="str">
        <f>IF(T1933='Analysis backend'!$L$1,IF(ISERROR(MATCH('Analysis backend'!$M$1,E1933:I1933,0)),"Dire","Radiant"),"")</f>
        <v/>
      </c>
    </row>
    <row r="1934" spans="20:21" x14ac:dyDescent="0.3">
      <c r="T1934" t="str">
        <f>IF(ISERROR(MATCH('Analysis backend'!$M$1,E1934:N1934,0)),"",'Analysis backend'!$L$1)</f>
        <v/>
      </c>
      <c r="U1934" t="str">
        <f>IF(T1934='Analysis backend'!$L$1,IF(ISERROR(MATCH('Analysis backend'!$M$1,E1934:I1934,0)),"Dire","Radiant"),"")</f>
        <v/>
      </c>
    </row>
    <row r="1935" spans="20:21" x14ac:dyDescent="0.3">
      <c r="T1935" t="str">
        <f>IF(ISERROR(MATCH('Analysis backend'!$M$1,E1935:N1935,0)),"",'Analysis backend'!$L$1)</f>
        <v/>
      </c>
      <c r="U1935" t="str">
        <f>IF(T1935='Analysis backend'!$L$1,IF(ISERROR(MATCH('Analysis backend'!$M$1,E1935:I1935,0)),"Dire","Radiant"),"")</f>
        <v/>
      </c>
    </row>
    <row r="1936" spans="20:21" x14ac:dyDescent="0.3">
      <c r="T1936" t="str">
        <f>IF(ISERROR(MATCH('Analysis backend'!$M$1,E1936:N1936,0)),"",'Analysis backend'!$L$1)</f>
        <v/>
      </c>
      <c r="U1936" t="str">
        <f>IF(T1936='Analysis backend'!$L$1,IF(ISERROR(MATCH('Analysis backend'!$M$1,E1936:I1936,0)),"Dire","Radiant"),"")</f>
        <v/>
      </c>
    </row>
    <row r="1937" spans="20:21" x14ac:dyDescent="0.3">
      <c r="T1937" t="str">
        <f>IF(ISERROR(MATCH('Analysis backend'!$M$1,E1937:N1937,0)),"",'Analysis backend'!$L$1)</f>
        <v/>
      </c>
      <c r="U1937" t="str">
        <f>IF(T1937='Analysis backend'!$L$1,IF(ISERROR(MATCH('Analysis backend'!$M$1,E1937:I1937,0)),"Dire","Radiant"),"")</f>
        <v/>
      </c>
    </row>
    <row r="1938" spans="20:21" x14ac:dyDescent="0.3">
      <c r="T1938" t="str">
        <f>IF(ISERROR(MATCH('Analysis backend'!$M$1,E1938:N1938,0)),"",'Analysis backend'!$L$1)</f>
        <v/>
      </c>
      <c r="U1938" t="str">
        <f>IF(T1938='Analysis backend'!$L$1,IF(ISERROR(MATCH('Analysis backend'!$M$1,E1938:I1938,0)),"Dire","Radiant"),"")</f>
        <v/>
      </c>
    </row>
    <row r="1939" spans="20:21" x14ac:dyDescent="0.3">
      <c r="T1939" t="str">
        <f>IF(ISERROR(MATCH('Analysis backend'!$M$1,E1939:N1939,0)),"",'Analysis backend'!$L$1)</f>
        <v/>
      </c>
      <c r="U1939" t="str">
        <f>IF(T1939='Analysis backend'!$L$1,IF(ISERROR(MATCH('Analysis backend'!$M$1,E1939:I1939,0)),"Dire","Radiant"),"")</f>
        <v/>
      </c>
    </row>
    <row r="1940" spans="20:21" x14ac:dyDescent="0.3">
      <c r="T1940" t="str">
        <f>IF(ISERROR(MATCH('Analysis backend'!$M$1,E1940:N1940,0)),"",'Analysis backend'!$L$1)</f>
        <v/>
      </c>
      <c r="U1940" t="str">
        <f>IF(T1940='Analysis backend'!$L$1,IF(ISERROR(MATCH('Analysis backend'!$M$1,E1940:I1940,0)),"Dire","Radiant"),"")</f>
        <v/>
      </c>
    </row>
    <row r="1941" spans="20:21" x14ac:dyDescent="0.3">
      <c r="T1941" t="str">
        <f>IF(ISERROR(MATCH('Analysis backend'!$M$1,E1941:N1941,0)),"",'Analysis backend'!$L$1)</f>
        <v/>
      </c>
      <c r="U1941" t="str">
        <f>IF(T1941='Analysis backend'!$L$1,IF(ISERROR(MATCH('Analysis backend'!$M$1,E1941:I1941,0)),"Dire","Radiant"),"")</f>
        <v/>
      </c>
    </row>
    <row r="1942" spans="20:21" x14ac:dyDescent="0.3">
      <c r="T1942" t="str">
        <f>IF(ISERROR(MATCH('Analysis backend'!$M$1,E1942:N1942,0)),"",'Analysis backend'!$L$1)</f>
        <v/>
      </c>
      <c r="U1942" t="str">
        <f>IF(T1942='Analysis backend'!$L$1,IF(ISERROR(MATCH('Analysis backend'!$M$1,E1942:I1942,0)),"Dire","Radiant"),"")</f>
        <v/>
      </c>
    </row>
    <row r="1943" spans="20:21" x14ac:dyDescent="0.3">
      <c r="T1943" t="str">
        <f>IF(ISERROR(MATCH('Analysis backend'!$M$1,E1943:N1943,0)),"",'Analysis backend'!$L$1)</f>
        <v/>
      </c>
      <c r="U1943" t="str">
        <f>IF(T1943='Analysis backend'!$L$1,IF(ISERROR(MATCH('Analysis backend'!$M$1,E1943:I1943,0)),"Dire","Radiant"),"")</f>
        <v/>
      </c>
    </row>
    <row r="1944" spans="20:21" x14ac:dyDescent="0.3">
      <c r="T1944" t="str">
        <f>IF(ISERROR(MATCH('Analysis backend'!$M$1,E1944:N1944,0)),"",'Analysis backend'!$L$1)</f>
        <v/>
      </c>
      <c r="U1944" t="str">
        <f>IF(T1944='Analysis backend'!$L$1,IF(ISERROR(MATCH('Analysis backend'!$M$1,E1944:I1944,0)),"Dire","Radiant"),"")</f>
        <v/>
      </c>
    </row>
    <row r="1945" spans="20:21" x14ac:dyDescent="0.3">
      <c r="T1945" t="str">
        <f>IF(ISERROR(MATCH('Analysis backend'!$M$1,E1945:N1945,0)),"",'Analysis backend'!$L$1)</f>
        <v/>
      </c>
      <c r="U1945" t="str">
        <f>IF(T1945='Analysis backend'!$L$1,IF(ISERROR(MATCH('Analysis backend'!$M$1,E1945:I1945,0)),"Dire","Radiant"),"")</f>
        <v/>
      </c>
    </row>
    <row r="1946" spans="20:21" x14ac:dyDescent="0.3">
      <c r="T1946" t="str">
        <f>IF(ISERROR(MATCH('Analysis backend'!$M$1,E1946:N1946,0)),"",'Analysis backend'!$L$1)</f>
        <v/>
      </c>
      <c r="U1946" t="str">
        <f>IF(T1946='Analysis backend'!$L$1,IF(ISERROR(MATCH('Analysis backend'!$M$1,E1946:I1946,0)),"Dire","Radiant"),"")</f>
        <v/>
      </c>
    </row>
    <row r="1947" spans="20:21" x14ac:dyDescent="0.3">
      <c r="T1947" t="str">
        <f>IF(ISERROR(MATCH('Analysis backend'!$M$1,E1947:N1947,0)),"",'Analysis backend'!$L$1)</f>
        <v/>
      </c>
      <c r="U1947" t="str">
        <f>IF(T1947='Analysis backend'!$L$1,IF(ISERROR(MATCH('Analysis backend'!$M$1,E1947:I1947,0)),"Dire","Radiant"),"")</f>
        <v/>
      </c>
    </row>
    <row r="1948" spans="20:21" x14ac:dyDescent="0.3">
      <c r="T1948" t="str">
        <f>IF(ISERROR(MATCH('Analysis backend'!$M$1,E1948:N1948,0)),"",'Analysis backend'!$L$1)</f>
        <v/>
      </c>
      <c r="U1948" t="str">
        <f>IF(T1948='Analysis backend'!$L$1,IF(ISERROR(MATCH('Analysis backend'!$M$1,E1948:I1948,0)),"Dire","Radiant"),"")</f>
        <v/>
      </c>
    </row>
    <row r="1949" spans="20:21" x14ac:dyDescent="0.3">
      <c r="T1949" t="str">
        <f>IF(ISERROR(MATCH('Analysis backend'!$M$1,E1949:N1949,0)),"",'Analysis backend'!$L$1)</f>
        <v/>
      </c>
      <c r="U1949" t="str">
        <f>IF(T1949='Analysis backend'!$L$1,IF(ISERROR(MATCH('Analysis backend'!$M$1,E1949:I1949,0)),"Dire","Radiant"),"")</f>
        <v/>
      </c>
    </row>
    <row r="1950" spans="20:21" x14ac:dyDescent="0.3">
      <c r="T1950" t="str">
        <f>IF(ISERROR(MATCH('Analysis backend'!$M$1,E1950:N1950,0)),"",'Analysis backend'!$L$1)</f>
        <v/>
      </c>
      <c r="U1950" t="str">
        <f>IF(T1950='Analysis backend'!$L$1,IF(ISERROR(MATCH('Analysis backend'!$M$1,E1950:I1950,0)),"Dire","Radiant"),"")</f>
        <v/>
      </c>
    </row>
    <row r="1951" spans="20:21" x14ac:dyDescent="0.3">
      <c r="T1951" t="str">
        <f>IF(ISERROR(MATCH('Analysis backend'!$M$1,E1951:N1951,0)),"",'Analysis backend'!$L$1)</f>
        <v/>
      </c>
      <c r="U1951" t="str">
        <f>IF(T1951='Analysis backend'!$L$1,IF(ISERROR(MATCH('Analysis backend'!$M$1,E1951:I1951,0)),"Dire","Radiant"),"")</f>
        <v/>
      </c>
    </row>
    <row r="1952" spans="20:21" x14ac:dyDescent="0.3">
      <c r="T1952" t="str">
        <f>IF(ISERROR(MATCH('Analysis backend'!$M$1,E1952:N1952,0)),"",'Analysis backend'!$L$1)</f>
        <v/>
      </c>
      <c r="U1952" t="str">
        <f>IF(T1952='Analysis backend'!$L$1,IF(ISERROR(MATCH('Analysis backend'!$M$1,E1952:I1952,0)),"Dire","Radiant"),"")</f>
        <v/>
      </c>
    </row>
    <row r="1953" spans="20:21" x14ac:dyDescent="0.3">
      <c r="T1953" t="str">
        <f>IF(ISERROR(MATCH('Analysis backend'!$M$1,E1953:N1953,0)),"",'Analysis backend'!$L$1)</f>
        <v/>
      </c>
      <c r="U1953" t="str">
        <f>IF(T1953='Analysis backend'!$L$1,IF(ISERROR(MATCH('Analysis backend'!$M$1,E1953:I1953,0)),"Dire","Radiant"),"")</f>
        <v/>
      </c>
    </row>
    <row r="1954" spans="20:21" x14ac:dyDescent="0.3">
      <c r="T1954" t="str">
        <f>IF(ISERROR(MATCH('Analysis backend'!$M$1,E1954:N1954,0)),"",'Analysis backend'!$L$1)</f>
        <v/>
      </c>
      <c r="U1954" t="str">
        <f>IF(T1954='Analysis backend'!$L$1,IF(ISERROR(MATCH('Analysis backend'!$M$1,E1954:I1954,0)),"Dire","Radiant"),"")</f>
        <v/>
      </c>
    </row>
    <row r="1955" spans="20:21" x14ac:dyDescent="0.3">
      <c r="T1955" t="str">
        <f>IF(ISERROR(MATCH('Analysis backend'!$M$1,E1955:N1955,0)),"",'Analysis backend'!$L$1)</f>
        <v/>
      </c>
      <c r="U1955" t="str">
        <f>IF(T1955='Analysis backend'!$L$1,IF(ISERROR(MATCH('Analysis backend'!$M$1,E1955:I1955,0)),"Dire","Radiant"),"")</f>
        <v/>
      </c>
    </row>
    <row r="1956" spans="20:21" x14ac:dyDescent="0.3">
      <c r="T1956" t="str">
        <f>IF(ISERROR(MATCH('Analysis backend'!$M$1,E1956:N1956,0)),"",'Analysis backend'!$L$1)</f>
        <v/>
      </c>
      <c r="U1956" t="str">
        <f>IF(T1956='Analysis backend'!$L$1,IF(ISERROR(MATCH('Analysis backend'!$M$1,E1956:I1956,0)),"Dire","Radiant"),"")</f>
        <v/>
      </c>
    </row>
    <row r="1957" spans="20:21" x14ac:dyDescent="0.3">
      <c r="T1957" t="str">
        <f>IF(ISERROR(MATCH('Analysis backend'!$M$1,E1957:N1957,0)),"",'Analysis backend'!$L$1)</f>
        <v/>
      </c>
      <c r="U1957" t="str">
        <f>IF(T1957='Analysis backend'!$L$1,IF(ISERROR(MATCH('Analysis backend'!$M$1,E1957:I1957,0)),"Dire","Radiant"),"")</f>
        <v/>
      </c>
    </row>
    <row r="1958" spans="20:21" x14ac:dyDescent="0.3">
      <c r="T1958" t="str">
        <f>IF(ISERROR(MATCH('Analysis backend'!$M$1,E1958:N1958,0)),"",'Analysis backend'!$L$1)</f>
        <v/>
      </c>
      <c r="U1958" t="str">
        <f>IF(T1958='Analysis backend'!$L$1,IF(ISERROR(MATCH('Analysis backend'!$M$1,E1958:I1958,0)),"Dire","Radiant"),"")</f>
        <v/>
      </c>
    </row>
    <row r="1959" spans="20:21" x14ac:dyDescent="0.3">
      <c r="T1959" t="str">
        <f>IF(ISERROR(MATCH('Analysis backend'!$M$1,E1959:N1959,0)),"",'Analysis backend'!$L$1)</f>
        <v/>
      </c>
      <c r="U1959" t="str">
        <f>IF(T1959='Analysis backend'!$L$1,IF(ISERROR(MATCH('Analysis backend'!$M$1,E1959:I1959,0)),"Dire","Radiant"),"")</f>
        <v/>
      </c>
    </row>
    <row r="1960" spans="20:21" x14ac:dyDescent="0.3">
      <c r="T1960" t="str">
        <f>IF(ISERROR(MATCH('Analysis backend'!$M$1,E1960:N1960,0)),"",'Analysis backend'!$L$1)</f>
        <v/>
      </c>
      <c r="U1960" t="str">
        <f>IF(T1960='Analysis backend'!$L$1,IF(ISERROR(MATCH('Analysis backend'!$M$1,E1960:I1960,0)),"Dire","Radiant"),"")</f>
        <v/>
      </c>
    </row>
    <row r="1961" spans="20:21" x14ac:dyDescent="0.3">
      <c r="T1961" t="str">
        <f>IF(ISERROR(MATCH('Analysis backend'!$M$1,E1961:N1961,0)),"",'Analysis backend'!$L$1)</f>
        <v/>
      </c>
      <c r="U1961" t="str">
        <f>IF(T1961='Analysis backend'!$L$1,IF(ISERROR(MATCH('Analysis backend'!$M$1,E1961:I1961,0)),"Dire","Radiant"),"")</f>
        <v/>
      </c>
    </row>
    <row r="1962" spans="20:21" x14ac:dyDescent="0.3">
      <c r="T1962" t="str">
        <f>IF(ISERROR(MATCH('Analysis backend'!$M$1,E1962:N1962,0)),"",'Analysis backend'!$L$1)</f>
        <v/>
      </c>
      <c r="U1962" t="str">
        <f>IF(T1962='Analysis backend'!$L$1,IF(ISERROR(MATCH('Analysis backend'!$M$1,E1962:I1962,0)),"Dire","Radiant"),"")</f>
        <v/>
      </c>
    </row>
    <row r="1963" spans="20:21" x14ac:dyDescent="0.3">
      <c r="T1963" t="str">
        <f>IF(ISERROR(MATCH('Analysis backend'!$M$1,E1963:N1963,0)),"",'Analysis backend'!$L$1)</f>
        <v/>
      </c>
      <c r="U1963" t="str">
        <f>IF(T1963='Analysis backend'!$L$1,IF(ISERROR(MATCH('Analysis backend'!$M$1,E1963:I1963,0)),"Dire","Radiant"),"")</f>
        <v/>
      </c>
    </row>
    <row r="1964" spans="20:21" x14ac:dyDescent="0.3">
      <c r="T1964" t="str">
        <f>IF(ISERROR(MATCH('Analysis backend'!$M$1,E1964:N1964,0)),"",'Analysis backend'!$L$1)</f>
        <v/>
      </c>
      <c r="U1964" t="str">
        <f>IF(T1964='Analysis backend'!$L$1,IF(ISERROR(MATCH('Analysis backend'!$M$1,E1964:I1964,0)),"Dire","Radiant"),"")</f>
        <v/>
      </c>
    </row>
    <row r="1965" spans="20:21" x14ac:dyDescent="0.3">
      <c r="T1965" t="str">
        <f>IF(ISERROR(MATCH('Analysis backend'!$M$1,E1965:N1965,0)),"",'Analysis backend'!$L$1)</f>
        <v/>
      </c>
      <c r="U1965" t="str">
        <f>IF(T1965='Analysis backend'!$L$1,IF(ISERROR(MATCH('Analysis backend'!$M$1,E1965:I1965,0)),"Dire","Radiant"),"")</f>
        <v/>
      </c>
    </row>
    <row r="1966" spans="20:21" x14ac:dyDescent="0.3">
      <c r="T1966" t="str">
        <f>IF(ISERROR(MATCH('Analysis backend'!$M$1,E1966:N1966,0)),"",'Analysis backend'!$L$1)</f>
        <v/>
      </c>
      <c r="U1966" t="str">
        <f>IF(T1966='Analysis backend'!$L$1,IF(ISERROR(MATCH('Analysis backend'!$M$1,E1966:I1966,0)),"Dire","Radiant"),"")</f>
        <v/>
      </c>
    </row>
    <row r="1967" spans="20:21" x14ac:dyDescent="0.3">
      <c r="T1967" t="str">
        <f>IF(ISERROR(MATCH('Analysis backend'!$M$1,E1967:N1967,0)),"",'Analysis backend'!$L$1)</f>
        <v/>
      </c>
      <c r="U1967" t="str">
        <f>IF(T1967='Analysis backend'!$L$1,IF(ISERROR(MATCH('Analysis backend'!$M$1,E1967:I1967,0)),"Dire","Radiant"),"")</f>
        <v/>
      </c>
    </row>
    <row r="1968" spans="20:21" x14ac:dyDescent="0.3">
      <c r="T1968" t="str">
        <f>IF(ISERROR(MATCH('Analysis backend'!$M$1,E1968:N1968,0)),"",'Analysis backend'!$L$1)</f>
        <v/>
      </c>
      <c r="U1968" t="str">
        <f>IF(T1968='Analysis backend'!$L$1,IF(ISERROR(MATCH('Analysis backend'!$M$1,E1968:I1968,0)),"Dire","Radiant"),"")</f>
        <v/>
      </c>
    </row>
    <row r="1969" spans="20:21" x14ac:dyDescent="0.3">
      <c r="T1969" t="str">
        <f>IF(ISERROR(MATCH('Analysis backend'!$M$1,E1969:N1969,0)),"",'Analysis backend'!$L$1)</f>
        <v/>
      </c>
      <c r="U1969" t="str">
        <f>IF(T1969='Analysis backend'!$L$1,IF(ISERROR(MATCH('Analysis backend'!$M$1,E1969:I1969,0)),"Dire","Radiant"),"")</f>
        <v/>
      </c>
    </row>
    <row r="1970" spans="20:21" x14ac:dyDescent="0.3">
      <c r="T1970" t="str">
        <f>IF(ISERROR(MATCH('Analysis backend'!$M$1,E1970:N1970,0)),"",'Analysis backend'!$L$1)</f>
        <v/>
      </c>
      <c r="U1970" t="str">
        <f>IF(T1970='Analysis backend'!$L$1,IF(ISERROR(MATCH('Analysis backend'!$M$1,E1970:I1970,0)),"Dire","Radiant"),"")</f>
        <v/>
      </c>
    </row>
    <row r="1971" spans="20:21" x14ac:dyDescent="0.3">
      <c r="T1971" t="str">
        <f>IF(ISERROR(MATCH('Analysis backend'!$M$1,E1971:N1971,0)),"",'Analysis backend'!$L$1)</f>
        <v/>
      </c>
      <c r="U1971" t="str">
        <f>IF(T1971='Analysis backend'!$L$1,IF(ISERROR(MATCH('Analysis backend'!$M$1,E1971:I1971,0)),"Dire","Radiant"),"")</f>
        <v/>
      </c>
    </row>
    <row r="1972" spans="20:21" x14ac:dyDescent="0.3">
      <c r="T1972" t="str">
        <f>IF(ISERROR(MATCH('Analysis backend'!$M$1,E1972:N1972,0)),"",'Analysis backend'!$L$1)</f>
        <v/>
      </c>
      <c r="U1972" t="str">
        <f>IF(T1972='Analysis backend'!$L$1,IF(ISERROR(MATCH('Analysis backend'!$M$1,E1972:I1972,0)),"Dire","Radiant"),"")</f>
        <v/>
      </c>
    </row>
    <row r="1973" spans="20:21" x14ac:dyDescent="0.3">
      <c r="T1973" t="str">
        <f>IF(ISERROR(MATCH('Analysis backend'!$M$1,E1973:N1973,0)),"",'Analysis backend'!$L$1)</f>
        <v/>
      </c>
      <c r="U1973" t="str">
        <f>IF(T1973='Analysis backend'!$L$1,IF(ISERROR(MATCH('Analysis backend'!$M$1,E1973:I1973,0)),"Dire","Radiant"),"")</f>
        <v/>
      </c>
    </row>
    <row r="1974" spans="20:21" x14ac:dyDescent="0.3">
      <c r="T1974" t="str">
        <f>IF(ISERROR(MATCH('Analysis backend'!$M$1,E1974:N1974,0)),"",'Analysis backend'!$L$1)</f>
        <v/>
      </c>
      <c r="U1974" t="str">
        <f>IF(T1974='Analysis backend'!$L$1,IF(ISERROR(MATCH('Analysis backend'!$M$1,E1974:I1974,0)),"Dire","Radiant"),"")</f>
        <v/>
      </c>
    </row>
    <row r="1975" spans="20:21" x14ac:dyDescent="0.3">
      <c r="T1975" t="str">
        <f>IF(ISERROR(MATCH('Analysis backend'!$M$1,E1975:N1975,0)),"",'Analysis backend'!$L$1)</f>
        <v/>
      </c>
      <c r="U1975" t="str">
        <f>IF(T1975='Analysis backend'!$L$1,IF(ISERROR(MATCH('Analysis backend'!$M$1,E1975:I1975,0)),"Dire","Radiant"),"")</f>
        <v/>
      </c>
    </row>
    <row r="1976" spans="20:21" x14ac:dyDescent="0.3">
      <c r="T1976" t="str">
        <f>IF(ISERROR(MATCH('Analysis backend'!$M$1,E1976:N1976,0)),"",'Analysis backend'!$L$1)</f>
        <v/>
      </c>
      <c r="U1976" t="str">
        <f>IF(T1976='Analysis backend'!$L$1,IF(ISERROR(MATCH('Analysis backend'!$M$1,E1976:I1976,0)),"Dire","Radiant"),"")</f>
        <v/>
      </c>
    </row>
    <row r="1977" spans="20:21" x14ac:dyDescent="0.3">
      <c r="T1977" t="str">
        <f>IF(ISERROR(MATCH('Analysis backend'!$M$1,E1977:N1977,0)),"",'Analysis backend'!$L$1)</f>
        <v/>
      </c>
      <c r="U1977" t="str">
        <f>IF(T1977='Analysis backend'!$L$1,IF(ISERROR(MATCH('Analysis backend'!$M$1,E1977:I1977,0)),"Dire","Radiant"),"")</f>
        <v/>
      </c>
    </row>
    <row r="1978" spans="20:21" x14ac:dyDescent="0.3">
      <c r="T1978" t="str">
        <f>IF(ISERROR(MATCH('Analysis backend'!$M$1,E1978:N1978,0)),"",'Analysis backend'!$L$1)</f>
        <v/>
      </c>
      <c r="U1978" t="str">
        <f>IF(T1978='Analysis backend'!$L$1,IF(ISERROR(MATCH('Analysis backend'!$M$1,E1978:I1978,0)),"Dire","Radiant"),"")</f>
        <v/>
      </c>
    </row>
    <row r="1979" spans="20:21" x14ac:dyDescent="0.3">
      <c r="T1979" t="str">
        <f>IF(ISERROR(MATCH('Analysis backend'!$M$1,E1979:N1979,0)),"",'Analysis backend'!$L$1)</f>
        <v/>
      </c>
      <c r="U1979" t="str">
        <f>IF(T1979='Analysis backend'!$L$1,IF(ISERROR(MATCH('Analysis backend'!$M$1,E1979:I1979,0)),"Dire","Radiant"),"")</f>
        <v/>
      </c>
    </row>
    <row r="1980" spans="20:21" x14ac:dyDescent="0.3">
      <c r="T1980" t="str">
        <f>IF(ISERROR(MATCH('Analysis backend'!$M$1,E1980:N1980,0)),"",'Analysis backend'!$L$1)</f>
        <v/>
      </c>
      <c r="U1980" t="str">
        <f>IF(T1980='Analysis backend'!$L$1,IF(ISERROR(MATCH('Analysis backend'!$M$1,E1980:I1980,0)),"Dire","Radiant"),"")</f>
        <v/>
      </c>
    </row>
    <row r="1981" spans="20:21" x14ac:dyDescent="0.3">
      <c r="T1981" t="str">
        <f>IF(ISERROR(MATCH('Analysis backend'!$M$1,E1981:N1981,0)),"",'Analysis backend'!$L$1)</f>
        <v/>
      </c>
      <c r="U1981" t="str">
        <f>IF(T1981='Analysis backend'!$L$1,IF(ISERROR(MATCH('Analysis backend'!$M$1,E1981:I1981,0)),"Dire","Radiant"),"")</f>
        <v/>
      </c>
    </row>
    <row r="1982" spans="20:21" x14ac:dyDescent="0.3">
      <c r="T1982" t="str">
        <f>IF(ISERROR(MATCH('Analysis backend'!$M$1,E1982:N1982,0)),"",'Analysis backend'!$L$1)</f>
        <v/>
      </c>
      <c r="U1982" t="str">
        <f>IF(T1982='Analysis backend'!$L$1,IF(ISERROR(MATCH('Analysis backend'!$M$1,E1982:I1982,0)),"Dire","Radiant"),"")</f>
        <v/>
      </c>
    </row>
    <row r="1983" spans="20:21" x14ac:dyDescent="0.3">
      <c r="T1983" t="str">
        <f>IF(ISERROR(MATCH('Analysis backend'!$M$1,E1983:N1983,0)),"",'Analysis backend'!$L$1)</f>
        <v/>
      </c>
      <c r="U1983" t="str">
        <f>IF(T1983='Analysis backend'!$L$1,IF(ISERROR(MATCH('Analysis backend'!$M$1,E1983:I1983,0)),"Dire","Radiant"),"")</f>
        <v/>
      </c>
    </row>
    <row r="1984" spans="20:21" x14ac:dyDescent="0.3">
      <c r="T1984" t="str">
        <f>IF(ISERROR(MATCH('Analysis backend'!$M$1,E1984:N1984,0)),"",'Analysis backend'!$L$1)</f>
        <v/>
      </c>
      <c r="U1984" t="str">
        <f>IF(T1984='Analysis backend'!$L$1,IF(ISERROR(MATCH('Analysis backend'!$M$1,E1984:I1984,0)),"Dire","Radiant"),"")</f>
        <v/>
      </c>
    </row>
    <row r="1985" spans="20:21" x14ac:dyDescent="0.3">
      <c r="T1985" t="str">
        <f>IF(ISERROR(MATCH('Analysis backend'!$M$1,E1985:N1985,0)),"",'Analysis backend'!$L$1)</f>
        <v/>
      </c>
      <c r="U1985" t="str">
        <f>IF(T1985='Analysis backend'!$L$1,IF(ISERROR(MATCH('Analysis backend'!$M$1,E1985:I1985,0)),"Dire","Radiant"),"")</f>
        <v/>
      </c>
    </row>
    <row r="1986" spans="20:21" x14ac:dyDescent="0.3">
      <c r="T1986" t="str">
        <f>IF(ISERROR(MATCH('Analysis backend'!$M$1,E1986:N1986,0)),"",'Analysis backend'!$L$1)</f>
        <v/>
      </c>
      <c r="U1986" t="str">
        <f>IF(T1986='Analysis backend'!$L$1,IF(ISERROR(MATCH('Analysis backend'!$M$1,E1986:I1986,0)),"Dire","Radiant"),"")</f>
        <v/>
      </c>
    </row>
    <row r="1987" spans="20:21" x14ac:dyDescent="0.3">
      <c r="T1987" t="str">
        <f>IF(ISERROR(MATCH('Analysis backend'!$M$1,E1987:N1987,0)),"",'Analysis backend'!$L$1)</f>
        <v/>
      </c>
      <c r="U1987" t="str">
        <f>IF(T1987='Analysis backend'!$L$1,IF(ISERROR(MATCH('Analysis backend'!$M$1,E1987:I1987,0)),"Dire","Radiant"),"")</f>
        <v/>
      </c>
    </row>
    <row r="1988" spans="20:21" x14ac:dyDescent="0.3">
      <c r="T1988" t="str">
        <f>IF(ISERROR(MATCH('Analysis backend'!$M$1,E1988:N1988,0)),"",'Analysis backend'!$L$1)</f>
        <v/>
      </c>
      <c r="U1988" t="str">
        <f>IF(T1988='Analysis backend'!$L$1,IF(ISERROR(MATCH('Analysis backend'!$M$1,E1988:I1988,0)),"Dire","Radiant"),"")</f>
        <v/>
      </c>
    </row>
    <row r="1989" spans="20:21" x14ac:dyDescent="0.3">
      <c r="T1989" t="str">
        <f>IF(ISERROR(MATCH('Analysis backend'!$M$1,E1989:N1989,0)),"",'Analysis backend'!$L$1)</f>
        <v/>
      </c>
      <c r="U1989" t="str">
        <f>IF(T1989='Analysis backend'!$L$1,IF(ISERROR(MATCH('Analysis backend'!$M$1,E1989:I1989,0)),"Dire","Radiant"),"")</f>
        <v/>
      </c>
    </row>
    <row r="1990" spans="20:21" x14ac:dyDescent="0.3">
      <c r="T1990" t="str">
        <f>IF(ISERROR(MATCH('Analysis backend'!$M$1,E1990:N1990,0)),"",'Analysis backend'!$L$1)</f>
        <v/>
      </c>
      <c r="U1990" t="str">
        <f>IF(T1990='Analysis backend'!$L$1,IF(ISERROR(MATCH('Analysis backend'!$M$1,E1990:I1990,0)),"Dire","Radiant"),"")</f>
        <v/>
      </c>
    </row>
    <row r="1991" spans="20:21" x14ac:dyDescent="0.3">
      <c r="T1991" t="str">
        <f>IF(ISERROR(MATCH('Analysis backend'!$M$1,E1991:N1991,0)),"",'Analysis backend'!$L$1)</f>
        <v/>
      </c>
      <c r="U1991" t="str">
        <f>IF(T1991='Analysis backend'!$L$1,IF(ISERROR(MATCH('Analysis backend'!$M$1,E1991:I1991,0)),"Dire","Radiant"),"")</f>
        <v/>
      </c>
    </row>
    <row r="1992" spans="20:21" x14ac:dyDescent="0.3">
      <c r="T1992" t="str">
        <f>IF(ISERROR(MATCH('Analysis backend'!$M$1,E1992:N1992,0)),"",'Analysis backend'!$L$1)</f>
        <v/>
      </c>
      <c r="U1992" t="str">
        <f>IF(T1992='Analysis backend'!$L$1,IF(ISERROR(MATCH('Analysis backend'!$M$1,E1992:I1992,0)),"Dire","Radiant"),"")</f>
        <v/>
      </c>
    </row>
    <row r="1993" spans="20:21" x14ac:dyDescent="0.3">
      <c r="T1993" t="str">
        <f>IF(ISERROR(MATCH('Analysis backend'!$M$1,E1993:N1993,0)),"",'Analysis backend'!$L$1)</f>
        <v/>
      </c>
      <c r="U1993" t="str">
        <f>IF(T1993='Analysis backend'!$L$1,IF(ISERROR(MATCH('Analysis backend'!$M$1,E1993:I1993,0)),"Dire","Radiant"),"")</f>
        <v/>
      </c>
    </row>
    <row r="1994" spans="20:21" x14ac:dyDescent="0.3">
      <c r="T1994" t="str">
        <f>IF(ISERROR(MATCH('Analysis backend'!$M$1,E1994:N1994,0)),"",'Analysis backend'!$L$1)</f>
        <v/>
      </c>
      <c r="U1994" t="str">
        <f>IF(T1994='Analysis backend'!$L$1,IF(ISERROR(MATCH('Analysis backend'!$M$1,E1994:I1994,0)),"Dire","Radiant"),"")</f>
        <v/>
      </c>
    </row>
    <row r="1995" spans="20:21" x14ac:dyDescent="0.3">
      <c r="T1995" t="str">
        <f>IF(ISERROR(MATCH('Analysis backend'!$M$1,E1995:N1995,0)),"",'Analysis backend'!$L$1)</f>
        <v/>
      </c>
      <c r="U1995" t="str">
        <f>IF(T1995='Analysis backend'!$L$1,IF(ISERROR(MATCH('Analysis backend'!$M$1,E1995:I1995,0)),"Dire","Radiant"),"")</f>
        <v/>
      </c>
    </row>
    <row r="1996" spans="20:21" x14ac:dyDescent="0.3">
      <c r="T1996" t="str">
        <f>IF(ISERROR(MATCH('Analysis backend'!$M$1,E1996:N1996,0)),"",'Analysis backend'!$L$1)</f>
        <v/>
      </c>
      <c r="U1996" t="str">
        <f>IF(T1996='Analysis backend'!$L$1,IF(ISERROR(MATCH('Analysis backend'!$M$1,E1996:I1996,0)),"Dire","Radiant"),"")</f>
        <v/>
      </c>
    </row>
    <row r="1997" spans="20:21" x14ac:dyDescent="0.3">
      <c r="T1997" t="str">
        <f>IF(ISERROR(MATCH('Analysis backend'!$M$1,E1997:N1997,0)),"",'Analysis backend'!$L$1)</f>
        <v/>
      </c>
      <c r="U1997" t="str">
        <f>IF(T1997='Analysis backend'!$L$1,IF(ISERROR(MATCH('Analysis backend'!$M$1,E1997:I1997,0)),"Dire","Radiant"),"")</f>
        <v/>
      </c>
    </row>
    <row r="1998" spans="20:21" x14ac:dyDescent="0.3">
      <c r="T1998" t="str">
        <f>IF(ISERROR(MATCH('Analysis backend'!$M$1,E1998:N1998,0)),"",'Analysis backend'!$L$1)</f>
        <v/>
      </c>
      <c r="U1998" t="str">
        <f>IF(T1998='Analysis backend'!$L$1,IF(ISERROR(MATCH('Analysis backend'!$M$1,E1998:I1998,0)),"Dire","Radiant"),"")</f>
        <v/>
      </c>
    </row>
    <row r="1999" spans="20:21" x14ac:dyDescent="0.3">
      <c r="T1999" t="str">
        <f>IF(ISERROR(MATCH('Analysis backend'!$M$1,E1999:N1999,0)),"",'Analysis backend'!$L$1)</f>
        <v/>
      </c>
      <c r="U1999" t="str">
        <f>IF(T1999='Analysis backend'!$L$1,IF(ISERROR(MATCH('Analysis backend'!$M$1,E1999:I1999,0)),"Dire","Radiant"),"")</f>
        <v/>
      </c>
    </row>
    <row r="2000" spans="20:21" x14ac:dyDescent="0.3">
      <c r="T2000" t="str">
        <f>IF(ISERROR(MATCH('Analysis backend'!$M$1,E2000:N2000,0)),"",'Analysis backend'!$L$1)</f>
        <v/>
      </c>
      <c r="U2000" t="str">
        <f>IF(T2000='Analysis backend'!$L$1,IF(ISERROR(MATCH('Analysis backend'!$M$1,E2000:I2000,0)),"Dire","Radiant"),"")</f>
        <v/>
      </c>
    </row>
    <row r="2001" spans="20:21" x14ac:dyDescent="0.3">
      <c r="T2001" t="str">
        <f>IF(ISERROR(MATCH('Analysis backend'!$M$1,E2001:N2001,0)),"",'Analysis backend'!$L$1)</f>
        <v/>
      </c>
      <c r="U2001" t="str">
        <f>IF(T2001='Analysis backend'!$L$1,IF(ISERROR(MATCH('Analysis backend'!$M$1,E2001:I2001,0)),"Dire","Radiant"),"")</f>
        <v/>
      </c>
    </row>
    <row r="2002" spans="20:21" x14ac:dyDescent="0.3">
      <c r="T2002" t="str">
        <f>IF(ISERROR(MATCH('Analysis backend'!$M$1,E2002:N2002,0)),"",'Analysis backend'!$L$1)</f>
        <v/>
      </c>
      <c r="U2002" t="str">
        <f>IF(T2002='Analysis backend'!$L$1,IF(ISERROR(MATCH('Analysis backend'!$M$1,E2002:I2002,0)),"Dire","Radiant"),"")</f>
        <v/>
      </c>
    </row>
    <row r="2003" spans="20:21" x14ac:dyDescent="0.3">
      <c r="T2003" t="str">
        <f>IF(ISERROR(MATCH('Analysis backend'!$M$1,E2003:N2003,0)),"",'Analysis backend'!$L$1)</f>
        <v/>
      </c>
      <c r="U2003" t="str">
        <f>IF(T2003='Analysis backend'!$L$1,IF(ISERROR(MATCH('Analysis backend'!$M$1,E2003:I2003,0)),"Dire","Radiant"),"")</f>
        <v/>
      </c>
    </row>
    <row r="2004" spans="20:21" x14ac:dyDescent="0.3">
      <c r="T2004" t="str">
        <f>IF(ISERROR(MATCH('Analysis backend'!$M$1,E2004:N2004,0)),"",'Analysis backend'!$L$1)</f>
        <v/>
      </c>
      <c r="U2004" t="str">
        <f>IF(T2004='Analysis backend'!$L$1,IF(ISERROR(MATCH('Analysis backend'!$M$1,E2004:I2004,0)),"Dire","Radiant"),"")</f>
        <v/>
      </c>
    </row>
    <row r="2005" spans="20:21" x14ac:dyDescent="0.3">
      <c r="T2005" t="str">
        <f>IF(ISERROR(MATCH('Analysis backend'!$M$1,E2005:N2005,0)),"",'Analysis backend'!$L$1)</f>
        <v/>
      </c>
      <c r="U2005" t="str">
        <f>IF(T2005='Analysis backend'!$L$1,IF(ISERROR(MATCH('Analysis backend'!$M$1,E2005:I2005,0)),"Dire","Radiant"),"")</f>
        <v/>
      </c>
    </row>
    <row r="2006" spans="20:21" x14ac:dyDescent="0.3">
      <c r="T2006" t="str">
        <f>IF(ISERROR(MATCH('Analysis backend'!$M$1,E2006:N2006,0)),"",'Analysis backend'!$L$1)</f>
        <v/>
      </c>
      <c r="U2006" t="str">
        <f>IF(T2006='Analysis backend'!$L$1,IF(ISERROR(MATCH('Analysis backend'!$M$1,E2006:I2006,0)),"Dire","Radiant"),"")</f>
        <v/>
      </c>
    </row>
    <row r="2007" spans="20:21" x14ac:dyDescent="0.3">
      <c r="T2007" t="str">
        <f>IF(ISERROR(MATCH('Analysis backend'!$M$1,E2007:N2007,0)),"",'Analysis backend'!$L$1)</f>
        <v/>
      </c>
      <c r="U2007" t="str">
        <f>IF(T2007='Analysis backend'!$L$1,IF(ISERROR(MATCH('Analysis backend'!$M$1,E2007:I2007,0)),"Dire","Radiant"),"")</f>
        <v/>
      </c>
    </row>
    <row r="2008" spans="20:21" x14ac:dyDescent="0.3">
      <c r="T2008" t="str">
        <f>IF(ISERROR(MATCH('Analysis backend'!$M$1,E2008:N2008,0)),"",'Analysis backend'!$L$1)</f>
        <v/>
      </c>
      <c r="U2008" t="str">
        <f>IF(T2008='Analysis backend'!$L$1,IF(ISERROR(MATCH('Analysis backend'!$M$1,E2008:I2008,0)),"Dire","Radiant"),"")</f>
        <v/>
      </c>
    </row>
    <row r="2009" spans="20:21" x14ac:dyDescent="0.3">
      <c r="T2009" t="str">
        <f>IF(ISERROR(MATCH('Analysis backend'!$M$1,E2009:N2009,0)),"",'Analysis backend'!$L$1)</f>
        <v/>
      </c>
      <c r="U2009" t="str">
        <f>IF(T2009='Analysis backend'!$L$1,IF(ISERROR(MATCH('Analysis backend'!$M$1,E2009:I2009,0)),"Dire","Radiant"),"")</f>
        <v/>
      </c>
    </row>
    <row r="2010" spans="20:21" x14ac:dyDescent="0.3">
      <c r="T2010" t="str">
        <f>IF(ISERROR(MATCH('Analysis backend'!$M$1,E2010:N2010,0)),"",'Analysis backend'!$L$1)</f>
        <v/>
      </c>
      <c r="U2010" t="str">
        <f>IF(T2010='Analysis backend'!$L$1,IF(ISERROR(MATCH('Analysis backend'!$M$1,E2010:I2010,0)),"Dire","Radiant"),"")</f>
        <v/>
      </c>
    </row>
    <row r="2011" spans="20:21" x14ac:dyDescent="0.3">
      <c r="T2011" t="str">
        <f>IF(ISERROR(MATCH('Analysis backend'!$M$1,E2011:N2011,0)),"",'Analysis backend'!$L$1)</f>
        <v/>
      </c>
      <c r="U2011" t="str">
        <f>IF(T2011='Analysis backend'!$L$1,IF(ISERROR(MATCH('Analysis backend'!$M$1,E2011:I2011,0)),"Dire","Radiant"),"")</f>
        <v/>
      </c>
    </row>
    <row r="2012" spans="20:21" x14ac:dyDescent="0.3">
      <c r="T2012" t="str">
        <f>IF(ISERROR(MATCH('Analysis backend'!$M$1,E2012:N2012,0)),"",'Analysis backend'!$L$1)</f>
        <v/>
      </c>
      <c r="U2012" t="str">
        <f>IF(T2012='Analysis backend'!$L$1,IF(ISERROR(MATCH('Analysis backend'!$M$1,E2012:I2012,0)),"Dire","Radiant"),"")</f>
        <v/>
      </c>
    </row>
    <row r="2013" spans="20:21" x14ac:dyDescent="0.3">
      <c r="T2013" t="str">
        <f>IF(ISERROR(MATCH('Analysis backend'!$M$1,E2013:N2013,0)),"",'Analysis backend'!$L$1)</f>
        <v/>
      </c>
      <c r="U2013" t="str">
        <f>IF(T2013='Analysis backend'!$L$1,IF(ISERROR(MATCH('Analysis backend'!$M$1,E2013:I2013,0)),"Dire","Radiant"),"")</f>
        <v/>
      </c>
    </row>
    <row r="2014" spans="20:21" x14ac:dyDescent="0.3">
      <c r="T2014" t="str">
        <f>IF(ISERROR(MATCH('Analysis backend'!$M$1,E2014:N2014,0)),"",'Analysis backend'!$L$1)</f>
        <v/>
      </c>
      <c r="U2014" t="str">
        <f>IF(T2014='Analysis backend'!$L$1,IF(ISERROR(MATCH('Analysis backend'!$M$1,E2014:I2014,0)),"Dire","Radiant"),"")</f>
        <v/>
      </c>
    </row>
    <row r="2015" spans="20:21" x14ac:dyDescent="0.3">
      <c r="T2015" t="str">
        <f>IF(ISERROR(MATCH('Analysis backend'!$M$1,E2015:N2015,0)),"",'Analysis backend'!$L$1)</f>
        <v/>
      </c>
      <c r="U2015" t="str">
        <f>IF(T2015='Analysis backend'!$L$1,IF(ISERROR(MATCH('Analysis backend'!$M$1,E2015:I2015,0)),"Dire","Radiant"),"")</f>
        <v/>
      </c>
    </row>
    <row r="2016" spans="20:21" x14ac:dyDescent="0.3">
      <c r="T2016" t="str">
        <f>IF(ISERROR(MATCH('Analysis backend'!$M$1,E2016:N2016,0)),"",'Analysis backend'!$L$1)</f>
        <v/>
      </c>
      <c r="U2016" t="str">
        <f>IF(T2016='Analysis backend'!$L$1,IF(ISERROR(MATCH('Analysis backend'!$M$1,E2016:I2016,0)),"Dire","Radiant"),"")</f>
        <v/>
      </c>
    </row>
    <row r="2017" spans="20:21" x14ac:dyDescent="0.3">
      <c r="T2017" t="str">
        <f>IF(ISERROR(MATCH('Analysis backend'!$M$1,E2017:N2017,0)),"",'Analysis backend'!$L$1)</f>
        <v/>
      </c>
      <c r="U2017" t="str">
        <f>IF(T2017='Analysis backend'!$L$1,IF(ISERROR(MATCH('Analysis backend'!$M$1,E2017:I2017,0)),"Dire","Radiant"),"")</f>
        <v/>
      </c>
    </row>
    <row r="2018" spans="20:21" x14ac:dyDescent="0.3">
      <c r="T2018" t="str">
        <f>IF(ISERROR(MATCH('Analysis backend'!$M$1,E2018:N2018,0)),"",'Analysis backend'!$L$1)</f>
        <v/>
      </c>
      <c r="U2018" t="str">
        <f>IF(T2018='Analysis backend'!$L$1,IF(ISERROR(MATCH('Analysis backend'!$M$1,E2018:I2018,0)),"Dire","Radiant"),"")</f>
        <v/>
      </c>
    </row>
    <row r="2019" spans="20:21" x14ac:dyDescent="0.3">
      <c r="T2019" t="str">
        <f>IF(ISERROR(MATCH('Analysis backend'!$M$1,E2019:N2019,0)),"",'Analysis backend'!$L$1)</f>
        <v/>
      </c>
      <c r="U2019" t="str">
        <f>IF(T2019='Analysis backend'!$L$1,IF(ISERROR(MATCH('Analysis backend'!$M$1,E2019:I2019,0)),"Dire","Radiant"),"")</f>
        <v/>
      </c>
    </row>
    <row r="2020" spans="20:21" x14ac:dyDescent="0.3">
      <c r="T2020" t="str">
        <f>IF(ISERROR(MATCH('Analysis backend'!$M$1,E2020:N2020,0)),"",'Analysis backend'!$L$1)</f>
        <v/>
      </c>
      <c r="U2020" t="str">
        <f>IF(T2020='Analysis backend'!$L$1,IF(ISERROR(MATCH('Analysis backend'!$M$1,E2020:I2020,0)),"Dire","Radiant"),"")</f>
        <v/>
      </c>
    </row>
    <row r="2021" spans="20:21" x14ac:dyDescent="0.3">
      <c r="T2021" t="str">
        <f>IF(ISERROR(MATCH('Analysis backend'!$M$1,E2021:N2021,0)),"",'Analysis backend'!$L$1)</f>
        <v/>
      </c>
      <c r="U2021" t="str">
        <f>IF(T2021='Analysis backend'!$L$1,IF(ISERROR(MATCH('Analysis backend'!$M$1,E2021:I2021,0)),"Dire","Radiant"),"")</f>
        <v/>
      </c>
    </row>
    <row r="2022" spans="20:21" x14ac:dyDescent="0.3">
      <c r="T2022" t="str">
        <f>IF(ISERROR(MATCH('Analysis backend'!$M$1,E2022:N2022,0)),"",'Analysis backend'!$L$1)</f>
        <v/>
      </c>
      <c r="U2022" t="str">
        <f>IF(T2022='Analysis backend'!$L$1,IF(ISERROR(MATCH('Analysis backend'!$M$1,E2022:I2022,0)),"Dire","Radiant"),"")</f>
        <v/>
      </c>
    </row>
    <row r="2023" spans="20:21" x14ac:dyDescent="0.3">
      <c r="T2023" t="str">
        <f>IF(ISERROR(MATCH('Analysis backend'!$M$1,E2023:N2023,0)),"",'Analysis backend'!$L$1)</f>
        <v/>
      </c>
      <c r="U2023" t="str">
        <f>IF(T2023='Analysis backend'!$L$1,IF(ISERROR(MATCH('Analysis backend'!$M$1,E2023:I2023,0)),"Dire","Radiant"),"")</f>
        <v/>
      </c>
    </row>
    <row r="2024" spans="20:21" x14ac:dyDescent="0.3">
      <c r="T2024" t="str">
        <f>IF(ISERROR(MATCH('Analysis backend'!$M$1,E2024:N2024,0)),"",'Analysis backend'!$L$1)</f>
        <v/>
      </c>
      <c r="U2024" t="str">
        <f>IF(T2024='Analysis backend'!$L$1,IF(ISERROR(MATCH('Analysis backend'!$M$1,E2024:I2024,0)),"Dire","Radiant"),"")</f>
        <v/>
      </c>
    </row>
    <row r="2025" spans="20:21" x14ac:dyDescent="0.3">
      <c r="T2025" t="str">
        <f>IF(ISERROR(MATCH('Analysis backend'!$M$1,E2025:N2025,0)),"",'Analysis backend'!$L$1)</f>
        <v/>
      </c>
      <c r="U2025" t="str">
        <f>IF(T2025='Analysis backend'!$L$1,IF(ISERROR(MATCH('Analysis backend'!$M$1,E2025:I2025,0)),"Dire","Radiant"),"")</f>
        <v/>
      </c>
    </row>
    <row r="2026" spans="20:21" x14ac:dyDescent="0.3">
      <c r="T2026" t="str">
        <f>IF(ISERROR(MATCH('Analysis backend'!$M$1,E2026:N2026,0)),"",'Analysis backend'!$L$1)</f>
        <v/>
      </c>
      <c r="U2026" t="str">
        <f>IF(T2026='Analysis backend'!$L$1,IF(ISERROR(MATCH('Analysis backend'!$M$1,E2026:I2026,0)),"Dire","Radiant"),"")</f>
        <v/>
      </c>
    </row>
    <row r="2027" spans="20:21" x14ac:dyDescent="0.3">
      <c r="T2027" t="str">
        <f>IF(ISERROR(MATCH('Analysis backend'!$M$1,E2027:N2027,0)),"",'Analysis backend'!$L$1)</f>
        <v/>
      </c>
      <c r="U2027" t="str">
        <f>IF(T2027='Analysis backend'!$L$1,IF(ISERROR(MATCH('Analysis backend'!$M$1,E2027:I2027,0)),"Dire","Radiant"),"")</f>
        <v/>
      </c>
    </row>
    <row r="2028" spans="20:21" x14ac:dyDescent="0.3">
      <c r="T2028" t="str">
        <f>IF(ISERROR(MATCH('Analysis backend'!$M$1,E2028:N2028,0)),"",'Analysis backend'!$L$1)</f>
        <v/>
      </c>
      <c r="U2028" t="str">
        <f>IF(T2028='Analysis backend'!$L$1,IF(ISERROR(MATCH('Analysis backend'!$M$1,E2028:I2028,0)),"Dire","Radiant"),"")</f>
        <v/>
      </c>
    </row>
    <row r="2029" spans="20:21" x14ac:dyDescent="0.3">
      <c r="T2029" t="str">
        <f>IF(ISERROR(MATCH('Analysis backend'!$M$1,E2029:N2029,0)),"",'Analysis backend'!$L$1)</f>
        <v/>
      </c>
      <c r="U2029" t="str">
        <f>IF(T2029='Analysis backend'!$L$1,IF(ISERROR(MATCH('Analysis backend'!$M$1,E2029:I2029,0)),"Dire","Radiant"),"")</f>
        <v/>
      </c>
    </row>
    <row r="2030" spans="20:21" x14ac:dyDescent="0.3">
      <c r="T2030" t="str">
        <f>IF(ISERROR(MATCH('Analysis backend'!$M$1,E2030:N2030,0)),"",'Analysis backend'!$L$1)</f>
        <v/>
      </c>
      <c r="U2030" t="str">
        <f>IF(T2030='Analysis backend'!$L$1,IF(ISERROR(MATCH('Analysis backend'!$M$1,E2030:I2030,0)),"Dire","Radiant"),"")</f>
        <v/>
      </c>
    </row>
    <row r="2031" spans="20:21" x14ac:dyDescent="0.3">
      <c r="T2031" t="str">
        <f>IF(ISERROR(MATCH('Analysis backend'!$M$1,E2031:N2031,0)),"",'Analysis backend'!$L$1)</f>
        <v/>
      </c>
      <c r="U2031" t="str">
        <f>IF(T2031='Analysis backend'!$L$1,IF(ISERROR(MATCH('Analysis backend'!$M$1,E2031:I2031,0)),"Dire","Radiant"),"")</f>
        <v/>
      </c>
    </row>
    <row r="2032" spans="20:21" x14ac:dyDescent="0.3">
      <c r="T2032" t="str">
        <f>IF(ISERROR(MATCH('Analysis backend'!$M$1,E2032:N2032,0)),"",'Analysis backend'!$L$1)</f>
        <v/>
      </c>
      <c r="U2032" t="str">
        <f>IF(T2032='Analysis backend'!$L$1,IF(ISERROR(MATCH('Analysis backend'!$M$1,E2032:I2032,0)),"Dire","Radiant"),"")</f>
        <v/>
      </c>
    </row>
    <row r="2033" spans="20:21" x14ac:dyDescent="0.3">
      <c r="T2033" t="str">
        <f>IF(ISERROR(MATCH('Analysis backend'!$M$1,E2033:N2033,0)),"",'Analysis backend'!$L$1)</f>
        <v/>
      </c>
      <c r="U2033" t="str">
        <f>IF(T2033='Analysis backend'!$L$1,IF(ISERROR(MATCH('Analysis backend'!$M$1,E2033:I2033,0)),"Dire","Radiant"),"")</f>
        <v/>
      </c>
    </row>
    <row r="2034" spans="20:21" x14ac:dyDescent="0.3">
      <c r="T2034" t="str">
        <f>IF(ISERROR(MATCH('Analysis backend'!$M$1,E2034:N2034,0)),"",'Analysis backend'!$L$1)</f>
        <v/>
      </c>
      <c r="U2034" t="str">
        <f>IF(T2034='Analysis backend'!$L$1,IF(ISERROR(MATCH('Analysis backend'!$M$1,E2034:I2034,0)),"Dire","Radiant"),"")</f>
        <v/>
      </c>
    </row>
    <row r="2035" spans="20:21" x14ac:dyDescent="0.3">
      <c r="T2035" t="str">
        <f>IF(ISERROR(MATCH('Analysis backend'!$M$1,E2035:N2035,0)),"",'Analysis backend'!$L$1)</f>
        <v/>
      </c>
      <c r="U2035" t="str">
        <f>IF(T2035='Analysis backend'!$L$1,IF(ISERROR(MATCH('Analysis backend'!$M$1,E2035:I2035,0)),"Dire","Radiant"),"")</f>
        <v/>
      </c>
    </row>
    <row r="2036" spans="20:21" x14ac:dyDescent="0.3">
      <c r="T2036" t="str">
        <f>IF(ISERROR(MATCH('Analysis backend'!$M$1,E2036:N2036,0)),"",'Analysis backend'!$L$1)</f>
        <v/>
      </c>
      <c r="U2036" t="str">
        <f>IF(T2036='Analysis backend'!$L$1,IF(ISERROR(MATCH('Analysis backend'!$M$1,E2036:I2036,0)),"Dire","Radiant"),"")</f>
        <v/>
      </c>
    </row>
    <row r="2037" spans="20:21" x14ac:dyDescent="0.3">
      <c r="T2037" t="str">
        <f>IF(ISERROR(MATCH('Analysis backend'!$M$1,E2037:N2037,0)),"",'Analysis backend'!$L$1)</f>
        <v/>
      </c>
      <c r="U2037" t="str">
        <f>IF(T2037='Analysis backend'!$L$1,IF(ISERROR(MATCH('Analysis backend'!$M$1,E2037:I2037,0)),"Dire","Radiant"),"")</f>
        <v/>
      </c>
    </row>
    <row r="2038" spans="20:21" x14ac:dyDescent="0.3">
      <c r="T2038" t="str">
        <f>IF(ISERROR(MATCH('Analysis backend'!$M$1,E2038:N2038,0)),"",'Analysis backend'!$L$1)</f>
        <v/>
      </c>
      <c r="U2038" t="str">
        <f>IF(T2038='Analysis backend'!$L$1,IF(ISERROR(MATCH('Analysis backend'!$M$1,E2038:I2038,0)),"Dire","Radiant"),"")</f>
        <v/>
      </c>
    </row>
    <row r="2039" spans="20:21" x14ac:dyDescent="0.3">
      <c r="T2039" t="str">
        <f>IF(ISERROR(MATCH('Analysis backend'!$M$1,E2039:N2039,0)),"",'Analysis backend'!$L$1)</f>
        <v/>
      </c>
      <c r="U2039" t="str">
        <f>IF(T2039='Analysis backend'!$L$1,IF(ISERROR(MATCH('Analysis backend'!$M$1,E2039:I2039,0)),"Dire","Radiant"),"")</f>
        <v/>
      </c>
    </row>
    <row r="2040" spans="20:21" x14ac:dyDescent="0.3">
      <c r="T2040" t="str">
        <f>IF(ISERROR(MATCH('Analysis backend'!$M$1,E2040:N2040,0)),"",'Analysis backend'!$L$1)</f>
        <v/>
      </c>
      <c r="U2040" t="str">
        <f>IF(T2040='Analysis backend'!$L$1,IF(ISERROR(MATCH('Analysis backend'!$M$1,E2040:I2040,0)),"Dire","Radiant"),"")</f>
        <v/>
      </c>
    </row>
    <row r="2041" spans="20:21" x14ac:dyDescent="0.3">
      <c r="T2041" t="str">
        <f>IF(ISERROR(MATCH('Analysis backend'!$M$1,E2041:N2041,0)),"",'Analysis backend'!$L$1)</f>
        <v/>
      </c>
      <c r="U2041" t="str">
        <f>IF(T2041='Analysis backend'!$L$1,IF(ISERROR(MATCH('Analysis backend'!$M$1,E2041:I2041,0)),"Dire","Radiant"),"")</f>
        <v/>
      </c>
    </row>
    <row r="2042" spans="20:21" x14ac:dyDescent="0.3">
      <c r="T2042" t="str">
        <f>IF(ISERROR(MATCH('Analysis backend'!$M$1,E2042:N2042,0)),"",'Analysis backend'!$L$1)</f>
        <v/>
      </c>
      <c r="U2042" t="str">
        <f>IF(T2042='Analysis backend'!$L$1,IF(ISERROR(MATCH('Analysis backend'!$M$1,E2042:I2042,0)),"Dire","Radiant"),"")</f>
        <v/>
      </c>
    </row>
    <row r="2043" spans="20:21" x14ac:dyDescent="0.3">
      <c r="T2043" t="str">
        <f>IF(ISERROR(MATCH('Analysis backend'!$M$1,E2043:N2043,0)),"",'Analysis backend'!$L$1)</f>
        <v/>
      </c>
      <c r="U2043" t="str">
        <f>IF(T2043='Analysis backend'!$L$1,IF(ISERROR(MATCH('Analysis backend'!$M$1,E2043:I2043,0)),"Dire","Radiant"),"")</f>
        <v/>
      </c>
    </row>
    <row r="2044" spans="20:21" x14ac:dyDescent="0.3">
      <c r="T2044" t="str">
        <f>IF(ISERROR(MATCH('Analysis backend'!$M$1,E2044:N2044,0)),"",'Analysis backend'!$L$1)</f>
        <v/>
      </c>
      <c r="U2044" t="str">
        <f>IF(T2044='Analysis backend'!$L$1,IF(ISERROR(MATCH('Analysis backend'!$M$1,E2044:I2044,0)),"Dire","Radiant"),"")</f>
        <v/>
      </c>
    </row>
    <row r="2045" spans="20:21" x14ac:dyDescent="0.3">
      <c r="T2045" t="str">
        <f>IF(ISERROR(MATCH('Analysis backend'!$M$1,E2045:N2045,0)),"",'Analysis backend'!$L$1)</f>
        <v/>
      </c>
      <c r="U2045" t="str">
        <f>IF(T2045='Analysis backend'!$L$1,IF(ISERROR(MATCH('Analysis backend'!$M$1,E2045:I2045,0)),"Dire","Radiant"),"")</f>
        <v/>
      </c>
    </row>
    <row r="2046" spans="20:21" x14ac:dyDescent="0.3">
      <c r="T2046" t="str">
        <f>IF(ISERROR(MATCH('Analysis backend'!$M$1,E2046:N2046,0)),"",'Analysis backend'!$L$1)</f>
        <v/>
      </c>
      <c r="U2046" t="str">
        <f>IF(T2046='Analysis backend'!$L$1,IF(ISERROR(MATCH('Analysis backend'!$M$1,E2046:I2046,0)),"Dire","Radiant"),"")</f>
        <v/>
      </c>
    </row>
    <row r="2047" spans="20:21" x14ac:dyDescent="0.3">
      <c r="T2047" t="str">
        <f>IF(ISERROR(MATCH('Analysis backend'!$M$1,E2047:N2047,0)),"",'Analysis backend'!$L$1)</f>
        <v/>
      </c>
      <c r="U2047" t="str">
        <f>IF(T2047='Analysis backend'!$L$1,IF(ISERROR(MATCH('Analysis backend'!$M$1,E2047:I2047,0)),"Dire","Radiant"),"")</f>
        <v/>
      </c>
    </row>
    <row r="2048" spans="20:21" x14ac:dyDescent="0.3">
      <c r="T2048" t="str">
        <f>IF(ISERROR(MATCH('Analysis backend'!$M$1,E2048:N2048,0)),"",'Analysis backend'!$L$1)</f>
        <v/>
      </c>
      <c r="U2048" t="str">
        <f>IF(T2048='Analysis backend'!$L$1,IF(ISERROR(MATCH('Analysis backend'!$M$1,E2048:I2048,0)),"Dire","Radiant"),"")</f>
        <v/>
      </c>
    </row>
    <row r="2049" spans="20:21" x14ac:dyDescent="0.3">
      <c r="T2049" t="str">
        <f>IF(ISERROR(MATCH('Analysis backend'!$M$1,E2049:N2049,0)),"",'Analysis backend'!$L$1)</f>
        <v/>
      </c>
      <c r="U2049" t="str">
        <f>IF(T2049='Analysis backend'!$L$1,IF(ISERROR(MATCH('Analysis backend'!$M$1,E2049:I2049,0)),"Dire","Radiant"),"")</f>
        <v/>
      </c>
    </row>
    <row r="2050" spans="20:21" x14ac:dyDescent="0.3">
      <c r="T2050" t="str">
        <f>IF(ISERROR(MATCH('Analysis backend'!$M$1,E2050:N2050,0)),"",'Analysis backend'!$L$1)</f>
        <v/>
      </c>
      <c r="U2050" t="str">
        <f>IF(T2050='Analysis backend'!$L$1,IF(ISERROR(MATCH('Analysis backend'!$M$1,E2050:I2050,0)),"Dire","Radiant"),"")</f>
        <v/>
      </c>
    </row>
    <row r="2051" spans="20:21" x14ac:dyDescent="0.3">
      <c r="T2051" t="str">
        <f>IF(ISERROR(MATCH('Analysis backend'!$M$1,E2051:N2051,0)),"",'Analysis backend'!$L$1)</f>
        <v/>
      </c>
      <c r="U2051" t="str">
        <f>IF(T2051='Analysis backend'!$L$1,IF(ISERROR(MATCH('Analysis backend'!$M$1,E2051:I2051,0)),"Dire","Radiant"),"")</f>
        <v/>
      </c>
    </row>
    <row r="2052" spans="20:21" x14ac:dyDescent="0.3">
      <c r="T2052" t="str">
        <f>IF(ISERROR(MATCH('Analysis backend'!$M$1,E2052:N2052,0)),"",'Analysis backend'!$L$1)</f>
        <v/>
      </c>
      <c r="U2052" t="str">
        <f>IF(T2052='Analysis backend'!$L$1,IF(ISERROR(MATCH('Analysis backend'!$M$1,E2052:I2052,0)),"Dire","Radiant"),"")</f>
        <v/>
      </c>
    </row>
    <row r="2053" spans="20:21" x14ac:dyDescent="0.3">
      <c r="T2053" t="str">
        <f>IF(ISERROR(MATCH('Analysis backend'!$M$1,E2053:N2053,0)),"",'Analysis backend'!$L$1)</f>
        <v/>
      </c>
      <c r="U2053" t="str">
        <f>IF(T2053='Analysis backend'!$L$1,IF(ISERROR(MATCH('Analysis backend'!$M$1,E2053:I2053,0)),"Dire","Radiant"),"")</f>
        <v/>
      </c>
    </row>
    <row r="2054" spans="20:21" x14ac:dyDescent="0.3">
      <c r="T2054" t="str">
        <f>IF(ISERROR(MATCH('Analysis backend'!$M$1,E2054:N2054,0)),"",'Analysis backend'!$L$1)</f>
        <v/>
      </c>
      <c r="U2054" t="str">
        <f>IF(T2054='Analysis backend'!$L$1,IF(ISERROR(MATCH('Analysis backend'!$M$1,E2054:I2054,0)),"Dire","Radiant"),"")</f>
        <v/>
      </c>
    </row>
    <row r="2055" spans="20:21" x14ac:dyDescent="0.3">
      <c r="T2055" t="str">
        <f>IF(ISERROR(MATCH('Analysis backend'!$M$1,E2055:N2055,0)),"",'Analysis backend'!$L$1)</f>
        <v/>
      </c>
      <c r="U2055" t="str">
        <f>IF(T2055='Analysis backend'!$L$1,IF(ISERROR(MATCH('Analysis backend'!$M$1,E2055:I2055,0)),"Dire","Radiant"),"")</f>
        <v/>
      </c>
    </row>
    <row r="2056" spans="20:21" x14ac:dyDescent="0.3">
      <c r="T2056" t="str">
        <f>IF(ISERROR(MATCH('Analysis backend'!$M$1,E2056:N2056,0)),"",'Analysis backend'!$L$1)</f>
        <v/>
      </c>
      <c r="U2056" t="str">
        <f>IF(T2056='Analysis backend'!$L$1,IF(ISERROR(MATCH('Analysis backend'!$M$1,E2056:I2056,0)),"Dire","Radiant"),"")</f>
        <v/>
      </c>
    </row>
    <row r="2057" spans="20:21" x14ac:dyDescent="0.3">
      <c r="T2057" t="str">
        <f>IF(ISERROR(MATCH('Analysis backend'!$M$1,E2057:N2057,0)),"",'Analysis backend'!$L$1)</f>
        <v/>
      </c>
      <c r="U2057" t="str">
        <f>IF(T2057='Analysis backend'!$L$1,IF(ISERROR(MATCH('Analysis backend'!$M$1,E2057:I2057,0)),"Dire","Radiant"),"")</f>
        <v/>
      </c>
    </row>
    <row r="2058" spans="20:21" x14ac:dyDescent="0.3">
      <c r="T2058" t="str">
        <f>IF(ISERROR(MATCH('Analysis backend'!$M$1,E2058:N2058,0)),"",'Analysis backend'!$L$1)</f>
        <v/>
      </c>
      <c r="U2058" t="str">
        <f>IF(T2058='Analysis backend'!$L$1,IF(ISERROR(MATCH('Analysis backend'!$M$1,E2058:I2058,0)),"Dire","Radiant"),"")</f>
        <v/>
      </c>
    </row>
    <row r="2059" spans="20:21" x14ac:dyDescent="0.3">
      <c r="T2059" t="str">
        <f>IF(ISERROR(MATCH('Analysis backend'!$M$1,E2059:N2059,0)),"",'Analysis backend'!$L$1)</f>
        <v/>
      </c>
      <c r="U2059" t="str">
        <f>IF(T2059='Analysis backend'!$L$1,IF(ISERROR(MATCH('Analysis backend'!$M$1,E2059:I2059,0)),"Dire","Radiant"),"")</f>
        <v/>
      </c>
    </row>
    <row r="2060" spans="20:21" x14ac:dyDescent="0.3">
      <c r="T2060" t="str">
        <f>IF(ISERROR(MATCH('Analysis backend'!$M$1,E2060:N2060,0)),"",'Analysis backend'!$L$1)</f>
        <v/>
      </c>
      <c r="U2060" t="str">
        <f>IF(T2060='Analysis backend'!$L$1,IF(ISERROR(MATCH('Analysis backend'!$M$1,E2060:I2060,0)),"Dire","Radiant"),"")</f>
        <v/>
      </c>
    </row>
    <row r="2061" spans="20:21" x14ac:dyDescent="0.3">
      <c r="T2061" t="str">
        <f>IF(ISERROR(MATCH('Analysis backend'!$M$1,E2061:N2061,0)),"",'Analysis backend'!$L$1)</f>
        <v/>
      </c>
      <c r="U2061" t="str">
        <f>IF(T2061='Analysis backend'!$L$1,IF(ISERROR(MATCH('Analysis backend'!$M$1,E2061:I2061,0)),"Dire","Radiant"),"")</f>
        <v/>
      </c>
    </row>
    <row r="2062" spans="20:21" x14ac:dyDescent="0.3">
      <c r="T2062" t="str">
        <f>IF(ISERROR(MATCH('Analysis backend'!$M$1,E2062:N2062,0)),"",'Analysis backend'!$L$1)</f>
        <v/>
      </c>
      <c r="U2062" t="str">
        <f>IF(T2062='Analysis backend'!$L$1,IF(ISERROR(MATCH('Analysis backend'!$M$1,E2062:I2062,0)),"Dire","Radiant"),"")</f>
        <v/>
      </c>
    </row>
    <row r="2063" spans="20:21" x14ac:dyDescent="0.3">
      <c r="T2063" t="str">
        <f>IF(ISERROR(MATCH('Analysis backend'!$M$1,E2063:N2063,0)),"",'Analysis backend'!$L$1)</f>
        <v/>
      </c>
      <c r="U2063" t="str">
        <f>IF(T2063='Analysis backend'!$L$1,IF(ISERROR(MATCH('Analysis backend'!$M$1,E2063:I2063,0)),"Dire","Radiant"),"")</f>
        <v/>
      </c>
    </row>
    <row r="2064" spans="20:21" x14ac:dyDescent="0.3">
      <c r="T2064" t="str">
        <f>IF(ISERROR(MATCH('Analysis backend'!$M$1,E2064:N2064,0)),"",'Analysis backend'!$L$1)</f>
        <v/>
      </c>
      <c r="U2064" t="str">
        <f>IF(T2064='Analysis backend'!$L$1,IF(ISERROR(MATCH('Analysis backend'!$M$1,E2064:I2064,0)),"Dire","Radiant"),"")</f>
        <v/>
      </c>
    </row>
    <row r="2065" spans="20:21" x14ac:dyDescent="0.3">
      <c r="T2065" t="str">
        <f>IF(ISERROR(MATCH('Analysis backend'!$M$1,E2065:N2065,0)),"",'Analysis backend'!$L$1)</f>
        <v/>
      </c>
      <c r="U2065" t="str">
        <f>IF(T2065='Analysis backend'!$L$1,IF(ISERROR(MATCH('Analysis backend'!$M$1,E2065:I2065,0)),"Dire","Radiant"),"")</f>
        <v/>
      </c>
    </row>
    <row r="2066" spans="20:21" x14ac:dyDescent="0.3">
      <c r="T2066" t="str">
        <f>IF(ISERROR(MATCH('Analysis backend'!$M$1,E2066:N2066,0)),"",'Analysis backend'!$L$1)</f>
        <v/>
      </c>
      <c r="U2066" t="str">
        <f>IF(T2066='Analysis backend'!$L$1,IF(ISERROR(MATCH('Analysis backend'!$M$1,E2066:I2066,0)),"Dire","Radiant"),"")</f>
        <v/>
      </c>
    </row>
    <row r="2067" spans="20:21" x14ac:dyDescent="0.3">
      <c r="T2067" t="str">
        <f>IF(ISERROR(MATCH('Analysis backend'!$M$1,E2067:N2067,0)),"",'Analysis backend'!$L$1)</f>
        <v/>
      </c>
      <c r="U2067" t="str">
        <f>IF(T2067='Analysis backend'!$L$1,IF(ISERROR(MATCH('Analysis backend'!$M$1,E2067:I2067,0)),"Dire","Radiant"),"")</f>
        <v/>
      </c>
    </row>
    <row r="2068" spans="20:21" x14ac:dyDescent="0.3">
      <c r="T2068" t="str">
        <f>IF(ISERROR(MATCH('Analysis backend'!$M$1,E2068:N2068,0)),"",'Analysis backend'!$L$1)</f>
        <v/>
      </c>
      <c r="U2068" t="str">
        <f>IF(T2068='Analysis backend'!$L$1,IF(ISERROR(MATCH('Analysis backend'!$M$1,E2068:I2068,0)),"Dire","Radiant"),"")</f>
        <v/>
      </c>
    </row>
    <row r="2069" spans="20:21" x14ac:dyDescent="0.3">
      <c r="T2069" t="str">
        <f>IF(ISERROR(MATCH('Analysis backend'!$M$1,E2069:N2069,0)),"",'Analysis backend'!$L$1)</f>
        <v/>
      </c>
      <c r="U2069" t="str">
        <f>IF(T2069='Analysis backend'!$L$1,IF(ISERROR(MATCH('Analysis backend'!$M$1,E2069:I2069,0)),"Dire","Radiant"),"")</f>
        <v/>
      </c>
    </row>
    <row r="2070" spans="20:21" x14ac:dyDescent="0.3">
      <c r="T2070" t="str">
        <f>IF(ISERROR(MATCH('Analysis backend'!$M$1,E2070:N2070,0)),"",'Analysis backend'!$L$1)</f>
        <v/>
      </c>
      <c r="U2070" t="str">
        <f>IF(T2070='Analysis backend'!$L$1,IF(ISERROR(MATCH('Analysis backend'!$M$1,E2070:I2070,0)),"Dire","Radiant"),"")</f>
        <v/>
      </c>
    </row>
    <row r="2071" spans="20:21" x14ac:dyDescent="0.3">
      <c r="T2071" t="str">
        <f>IF(ISERROR(MATCH('Analysis backend'!$M$1,E2071:N2071,0)),"",'Analysis backend'!$L$1)</f>
        <v/>
      </c>
      <c r="U2071" t="str">
        <f>IF(T2071='Analysis backend'!$L$1,IF(ISERROR(MATCH('Analysis backend'!$M$1,E2071:I2071,0)),"Dire","Radiant"),"")</f>
        <v/>
      </c>
    </row>
    <row r="2072" spans="20:21" x14ac:dyDescent="0.3">
      <c r="T2072" t="str">
        <f>IF(ISERROR(MATCH('Analysis backend'!$M$1,E2072:N2072,0)),"",'Analysis backend'!$L$1)</f>
        <v/>
      </c>
      <c r="U2072" t="str">
        <f>IF(T2072='Analysis backend'!$L$1,IF(ISERROR(MATCH('Analysis backend'!$M$1,E2072:I2072,0)),"Dire","Radiant"),"")</f>
        <v/>
      </c>
    </row>
    <row r="2073" spans="20:21" x14ac:dyDescent="0.3">
      <c r="T2073" t="str">
        <f>IF(ISERROR(MATCH('Analysis backend'!$M$1,E2073:N2073,0)),"",'Analysis backend'!$L$1)</f>
        <v/>
      </c>
      <c r="U2073" t="str">
        <f>IF(T2073='Analysis backend'!$L$1,IF(ISERROR(MATCH('Analysis backend'!$M$1,E2073:I2073,0)),"Dire","Radiant"),"")</f>
        <v/>
      </c>
    </row>
    <row r="2074" spans="20:21" x14ac:dyDescent="0.3">
      <c r="T2074" t="str">
        <f>IF(ISERROR(MATCH('Analysis backend'!$M$1,E2074:N2074,0)),"",'Analysis backend'!$L$1)</f>
        <v/>
      </c>
      <c r="U2074" t="str">
        <f>IF(T2074='Analysis backend'!$L$1,IF(ISERROR(MATCH('Analysis backend'!$M$1,E2074:I2074,0)),"Dire","Radiant"),"")</f>
        <v/>
      </c>
    </row>
    <row r="2075" spans="20:21" x14ac:dyDescent="0.3">
      <c r="T2075" t="str">
        <f>IF(ISERROR(MATCH('Analysis backend'!$M$1,E2075:N2075,0)),"",'Analysis backend'!$L$1)</f>
        <v/>
      </c>
      <c r="U2075" t="str">
        <f>IF(T2075='Analysis backend'!$L$1,IF(ISERROR(MATCH('Analysis backend'!$M$1,E2075:I2075,0)),"Dire","Radiant"),"")</f>
        <v/>
      </c>
    </row>
    <row r="2076" spans="20:21" x14ac:dyDescent="0.3">
      <c r="T2076" t="str">
        <f>IF(ISERROR(MATCH('Analysis backend'!$M$1,E2076:N2076,0)),"",'Analysis backend'!$L$1)</f>
        <v/>
      </c>
      <c r="U2076" t="str">
        <f>IF(T2076='Analysis backend'!$L$1,IF(ISERROR(MATCH('Analysis backend'!$M$1,E2076:I2076,0)),"Dire","Radiant"),"")</f>
        <v/>
      </c>
    </row>
    <row r="2077" spans="20:21" x14ac:dyDescent="0.3">
      <c r="T2077" t="str">
        <f>IF(ISERROR(MATCH('Analysis backend'!$M$1,E2077:N2077,0)),"",'Analysis backend'!$L$1)</f>
        <v/>
      </c>
      <c r="U2077" t="str">
        <f>IF(T2077='Analysis backend'!$L$1,IF(ISERROR(MATCH('Analysis backend'!$M$1,E2077:I2077,0)),"Dire","Radiant"),"")</f>
        <v/>
      </c>
    </row>
    <row r="2078" spans="20:21" x14ac:dyDescent="0.3">
      <c r="T2078" t="str">
        <f>IF(ISERROR(MATCH('Analysis backend'!$M$1,E2078:N2078,0)),"",'Analysis backend'!$L$1)</f>
        <v/>
      </c>
      <c r="U2078" t="str">
        <f>IF(T2078='Analysis backend'!$L$1,IF(ISERROR(MATCH('Analysis backend'!$M$1,E2078:I2078,0)),"Dire","Radiant"),"")</f>
        <v/>
      </c>
    </row>
    <row r="2079" spans="20:21" x14ac:dyDescent="0.3">
      <c r="T2079" t="str">
        <f>IF(ISERROR(MATCH('Analysis backend'!$M$1,E2079:N2079,0)),"",'Analysis backend'!$L$1)</f>
        <v/>
      </c>
      <c r="U2079" t="str">
        <f>IF(T2079='Analysis backend'!$L$1,IF(ISERROR(MATCH('Analysis backend'!$M$1,E2079:I2079,0)),"Dire","Radiant"),"")</f>
        <v/>
      </c>
    </row>
    <row r="2080" spans="20:21" x14ac:dyDescent="0.3">
      <c r="T2080" t="str">
        <f>IF(ISERROR(MATCH('Analysis backend'!$M$1,E2080:N2080,0)),"",'Analysis backend'!$L$1)</f>
        <v/>
      </c>
      <c r="U2080" t="str">
        <f>IF(T2080='Analysis backend'!$L$1,IF(ISERROR(MATCH('Analysis backend'!$M$1,E2080:I2080,0)),"Dire","Radiant"),"")</f>
        <v/>
      </c>
    </row>
    <row r="2081" spans="20:21" x14ac:dyDescent="0.3">
      <c r="T2081" t="str">
        <f>IF(ISERROR(MATCH('Analysis backend'!$M$1,E2081:N2081,0)),"",'Analysis backend'!$L$1)</f>
        <v/>
      </c>
      <c r="U2081" t="str">
        <f>IF(T2081='Analysis backend'!$L$1,IF(ISERROR(MATCH('Analysis backend'!$M$1,E2081:I2081,0)),"Dire","Radiant"),"")</f>
        <v/>
      </c>
    </row>
    <row r="2082" spans="20:21" x14ac:dyDescent="0.3">
      <c r="T2082" t="str">
        <f>IF(ISERROR(MATCH('Analysis backend'!$M$1,E2082:N2082,0)),"",'Analysis backend'!$L$1)</f>
        <v/>
      </c>
      <c r="U2082" t="str">
        <f>IF(T2082='Analysis backend'!$L$1,IF(ISERROR(MATCH('Analysis backend'!$M$1,E2082:I2082,0)),"Dire","Radiant"),"")</f>
        <v/>
      </c>
    </row>
    <row r="2083" spans="20:21" x14ac:dyDescent="0.3">
      <c r="T2083" t="str">
        <f>IF(ISERROR(MATCH('Analysis backend'!$M$1,E2083:N2083,0)),"",'Analysis backend'!$L$1)</f>
        <v/>
      </c>
      <c r="U2083" t="str">
        <f>IF(T2083='Analysis backend'!$L$1,IF(ISERROR(MATCH('Analysis backend'!$M$1,E2083:I2083,0)),"Dire","Radiant"),"")</f>
        <v/>
      </c>
    </row>
    <row r="2084" spans="20:21" x14ac:dyDescent="0.3">
      <c r="T2084" t="str">
        <f>IF(ISERROR(MATCH('Analysis backend'!$M$1,E2084:N2084,0)),"",'Analysis backend'!$L$1)</f>
        <v/>
      </c>
      <c r="U2084" t="str">
        <f>IF(T2084='Analysis backend'!$L$1,IF(ISERROR(MATCH('Analysis backend'!$M$1,E2084:I2084,0)),"Dire","Radiant"),"")</f>
        <v/>
      </c>
    </row>
    <row r="2085" spans="20:21" x14ac:dyDescent="0.3">
      <c r="T2085" t="str">
        <f>IF(ISERROR(MATCH('Analysis backend'!$M$1,E2085:N2085,0)),"",'Analysis backend'!$L$1)</f>
        <v/>
      </c>
      <c r="U2085" t="str">
        <f>IF(T2085='Analysis backend'!$L$1,IF(ISERROR(MATCH('Analysis backend'!$M$1,E2085:I2085,0)),"Dire","Radiant"),"")</f>
        <v/>
      </c>
    </row>
    <row r="2086" spans="20:21" x14ac:dyDescent="0.3">
      <c r="T2086" t="str">
        <f>IF(ISERROR(MATCH('Analysis backend'!$M$1,E2086:N2086,0)),"",'Analysis backend'!$L$1)</f>
        <v/>
      </c>
      <c r="U2086" t="str">
        <f>IF(T2086='Analysis backend'!$L$1,IF(ISERROR(MATCH('Analysis backend'!$M$1,E2086:I2086,0)),"Dire","Radiant"),"")</f>
        <v/>
      </c>
    </row>
    <row r="2087" spans="20:21" x14ac:dyDescent="0.3">
      <c r="T2087" t="str">
        <f>IF(ISERROR(MATCH('Analysis backend'!$M$1,E2087:N2087,0)),"",'Analysis backend'!$L$1)</f>
        <v/>
      </c>
      <c r="U2087" t="str">
        <f>IF(T2087='Analysis backend'!$L$1,IF(ISERROR(MATCH('Analysis backend'!$M$1,E2087:I2087,0)),"Dire","Radiant"),"")</f>
        <v/>
      </c>
    </row>
    <row r="2088" spans="20:21" x14ac:dyDescent="0.3">
      <c r="T2088" t="str">
        <f>IF(ISERROR(MATCH('Analysis backend'!$M$1,E2088:N2088,0)),"",'Analysis backend'!$L$1)</f>
        <v/>
      </c>
      <c r="U2088" t="str">
        <f>IF(T2088='Analysis backend'!$L$1,IF(ISERROR(MATCH('Analysis backend'!$M$1,E2088:I2088,0)),"Dire","Radiant"),"")</f>
        <v/>
      </c>
    </row>
    <row r="2089" spans="20:21" x14ac:dyDescent="0.3">
      <c r="T2089" t="str">
        <f>IF(ISERROR(MATCH('Analysis backend'!$M$1,E2089:N2089,0)),"",'Analysis backend'!$L$1)</f>
        <v/>
      </c>
      <c r="U2089" t="str">
        <f>IF(T2089='Analysis backend'!$L$1,IF(ISERROR(MATCH('Analysis backend'!$M$1,E2089:I2089,0)),"Dire","Radiant"),"")</f>
        <v/>
      </c>
    </row>
    <row r="2090" spans="20:21" x14ac:dyDescent="0.3">
      <c r="T2090" t="str">
        <f>IF(ISERROR(MATCH('Analysis backend'!$M$1,E2090:N2090,0)),"",'Analysis backend'!$L$1)</f>
        <v/>
      </c>
      <c r="U2090" t="str">
        <f>IF(T2090='Analysis backend'!$L$1,IF(ISERROR(MATCH('Analysis backend'!$M$1,E2090:I2090,0)),"Dire","Radiant"),"")</f>
        <v/>
      </c>
    </row>
    <row r="2091" spans="20:21" x14ac:dyDescent="0.3">
      <c r="T2091" t="str">
        <f>IF(ISERROR(MATCH('Analysis backend'!$M$1,E2091:N2091,0)),"",'Analysis backend'!$L$1)</f>
        <v/>
      </c>
      <c r="U2091" t="str">
        <f>IF(T2091='Analysis backend'!$L$1,IF(ISERROR(MATCH('Analysis backend'!$M$1,E2091:I2091,0)),"Dire","Radiant"),"")</f>
        <v/>
      </c>
    </row>
    <row r="2092" spans="20:21" x14ac:dyDescent="0.3">
      <c r="T2092" t="str">
        <f>IF(ISERROR(MATCH('Analysis backend'!$M$1,E2092:N2092,0)),"",'Analysis backend'!$L$1)</f>
        <v/>
      </c>
      <c r="U2092" t="str">
        <f>IF(T2092='Analysis backend'!$L$1,IF(ISERROR(MATCH('Analysis backend'!$M$1,E2092:I2092,0)),"Dire","Radiant"),"")</f>
        <v/>
      </c>
    </row>
    <row r="2093" spans="20:21" x14ac:dyDescent="0.3">
      <c r="T2093" t="str">
        <f>IF(ISERROR(MATCH('Analysis backend'!$M$1,E2093:N2093,0)),"",'Analysis backend'!$L$1)</f>
        <v/>
      </c>
      <c r="U2093" t="str">
        <f>IF(T2093='Analysis backend'!$L$1,IF(ISERROR(MATCH('Analysis backend'!$M$1,E2093:I2093,0)),"Dire","Radiant"),"")</f>
        <v/>
      </c>
    </row>
    <row r="2094" spans="20:21" x14ac:dyDescent="0.3">
      <c r="T2094" t="str">
        <f>IF(ISERROR(MATCH('Analysis backend'!$M$1,E2094:N2094,0)),"",'Analysis backend'!$L$1)</f>
        <v/>
      </c>
      <c r="U2094" t="str">
        <f>IF(T2094='Analysis backend'!$L$1,IF(ISERROR(MATCH('Analysis backend'!$M$1,E2094:I2094,0)),"Dire","Radiant"),"")</f>
        <v/>
      </c>
    </row>
    <row r="2095" spans="20:21" x14ac:dyDescent="0.3">
      <c r="T2095" t="str">
        <f>IF(ISERROR(MATCH('Analysis backend'!$M$1,E2095:N2095,0)),"",'Analysis backend'!$L$1)</f>
        <v/>
      </c>
      <c r="U2095" t="str">
        <f>IF(T2095='Analysis backend'!$L$1,IF(ISERROR(MATCH('Analysis backend'!$M$1,E2095:I2095,0)),"Dire","Radiant"),"")</f>
        <v/>
      </c>
    </row>
    <row r="2096" spans="20:21" x14ac:dyDescent="0.3">
      <c r="T2096" t="str">
        <f>IF(ISERROR(MATCH('Analysis backend'!$M$1,E2096:N2096,0)),"",'Analysis backend'!$L$1)</f>
        <v/>
      </c>
      <c r="U2096" t="str">
        <f>IF(T2096='Analysis backend'!$L$1,IF(ISERROR(MATCH('Analysis backend'!$M$1,E2096:I2096,0)),"Dire","Radiant"),"")</f>
        <v/>
      </c>
    </row>
    <row r="2097" spans="20:21" x14ac:dyDescent="0.3">
      <c r="T2097" t="str">
        <f>IF(ISERROR(MATCH('Analysis backend'!$M$1,E2097:N2097,0)),"",'Analysis backend'!$L$1)</f>
        <v/>
      </c>
      <c r="U2097" t="str">
        <f>IF(T2097='Analysis backend'!$L$1,IF(ISERROR(MATCH('Analysis backend'!$M$1,E2097:I2097,0)),"Dire","Radiant"),"")</f>
        <v/>
      </c>
    </row>
    <row r="2098" spans="20:21" x14ac:dyDescent="0.3">
      <c r="T2098" t="str">
        <f>IF(ISERROR(MATCH('Analysis backend'!$M$1,E2098:N2098,0)),"",'Analysis backend'!$L$1)</f>
        <v/>
      </c>
      <c r="U2098" t="str">
        <f>IF(T2098='Analysis backend'!$L$1,IF(ISERROR(MATCH('Analysis backend'!$M$1,E2098:I2098,0)),"Dire","Radiant"),"")</f>
        <v/>
      </c>
    </row>
    <row r="2099" spans="20:21" x14ac:dyDescent="0.3">
      <c r="T2099" t="str">
        <f>IF(ISERROR(MATCH('Analysis backend'!$M$1,E2099:N2099,0)),"",'Analysis backend'!$L$1)</f>
        <v/>
      </c>
      <c r="U2099" t="str">
        <f>IF(T2099='Analysis backend'!$L$1,IF(ISERROR(MATCH('Analysis backend'!$M$1,E2099:I2099,0)),"Dire","Radiant"),"")</f>
        <v/>
      </c>
    </row>
    <row r="2100" spans="20:21" x14ac:dyDescent="0.3">
      <c r="T2100" t="str">
        <f>IF(ISERROR(MATCH('Analysis backend'!$M$1,E2100:N2100,0)),"",'Analysis backend'!$L$1)</f>
        <v/>
      </c>
      <c r="U2100" t="str">
        <f>IF(T2100='Analysis backend'!$L$1,IF(ISERROR(MATCH('Analysis backend'!$M$1,E2100:I2100,0)),"Dire","Radiant"),"")</f>
        <v/>
      </c>
    </row>
    <row r="2101" spans="20:21" x14ac:dyDescent="0.3">
      <c r="T2101" t="str">
        <f>IF(ISERROR(MATCH('Analysis backend'!$M$1,E2101:N2101,0)),"",'Analysis backend'!$L$1)</f>
        <v/>
      </c>
      <c r="U2101" t="str">
        <f>IF(T2101='Analysis backend'!$L$1,IF(ISERROR(MATCH('Analysis backend'!$M$1,E2101:I2101,0)),"Dire","Radiant"),"")</f>
        <v/>
      </c>
    </row>
    <row r="2102" spans="20:21" x14ac:dyDescent="0.3">
      <c r="T2102" t="str">
        <f>IF(ISERROR(MATCH('Analysis backend'!$M$1,E2102:N2102,0)),"",'Analysis backend'!$L$1)</f>
        <v/>
      </c>
      <c r="U2102" t="str">
        <f>IF(T2102='Analysis backend'!$L$1,IF(ISERROR(MATCH('Analysis backend'!$M$1,E2102:I2102,0)),"Dire","Radiant"),"")</f>
        <v/>
      </c>
    </row>
    <row r="2103" spans="20:21" x14ac:dyDescent="0.3">
      <c r="T2103" t="str">
        <f>IF(ISERROR(MATCH('Analysis backend'!$M$1,E2103:N2103,0)),"",'Analysis backend'!$L$1)</f>
        <v/>
      </c>
      <c r="U2103" t="str">
        <f>IF(T2103='Analysis backend'!$L$1,IF(ISERROR(MATCH('Analysis backend'!$M$1,E2103:I2103,0)),"Dire","Radiant"),"")</f>
        <v/>
      </c>
    </row>
    <row r="2104" spans="20:21" x14ac:dyDescent="0.3">
      <c r="T2104" t="str">
        <f>IF(ISERROR(MATCH('Analysis backend'!$M$1,E2104:N2104,0)),"",'Analysis backend'!$L$1)</f>
        <v/>
      </c>
      <c r="U2104" t="str">
        <f>IF(T2104='Analysis backend'!$L$1,IF(ISERROR(MATCH('Analysis backend'!$M$1,E2104:I2104,0)),"Dire","Radiant"),"")</f>
        <v/>
      </c>
    </row>
    <row r="2105" spans="20:21" x14ac:dyDescent="0.3">
      <c r="T2105" t="str">
        <f>IF(ISERROR(MATCH('Analysis backend'!$M$1,E2105:N2105,0)),"",'Analysis backend'!$L$1)</f>
        <v/>
      </c>
      <c r="U2105" t="str">
        <f>IF(T2105='Analysis backend'!$L$1,IF(ISERROR(MATCH('Analysis backend'!$M$1,E2105:I2105,0)),"Dire","Radiant"),"")</f>
        <v/>
      </c>
    </row>
    <row r="2106" spans="20:21" x14ac:dyDescent="0.3">
      <c r="T2106" t="str">
        <f>IF(ISERROR(MATCH('Analysis backend'!$M$1,E2106:N2106,0)),"",'Analysis backend'!$L$1)</f>
        <v/>
      </c>
      <c r="U2106" t="str">
        <f>IF(T2106='Analysis backend'!$L$1,IF(ISERROR(MATCH('Analysis backend'!$M$1,E2106:I2106,0)),"Dire","Radiant"),"")</f>
        <v/>
      </c>
    </row>
    <row r="2107" spans="20:21" x14ac:dyDescent="0.3">
      <c r="T2107" t="str">
        <f>IF(ISERROR(MATCH('Analysis backend'!$M$1,E2107:N2107,0)),"",'Analysis backend'!$L$1)</f>
        <v/>
      </c>
      <c r="U2107" t="str">
        <f>IF(T2107='Analysis backend'!$L$1,IF(ISERROR(MATCH('Analysis backend'!$M$1,E2107:I2107,0)),"Dire","Radiant"),"")</f>
        <v/>
      </c>
    </row>
    <row r="2108" spans="20:21" x14ac:dyDescent="0.3">
      <c r="T2108" t="str">
        <f>IF(ISERROR(MATCH('Analysis backend'!$M$1,E2108:N2108,0)),"",'Analysis backend'!$L$1)</f>
        <v/>
      </c>
      <c r="U2108" t="str">
        <f>IF(T2108='Analysis backend'!$L$1,IF(ISERROR(MATCH('Analysis backend'!$M$1,E2108:I2108,0)),"Dire","Radiant"),"")</f>
        <v/>
      </c>
    </row>
    <row r="2109" spans="20:21" x14ac:dyDescent="0.3">
      <c r="T2109" t="str">
        <f>IF(ISERROR(MATCH('Analysis backend'!$M$1,E2109:N2109,0)),"",'Analysis backend'!$L$1)</f>
        <v/>
      </c>
      <c r="U2109" t="str">
        <f>IF(T2109='Analysis backend'!$L$1,IF(ISERROR(MATCH('Analysis backend'!$M$1,E2109:I2109,0)),"Dire","Radiant"),"")</f>
        <v/>
      </c>
    </row>
    <row r="2110" spans="20:21" x14ac:dyDescent="0.3">
      <c r="T2110" t="str">
        <f>IF(ISERROR(MATCH('Analysis backend'!$M$1,E2110:N2110,0)),"",'Analysis backend'!$L$1)</f>
        <v/>
      </c>
      <c r="U2110" t="str">
        <f>IF(T2110='Analysis backend'!$L$1,IF(ISERROR(MATCH('Analysis backend'!$M$1,E2110:I2110,0)),"Dire","Radiant"),"")</f>
        <v/>
      </c>
    </row>
    <row r="2111" spans="20:21" x14ac:dyDescent="0.3">
      <c r="T2111" t="str">
        <f>IF(ISERROR(MATCH('Analysis backend'!$M$1,E2111:N2111,0)),"",'Analysis backend'!$L$1)</f>
        <v/>
      </c>
      <c r="U2111" t="str">
        <f>IF(T2111='Analysis backend'!$L$1,IF(ISERROR(MATCH('Analysis backend'!$M$1,E2111:I2111,0)),"Dire","Radiant"),"")</f>
        <v/>
      </c>
    </row>
    <row r="2112" spans="20:21" x14ac:dyDescent="0.3">
      <c r="T2112" t="str">
        <f>IF(ISERROR(MATCH('Analysis backend'!$M$1,E2112:N2112,0)),"",'Analysis backend'!$L$1)</f>
        <v/>
      </c>
      <c r="U2112" t="str">
        <f>IF(T2112='Analysis backend'!$L$1,IF(ISERROR(MATCH('Analysis backend'!$M$1,E2112:I2112,0)),"Dire","Radiant"),"")</f>
        <v/>
      </c>
    </row>
    <row r="2113" spans="20:21" x14ac:dyDescent="0.3">
      <c r="T2113" t="str">
        <f>IF(ISERROR(MATCH('Analysis backend'!$M$1,E2113:N2113,0)),"",'Analysis backend'!$L$1)</f>
        <v/>
      </c>
      <c r="U2113" t="str">
        <f>IF(T2113='Analysis backend'!$L$1,IF(ISERROR(MATCH('Analysis backend'!$M$1,E2113:I2113,0)),"Dire","Radiant"),"")</f>
        <v/>
      </c>
    </row>
    <row r="2114" spans="20:21" x14ac:dyDescent="0.3">
      <c r="T2114" t="str">
        <f>IF(ISERROR(MATCH('Analysis backend'!$M$1,E2114:N2114,0)),"",'Analysis backend'!$L$1)</f>
        <v/>
      </c>
      <c r="U2114" t="str">
        <f>IF(T2114='Analysis backend'!$L$1,IF(ISERROR(MATCH('Analysis backend'!$M$1,E2114:I2114,0)),"Dire","Radiant"),"")</f>
        <v/>
      </c>
    </row>
    <row r="2115" spans="20:21" x14ac:dyDescent="0.3">
      <c r="T2115" t="str">
        <f>IF(ISERROR(MATCH('Analysis backend'!$M$1,E2115:N2115,0)),"",'Analysis backend'!$L$1)</f>
        <v/>
      </c>
      <c r="U2115" t="str">
        <f>IF(T2115='Analysis backend'!$L$1,IF(ISERROR(MATCH('Analysis backend'!$M$1,E2115:I2115,0)),"Dire","Radiant"),"")</f>
        <v/>
      </c>
    </row>
    <row r="2116" spans="20:21" x14ac:dyDescent="0.3">
      <c r="T2116" t="str">
        <f>IF(ISERROR(MATCH('Analysis backend'!$M$1,E2116:N2116,0)),"",'Analysis backend'!$L$1)</f>
        <v/>
      </c>
      <c r="U2116" t="str">
        <f>IF(T2116='Analysis backend'!$L$1,IF(ISERROR(MATCH('Analysis backend'!$M$1,E2116:I2116,0)),"Dire","Radiant"),"")</f>
        <v/>
      </c>
    </row>
    <row r="2117" spans="20:21" x14ac:dyDescent="0.3">
      <c r="T2117" t="str">
        <f>IF(ISERROR(MATCH('Analysis backend'!$M$1,E2117:N2117,0)),"",'Analysis backend'!$L$1)</f>
        <v/>
      </c>
      <c r="U2117" t="str">
        <f>IF(T2117='Analysis backend'!$L$1,IF(ISERROR(MATCH('Analysis backend'!$M$1,E2117:I2117,0)),"Dire","Radiant"),"")</f>
        <v/>
      </c>
    </row>
    <row r="2118" spans="20:21" x14ac:dyDescent="0.3">
      <c r="T2118" t="str">
        <f>IF(ISERROR(MATCH('Analysis backend'!$M$1,E2118:N2118,0)),"",'Analysis backend'!$L$1)</f>
        <v/>
      </c>
      <c r="U2118" t="str">
        <f>IF(T2118='Analysis backend'!$L$1,IF(ISERROR(MATCH('Analysis backend'!$M$1,E2118:I2118,0)),"Dire","Radiant"),"")</f>
        <v/>
      </c>
    </row>
    <row r="2119" spans="20:21" x14ac:dyDescent="0.3">
      <c r="T2119" t="str">
        <f>IF(ISERROR(MATCH('Analysis backend'!$M$1,E2119:N2119,0)),"",'Analysis backend'!$L$1)</f>
        <v/>
      </c>
      <c r="U2119" t="str">
        <f>IF(T2119='Analysis backend'!$L$1,IF(ISERROR(MATCH('Analysis backend'!$M$1,E2119:I2119,0)),"Dire","Radiant"),"")</f>
        <v/>
      </c>
    </row>
    <row r="2120" spans="20:21" x14ac:dyDescent="0.3">
      <c r="T2120" t="str">
        <f>IF(ISERROR(MATCH('Analysis backend'!$M$1,E2120:N2120,0)),"",'Analysis backend'!$L$1)</f>
        <v/>
      </c>
      <c r="U2120" t="str">
        <f>IF(T2120='Analysis backend'!$L$1,IF(ISERROR(MATCH('Analysis backend'!$M$1,E2120:I2120,0)),"Dire","Radiant"),"")</f>
        <v/>
      </c>
    </row>
    <row r="2121" spans="20:21" x14ac:dyDescent="0.3">
      <c r="T2121" t="str">
        <f>IF(ISERROR(MATCH('Analysis backend'!$M$1,E2121:N2121,0)),"",'Analysis backend'!$L$1)</f>
        <v/>
      </c>
      <c r="U2121" t="str">
        <f>IF(T2121='Analysis backend'!$L$1,IF(ISERROR(MATCH('Analysis backend'!$M$1,E2121:I2121,0)),"Dire","Radiant"),"")</f>
        <v/>
      </c>
    </row>
    <row r="2122" spans="20:21" x14ac:dyDescent="0.3">
      <c r="T2122" t="str">
        <f>IF(ISERROR(MATCH('Analysis backend'!$M$1,E2122:N2122,0)),"",'Analysis backend'!$L$1)</f>
        <v/>
      </c>
      <c r="U2122" t="str">
        <f>IF(T2122='Analysis backend'!$L$1,IF(ISERROR(MATCH('Analysis backend'!$M$1,E2122:I2122,0)),"Dire","Radiant"),"")</f>
        <v/>
      </c>
    </row>
    <row r="2123" spans="20:21" x14ac:dyDescent="0.3">
      <c r="T2123" t="str">
        <f>IF(ISERROR(MATCH('Analysis backend'!$M$1,E2123:N2123,0)),"",'Analysis backend'!$L$1)</f>
        <v/>
      </c>
      <c r="U2123" t="str">
        <f>IF(T2123='Analysis backend'!$L$1,IF(ISERROR(MATCH('Analysis backend'!$M$1,E2123:I2123,0)),"Dire","Radiant"),"")</f>
        <v/>
      </c>
    </row>
    <row r="2124" spans="20:21" x14ac:dyDescent="0.3">
      <c r="T2124" t="str">
        <f>IF(ISERROR(MATCH('Analysis backend'!$M$1,E2124:N2124,0)),"",'Analysis backend'!$L$1)</f>
        <v/>
      </c>
      <c r="U2124" t="str">
        <f>IF(T2124='Analysis backend'!$L$1,IF(ISERROR(MATCH('Analysis backend'!$M$1,E2124:I2124,0)),"Dire","Radiant"),"")</f>
        <v/>
      </c>
    </row>
    <row r="2125" spans="20:21" x14ac:dyDescent="0.3">
      <c r="T2125" t="str">
        <f>IF(ISERROR(MATCH('Analysis backend'!$M$1,E2125:N2125,0)),"",'Analysis backend'!$L$1)</f>
        <v/>
      </c>
      <c r="U2125" t="str">
        <f>IF(T2125='Analysis backend'!$L$1,IF(ISERROR(MATCH('Analysis backend'!$M$1,E2125:I2125,0)),"Dire","Radiant"),"")</f>
        <v/>
      </c>
    </row>
    <row r="2126" spans="20:21" x14ac:dyDescent="0.3">
      <c r="T2126" t="str">
        <f>IF(ISERROR(MATCH('Analysis backend'!$M$1,E2126:N2126,0)),"",'Analysis backend'!$L$1)</f>
        <v/>
      </c>
      <c r="U2126" t="str">
        <f>IF(T2126='Analysis backend'!$L$1,IF(ISERROR(MATCH('Analysis backend'!$M$1,E2126:I2126,0)),"Dire","Radiant"),"")</f>
        <v/>
      </c>
    </row>
    <row r="2127" spans="20:21" x14ac:dyDescent="0.3">
      <c r="T2127" t="str">
        <f>IF(ISERROR(MATCH('Analysis backend'!$M$1,E2127:N2127,0)),"",'Analysis backend'!$L$1)</f>
        <v/>
      </c>
      <c r="U2127" t="str">
        <f>IF(T2127='Analysis backend'!$L$1,IF(ISERROR(MATCH('Analysis backend'!$M$1,E2127:I2127,0)),"Dire","Radiant"),"")</f>
        <v/>
      </c>
    </row>
    <row r="2128" spans="20:21" x14ac:dyDescent="0.3">
      <c r="T2128" t="str">
        <f>IF(ISERROR(MATCH('Analysis backend'!$M$1,E2128:N2128,0)),"",'Analysis backend'!$L$1)</f>
        <v/>
      </c>
      <c r="U2128" t="str">
        <f>IF(T2128='Analysis backend'!$L$1,IF(ISERROR(MATCH('Analysis backend'!$M$1,E2128:I2128,0)),"Dire","Radiant"),"")</f>
        <v/>
      </c>
    </row>
    <row r="2129" spans="20:21" x14ac:dyDescent="0.3">
      <c r="T2129" t="str">
        <f>IF(ISERROR(MATCH('Analysis backend'!$M$1,E2129:N2129,0)),"",'Analysis backend'!$L$1)</f>
        <v/>
      </c>
      <c r="U2129" t="str">
        <f>IF(T2129='Analysis backend'!$L$1,IF(ISERROR(MATCH('Analysis backend'!$M$1,E2129:I2129,0)),"Dire","Radiant"),"")</f>
        <v/>
      </c>
    </row>
    <row r="2130" spans="20:21" x14ac:dyDescent="0.3">
      <c r="T2130" t="str">
        <f>IF(ISERROR(MATCH('Analysis backend'!$M$1,E2130:N2130,0)),"",'Analysis backend'!$L$1)</f>
        <v/>
      </c>
      <c r="U2130" t="str">
        <f>IF(T2130='Analysis backend'!$L$1,IF(ISERROR(MATCH('Analysis backend'!$M$1,E2130:I2130,0)),"Dire","Radiant"),"")</f>
        <v/>
      </c>
    </row>
    <row r="2131" spans="20:21" x14ac:dyDescent="0.3">
      <c r="T2131" t="str">
        <f>IF(ISERROR(MATCH('Analysis backend'!$M$1,E2131:N2131,0)),"",'Analysis backend'!$L$1)</f>
        <v/>
      </c>
      <c r="U2131" t="str">
        <f>IF(T2131='Analysis backend'!$L$1,IF(ISERROR(MATCH('Analysis backend'!$M$1,E2131:I2131,0)),"Dire","Radiant"),"")</f>
        <v/>
      </c>
    </row>
    <row r="2132" spans="20:21" x14ac:dyDescent="0.3">
      <c r="T2132" t="str">
        <f>IF(ISERROR(MATCH('Analysis backend'!$M$1,E2132:N2132,0)),"",'Analysis backend'!$L$1)</f>
        <v/>
      </c>
      <c r="U2132" t="str">
        <f>IF(T2132='Analysis backend'!$L$1,IF(ISERROR(MATCH('Analysis backend'!$M$1,E2132:I2132,0)),"Dire","Radiant"),"")</f>
        <v/>
      </c>
    </row>
    <row r="2133" spans="20:21" x14ac:dyDescent="0.3">
      <c r="T2133" t="str">
        <f>IF(ISERROR(MATCH('Analysis backend'!$M$1,E2133:N2133,0)),"",'Analysis backend'!$L$1)</f>
        <v/>
      </c>
      <c r="U2133" t="str">
        <f>IF(T2133='Analysis backend'!$L$1,IF(ISERROR(MATCH('Analysis backend'!$M$1,E2133:I2133,0)),"Dire","Radiant"),"")</f>
        <v/>
      </c>
    </row>
    <row r="2134" spans="20:21" x14ac:dyDescent="0.3">
      <c r="T2134" t="str">
        <f>IF(ISERROR(MATCH('Analysis backend'!$M$1,E2134:N2134,0)),"",'Analysis backend'!$L$1)</f>
        <v/>
      </c>
      <c r="U2134" t="str">
        <f>IF(T2134='Analysis backend'!$L$1,IF(ISERROR(MATCH('Analysis backend'!$M$1,E2134:I2134,0)),"Dire","Radiant"),"")</f>
        <v/>
      </c>
    </row>
    <row r="2135" spans="20:21" x14ac:dyDescent="0.3">
      <c r="T2135" t="str">
        <f>IF(ISERROR(MATCH('Analysis backend'!$M$1,E2135:N2135,0)),"",'Analysis backend'!$L$1)</f>
        <v/>
      </c>
      <c r="U2135" t="str">
        <f>IF(T2135='Analysis backend'!$L$1,IF(ISERROR(MATCH('Analysis backend'!$M$1,E2135:I2135,0)),"Dire","Radiant"),"")</f>
        <v/>
      </c>
    </row>
    <row r="2136" spans="20:21" x14ac:dyDescent="0.3">
      <c r="T2136" t="str">
        <f>IF(ISERROR(MATCH('Analysis backend'!$M$1,E2136:N2136,0)),"",'Analysis backend'!$L$1)</f>
        <v/>
      </c>
      <c r="U2136" t="str">
        <f>IF(T2136='Analysis backend'!$L$1,IF(ISERROR(MATCH('Analysis backend'!$M$1,E2136:I2136,0)),"Dire","Radiant"),"")</f>
        <v/>
      </c>
    </row>
    <row r="2137" spans="20:21" x14ac:dyDescent="0.3">
      <c r="T2137" t="str">
        <f>IF(ISERROR(MATCH('Analysis backend'!$M$1,E2137:N2137,0)),"",'Analysis backend'!$L$1)</f>
        <v/>
      </c>
      <c r="U2137" t="str">
        <f>IF(T2137='Analysis backend'!$L$1,IF(ISERROR(MATCH('Analysis backend'!$M$1,E2137:I2137,0)),"Dire","Radiant"),"")</f>
        <v/>
      </c>
    </row>
    <row r="2138" spans="20:21" x14ac:dyDescent="0.3">
      <c r="T2138" t="str">
        <f>IF(ISERROR(MATCH('Analysis backend'!$M$1,E2138:N2138,0)),"",'Analysis backend'!$L$1)</f>
        <v/>
      </c>
      <c r="U2138" t="str">
        <f>IF(T2138='Analysis backend'!$L$1,IF(ISERROR(MATCH('Analysis backend'!$M$1,E2138:I2138,0)),"Dire","Radiant"),"")</f>
        <v/>
      </c>
    </row>
    <row r="2139" spans="20:21" x14ac:dyDescent="0.3">
      <c r="T2139" t="str">
        <f>IF(ISERROR(MATCH('Analysis backend'!$M$1,E2139:N2139,0)),"",'Analysis backend'!$L$1)</f>
        <v/>
      </c>
      <c r="U2139" t="str">
        <f>IF(T2139='Analysis backend'!$L$1,IF(ISERROR(MATCH('Analysis backend'!$M$1,E2139:I2139,0)),"Dire","Radiant"),"")</f>
        <v/>
      </c>
    </row>
    <row r="2140" spans="20:21" x14ac:dyDescent="0.3">
      <c r="T2140" t="str">
        <f>IF(ISERROR(MATCH('Analysis backend'!$M$1,E2140:N2140,0)),"",'Analysis backend'!$L$1)</f>
        <v/>
      </c>
      <c r="U2140" t="str">
        <f>IF(T2140='Analysis backend'!$L$1,IF(ISERROR(MATCH('Analysis backend'!$M$1,E2140:I2140,0)),"Dire","Radiant"),"")</f>
        <v/>
      </c>
    </row>
    <row r="2141" spans="20:21" x14ac:dyDescent="0.3">
      <c r="T2141" t="str">
        <f>IF(ISERROR(MATCH('Analysis backend'!$M$1,E2141:N2141,0)),"",'Analysis backend'!$L$1)</f>
        <v/>
      </c>
      <c r="U2141" t="str">
        <f>IF(T2141='Analysis backend'!$L$1,IF(ISERROR(MATCH('Analysis backend'!$M$1,E2141:I2141,0)),"Dire","Radiant"),"")</f>
        <v/>
      </c>
    </row>
    <row r="2142" spans="20:21" x14ac:dyDescent="0.3">
      <c r="T2142" t="str">
        <f>IF(ISERROR(MATCH('Analysis backend'!$M$1,E2142:N2142,0)),"",'Analysis backend'!$L$1)</f>
        <v/>
      </c>
      <c r="U2142" t="str">
        <f>IF(T2142='Analysis backend'!$L$1,IF(ISERROR(MATCH('Analysis backend'!$M$1,E2142:I2142,0)),"Dire","Radiant"),"")</f>
        <v/>
      </c>
    </row>
    <row r="2143" spans="20:21" x14ac:dyDescent="0.3">
      <c r="T2143" t="str">
        <f>IF(ISERROR(MATCH('Analysis backend'!$M$1,E2143:N2143,0)),"",'Analysis backend'!$L$1)</f>
        <v/>
      </c>
      <c r="U2143" t="str">
        <f>IF(T2143='Analysis backend'!$L$1,IF(ISERROR(MATCH('Analysis backend'!$M$1,E2143:I2143,0)),"Dire","Radiant"),"")</f>
        <v/>
      </c>
    </row>
    <row r="2144" spans="20:21" x14ac:dyDescent="0.3">
      <c r="T2144" t="str">
        <f>IF(ISERROR(MATCH('Analysis backend'!$M$1,E2144:N2144,0)),"",'Analysis backend'!$L$1)</f>
        <v/>
      </c>
      <c r="U2144" t="str">
        <f>IF(T2144='Analysis backend'!$L$1,IF(ISERROR(MATCH('Analysis backend'!$M$1,E2144:I2144,0)),"Dire","Radiant"),"")</f>
        <v/>
      </c>
    </row>
    <row r="2145" spans="20:21" x14ac:dyDescent="0.3">
      <c r="T2145" t="str">
        <f>IF(ISERROR(MATCH('Analysis backend'!$M$1,E2145:N2145,0)),"",'Analysis backend'!$L$1)</f>
        <v/>
      </c>
      <c r="U2145" t="str">
        <f>IF(T2145='Analysis backend'!$L$1,IF(ISERROR(MATCH('Analysis backend'!$M$1,E2145:I2145,0)),"Dire","Radiant"),"")</f>
        <v/>
      </c>
    </row>
    <row r="2146" spans="20:21" x14ac:dyDescent="0.3">
      <c r="T2146" t="str">
        <f>IF(ISERROR(MATCH('Analysis backend'!$M$1,E2146:N2146,0)),"",'Analysis backend'!$L$1)</f>
        <v/>
      </c>
      <c r="U2146" t="str">
        <f>IF(T2146='Analysis backend'!$L$1,IF(ISERROR(MATCH('Analysis backend'!$M$1,E2146:I2146,0)),"Dire","Radiant"),"")</f>
        <v/>
      </c>
    </row>
    <row r="2147" spans="20:21" x14ac:dyDescent="0.3">
      <c r="T2147" t="str">
        <f>IF(ISERROR(MATCH('Analysis backend'!$M$1,E2147:N2147,0)),"",'Analysis backend'!$L$1)</f>
        <v/>
      </c>
      <c r="U2147" t="str">
        <f>IF(T2147='Analysis backend'!$L$1,IF(ISERROR(MATCH('Analysis backend'!$M$1,E2147:I2147,0)),"Dire","Radiant"),"")</f>
        <v/>
      </c>
    </row>
    <row r="2148" spans="20:21" x14ac:dyDescent="0.3">
      <c r="T2148" t="str">
        <f>IF(ISERROR(MATCH('Analysis backend'!$M$1,E2148:N2148,0)),"",'Analysis backend'!$L$1)</f>
        <v/>
      </c>
      <c r="U2148" t="str">
        <f>IF(T2148='Analysis backend'!$L$1,IF(ISERROR(MATCH('Analysis backend'!$M$1,E2148:I2148,0)),"Dire","Radiant"),"")</f>
        <v/>
      </c>
    </row>
    <row r="2149" spans="20:21" x14ac:dyDescent="0.3">
      <c r="T2149" t="str">
        <f>IF(ISERROR(MATCH('Analysis backend'!$M$1,E2149:N2149,0)),"",'Analysis backend'!$L$1)</f>
        <v/>
      </c>
      <c r="U2149" t="str">
        <f>IF(T2149='Analysis backend'!$L$1,IF(ISERROR(MATCH('Analysis backend'!$M$1,E2149:I2149,0)),"Dire","Radiant"),"")</f>
        <v/>
      </c>
    </row>
    <row r="2150" spans="20:21" x14ac:dyDescent="0.3">
      <c r="T2150" t="str">
        <f>IF(ISERROR(MATCH('Analysis backend'!$M$1,E2150:N2150,0)),"",'Analysis backend'!$L$1)</f>
        <v/>
      </c>
      <c r="U2150" t="str">
        <f>IF(T2150='Analysis backend'!$L$1,IF(ISERROR(MATCH('Analysis backend'!$M$1,E2150:I2150,0)),"Dire","Radiant"),"")</f>
        <v/>
      </c>
    </row>
    <row r="2151" spans="20:21" x14ac:dyDescent="0.3">
      <c r="T2151" t="str">
        <f>IF(ISERROR(MATCH('Analysis backend'!$M$1,E2151:N2151,0)),"",'Analysis backend'!$L$1)</f>
        <v/>
      </c>
      <c r="U2151" t="str">
        <f>IF(T2151='Analysis backend'!$L$1,IF(ISERROR(MATCH('Analysis backend'!$M$1,E2151:I2151,0)),"Dire","Radiant"),"")</f>
        <v/>
      </c>
    </row>
    <row r="2152" spans="20:21" x14ac:dyDescent="0.3">
      <c r="T2152" t="str">
        <f>IF(ISERROR(MATCH('Analysis backend'!$M$1,E2152:N2152,0)),"",'Analysis backend'!$L$1)</f>
        <v/>
      </c>
      <c r="U2152" t="str">
        <f>IF(T2152='Analysis backend'!$L$1,IF(ISERROR(MATCH('Analysis backend'!$M$1,E2152:I2152,0)),"Dire","Radiant"),"")</f>
        <v/>
      </c>
    </row>
    <row r="2153" spans="20:21" x14ac:dyDescent="0.3">
      <c r="T2153" t="str">
        <f>IF(ISERROR(MATCH('Analysis backend'!$M$1,E2153:N2153,0)),"",'Analysis backend'!$L$1)</f>
        <v/>
      </c>
      <c r="U2153" t="str">
        <f>IF(T2153='Analysis backend'!$L$1,IF(ISERROR(MATCH('Analysis backend'!$M$1,E2153:I2153,0)),"Dire","Radiant"),"")</f>
        <v/>
      </c>
    </row>
    <row r="2154" spans="20:21" x14ac:dyDescent="0.3">
      <c r="T2154" t="str">
        <f>IF(ISERROR(MATCH('Analysis backend'!$M$1,E2154:N2154,0)),"",'Analysis backend'!$L$1)</f>
        <v/>
      </c>
      <c r="U2154" t="str">
        <f>IF(T2154='Analysis backend'!$L$1,IF(ISERROR(MATCH('Analysis backend'!$M$1,E2154:I2154,0)),"Dire","Radiant"),"")</f>
        <v/>
      </c>
    </row>
    <row r="2155" spans="20:21" x14ac:dyDescent="0.3">
      <c r="T2155" t="str">
        <f>IF(ISERROR(MATCH('Analysis backend'!$M$1,E2155:N2155,0)),"",'Analysis backend'!$L$1)</f>
        <v/>
      </c>
      <c r="U2155" t="str">
        <f>IF(T2155='Analysis backend'!$L$1,IF(ISERROR(MATCH('Analysis backend'!$M$1,E2155:I2155,0)),"Dire","Radiant"),"")</f>
        <v/>
      </c>
    </row>
    <row r="2156" spans="20:21" x14ac:dyDescent="0.3">
      <c r="T2156" t="str">
        <f>IF(ISERROR(MATCH('Analysis backend'!$M$1,E2156:N2156,0)),"",'Analysis backend'!$L$1)</f>
        <v/>
      </c>
      <c r="U2156" t="str">
        <f>IF(T2156='Analysis backend'!$L$1,IF(ISERROR(MATCH('Analysis backend'!$M$1,E2156:I2156,0)),"Dire","Radiant"),"")</f>
        <v/>
      </c>
    </row>
    <row r="2157" spans="20:21" x14ac:dyDescent="0.3">
      <c r="T2157" t="str">
        <f>IF(ISERROR(MATCH('Analysis backend'!$M$1,E2157:N2157,0)),"",'Analysis backend'!$L$1)</f>
        <v/>
      </c>
      <c r="U2157" t="str">
        <f>IF(T2157='Analysis backend'!$L$1,IF(ISERROR(MATCH('Analysis backend'!$M$1,E2157:I2157,0)),"Dire","Radiant"),"")</f>
        <v/>
      </c>
    </row>
    <row r="2158" spans="20:21" x14ac:dyDescent="0.3">
      <c r="T2158" t="str">
        <f>IF(ISERROR(MATCH('Analysis backend'!$M$1,E2158:N2158,0)),"",'Analysis backend'!$L$1)</f>
        <v/>
      </c>
      <c r="U2158" t="str">
        <f>IF(T2158='Analysis backend'!$L$1,IF(ISERROR(MATCH('Analysis backend'!$M$1,E2158:I2158,0)),"Dire","Radiant"),"")</f>
        <v/>
      </c>
    </row>
    <row r="2159" spans="20:21" x14ac:dyDescent="0.3">
      <c r="T2159" t="str">
        <f>IF(ISERROR(MATCH('Analysis backend'!$M$1,E2159:N2159,0)),"",'Analysis backend'!$L$1)</f>
        <v/>
      </c>
      <c r="U2159" t="str">
        <f>IF(T2159='Analysis backend'!$L$1,IF(ISERROR(MATCH('Analysis backend'!$M$1,E2159:I2159,0)),"Dire","Radiant"),"")</f>
        <v/>
      </c>
    </row>
    <row r="2160" spans="20:21" x14ac:dyDescent="0.3">
      <c r="T2160" t="str">
        <f>IF(ISERROR(MATCH('Analysis backend'!$M$1,E2160:N2160,0)),"",'Analysis backend'!$L$1)</f>
        <v/>
      </c>
      <c r="U2160" t="str">
        <f>IF(T2160='Analysis backend'!$L$1,IF(ISERROR(MATCH('Analysis backend'!$M$1,E2160:I2160,0)),"Dire","Radiant"),"")</f>
        <v/>
      </c>
    </row>
    <row r="2161" spans="20:21" x14ac:dyDescent="0.3">
      <c r="T2161" t="str">
        <f>IF(ISERROR(MATCH('Analysis backend'!$M$1,E2161:N2161,0)),"",'Analysis backend'!$L$1)</f>
        <v/>
      </c>
      <c r="U2161" t="str">
        <f>IF(T2161='Analysis backend'!$L$1,IF(ISERROR(MATCH('Analysis backend'!$M$1,E2161:I2161,0)),"Dire","Radiant"),"")</f>
        <v/>
      </c>
    </row>
    <row r="2162" spans="20:21" x14ac:dyDescent="0.3">
      <c r="T2162" t="str">
        <f>IF(ISERROR(MATCH('Analysis backend'!$M$1,E2162:N2162,0)),"",'Analysis backend'!$L$1)</f>
        <v/>
      </c>
      <c r="U2162" t="str">
        <f>IF(T2162='Analysis backend'!$L$1,IF(ISERROR(MATCH('Analysis backend'!$M$1,E2162:I2162,0)),"Dire","Radiant"),"")</f>
        <v/>
      </c>
    </row>
    <row r="2163" spans="20:21" x14ac:dyDescent="0.3">
      <c r="T2163" t="str">
        <f>IF(ISERROR(MATCH('Analysis backend'!$M$1,E2163:N2163,0)),"",'Analysis backend'!$L$1)</f>
        <v/>
      </c>
      <c r="U2163" t="str">
        <f>IF(T2163='Analysis backend'!$L$1,IF(ISERROR(MATCH('Analysis backend'!$M$1,E2163:I2163,0)),"Dire","Radiant"),"")</f>
        <v/>
      </c>
    </row>
    <row r="2164" spans="20:21" x14ac:dyDescent="0.3">
      <c r="T2164" t="str">
        <f>IF(ISERROR(MATCH('Analysis backend'!$M$1,E2164:N2164,0)),"",'Analysis backend'!$L$1)</f>
        <v/>
      </c>
      <c r="U2164" t="str">
        <f>IF(T2164='Analysis backend'!$L$1,IF(ISERROR(MATCH('Analysis backend'!$M$1,E2164:I2164,0)),"Dire","Radiant"),"")</f>
        <v/>
      </c>
    </row>
    <row r="2165" spans="20:21" x14ac:dyDescent="0.3">
      <c r="T2165" t="str">
        <f>IF(ISERROR(MATCH('Analysis backend'!$M$1,E2165:N2165,0)),"",'Analysis backend'!$L$1)</f>
        <v/>
      </c>
      <c r="U2165" t="str">
        <f>IF(T2165='Analysis backend'!$L$1,IF(ISERROR(MATCH('Analysis backend'!$M$1,E2165:I2165,0)),"Dire","Radiant"),"")</f>
        <v/>
      </c>
    </row>
    <row r="2166" spans="20:21" x14ac:dyDescent="0.3">
      <c r="T2166" t="str">
        <f>IF(ISERROR(MATCH('Analysis backend'!$M$1,E2166:N2166,0)),"",'Analysis backend'!$L$1)</f>
        <v/>
      </c>
      <c r="U2166" t="str">
        <f>IF(T2166='Analysis backend'!$L$1,IF(ISERROR(MATCH('Analysis backend'!$M$1,E2166:I2166,0)),"Dire","Radiant"),"")</f>
        <v/>
      </c>
    </row>
    <row r="2167" spans="20:21" x14ac:dyDescent="0.3">
      <c r="T2167" t="str">
        <f>IF(ISERROR(MATCH('Analysis backend'!$M$1,E2167:N2167,0)),"",'Analysis backend'!$L$1)</f>
        <v/>
      </c>
      <c r="U2167" t="str">
        <f>IF(T2167='Analysis backend'!$L$1,IF(ISERROR(MATCH('Analysis backend'!$M$1,E2167:I2167,0)),"Dire","Radiant"),"")</f>
        <v/>
      </c>
    </row>
    <row r="2168" spans="20:21" x14ac:dyDescent="0.3">
      <c r="T2168" t="str">
        <f>IF(ISERROR(MATCH('Analysis backend'!$M$1,E2168:N2168,0)),"",'Analysis backend'!$L$1)</f>
        <v/>
      </c>
      <c r="U2168" t="str">
        <f>IF(T2168='Analysis backend'!$L$1,IF(ISERROR(MATCH('Analysis backend'!$M$1,E2168:I2168,0)),"Dire","Radiant"),"")</f>
        <v/>
      </c>
    </row>
    <row r="2169" spans="20:21" x14ac:dyDescent="0.3">
      <c r="T2169" t="str">
        <f>IF(ISERROR(MATCH('Analysis backend'!$M$1,E2169:N2169,0)),"",'Analysis backend'!$L$1)</f>
        <v/>
      </c>
      <c r="U2169" t="str">
        <f>IF(T2169='Analysis backend'!$L$1,IF(ISERROR(MATCH('Analysis backend'!$M$1,E2169:I2169,0)),"Dire","Radiant"),"")</f>
        <v/>
      </c>
    </row>
    <row r="2170" spans="20:21" x14ac:dyDescent="0.3">
      <c r="T2170" t="str">
        <f>IF(ISERROR(MATCH('Analysis backend'!$M$1,E2170:N2170,0)),"",'Analysis backend'!$L$1)</f>
        <v/>
      </c>
      <c r="U2170" t="str">
        <f>IF(T2170='Analysis backend'!$L$1,IF(ISERROR(MATCH('Analysis backend'!$M$1,E2170:I2170,0)),"Dire","Radiant"),"")</f>
        <v/>
      </c>
    </row>
    <row r="2171" spans="20:21" x14ac:dyDescent="0.3">
      <c r="T2171" t="str">
        <f>IF(ISERROR(MATCH('Analysis backend'!$M$1,E2171:N2171,0)),"",'Analysis backend'!$L$1)</f>
        <v/>
      </c>
      <c r="U2171" t="str">
        <f>IF(T2171='Analysis backend'!$L$1,IF(ISERROR(MATCH('Analysis backend'!$M$1,E2171:I2171,0)),"Dire","Radiant"),"")</f>
        <v/>
      </c>
    </row>
    <row r="2172" spans="20:21" x14ac:dyDescent="0.3">
      <c r="T2172" t="str">
        <f>IF(ISERROR(MATCH('Analysis backend'!$M$1,E2172:N2172,0)),"",'Analysis backend'!$L$1)</f>
        <v/>
      </c>
      <c r="U2172" t="str">
        <f>IF(T2172='Analysis backend'!$L$1,IF(ISERROR(MATCH('Analysis backend'!$M$1,E2172:I2172,0)),"Dire","Radiant"),"")</f>
        <v/>
      </c>
    </row>
    <row r="2173" spans="20:21" x14ac:dyDescent="0.3">
      <c r="T2173" t="str">
        <f>IF(ISERROR(MATCH('Analysis backend'!$M$1,E2173:N2173,0)),"",'Analysis backend'!$L$1)</f>
        <v/>
      </c>
      <c r="U2173" t="str">
        <f>IF(T2173='Analysis backend'!$L$1,IF(ISERROR(MATCH('Analysis backend'!$M$1,E2173:I2173,0)),"Dire","Radiant"),"")</f>
        <v/>
      </c>
    </row>
    <row r="2174" spans="20:21" x14ac:dyDescent="0.3">
      <c r="T2174" t="str">
        <f>IF(ISERROR(MATCH('Analysis backend'!$M$1,E2174:N2174,0)),"",'Analysis backend'!$L$1)</f>
        <v/>
      </c>
      <c r="U2174" t="str">
        <f>IF(T2174='Analysis backend'!$L$1,IF(ISERROR(MATCH('Analysis backend'!$M$1,E2174:I2174,0)),"Dire","Radiant"),"")</f>
        <v/>
      </c>
    </row>
    <row r="2175" spans="20:21" x14ac:dyDescent="0.3">
      <c r="T2175" t="str">
        <f>IF(ISERROR(MATCH('Analysis backend'!$M$1,E2175:N2175,0)),"",'Analysis backend'!$L$1)</f>
        <v/>
      </c>
      <c r="U2175" t="str">
        <f>IF(T2175='Analysis backend'!$L$1,IF(ISERROR(MATCH('Analysis backend'!$M$1,E2175:I2175,0)),"Dire","Radiant"),"")</f>
        <v/>
      </c>
    </row>
    <row r="2176" spans="20:21" x14ac:dyDescent="0.3">
      <c r="T2176" t="str">
        <f>IF(ISERROR(MATCH('Analysis backend'!$M$1,E2176:N2176,0)),"",'Analysis backend'!$L$1)</f>
        <v/>
      </c>
      <c r="U2176" t="str">
        <f>IF(T2176='Analysis backend'!$L$1,IF(ISERROR(MATCH('Analysis backend'!$M$1,E2176:I2176,0)),"Dire","Radiant"),"")</f>
        <v/>
      </c>
    </row>
    <row r="2177" spans="20:21" x14ac:dyDescent="0.3">
      <c r="T2177" t="str">
        <f>IF(ISERROR(MATCH('Analysis backend'!$M$1,E2177:N2177,0)),"",'Analysis backend'!$L$1)</f>
        <v/>
      </c>
      <c r="U2177" t="str">
        <f>IF(T2177='Analysis backend'!$L$1,IF(ISERROR(MATCH('Analysis backend'!$M$1,E2177:I2177,0)),"Dire","Radiant"),"")</f>
        <v/>
      </c>
    </row>
    <row r="2178" spans="20:21" x14ac:dyDescent="0.3">
      <c r="T2178" t="str">
        <f>IF(ISERROR(MATCH('Analysis backend'!$M$1,E2178:N2178,0)),"",'Analysis backend'!$L$1)</f>
        <v/>
      </c>
      <c r="U2178" t="str">
        <f>IF(T2178='Analysis backend'!$L$1,IF(ISERROR(MATCH('Analysis backend'!$M$1,E2178:I2178,0)),"Dire","Radiant"),"")</f>
        <v/>
      </c>
    </row>
    <row r="2179" spans="20:21" x14ac:dyDescent="0.3">
      <c r="T2179" t="str">
        <f>IF(ISERROR(MATCH('Analysis backend'!$M$1,E2179:N2179,0)),"",'Analysis backend'!$L$1)</f>
        <v/>
      </c>
      <c r="U2179" t="str">
        <f>IF(T2179='Analysis backend'!$L$1,IF(ISERROR(MATCH('Analysis backend'!$M$1,E2179:I2179,0)),"Dire","Radiant"),"")</f>
        <v/>
      </c>
    </row>
    <row r="2180" spans="20:21" x14ac:dyDescent="0.3">
      <c r="T2180" t="str">
        <f>IF(ISERROR(MATCH('Analysis backend'!$M$1,E2180:N2180,0)),"",'Analysis backend'!$L$1)</f>
        <v/>
      </c>
      <c r="U2180" t="str">
        <f>IF(T2180='Analysis backend'!$L$1,IF(ISERROR(MATCH('Analysis backend'!$M$1,E2180:I2180,0)),"Dire","Radiant"),"")</f>
        <v/>
      </c>
    </row>
    <row r="2181" spans="20:21" x14ac:dyDescent="0.3">
      <c r="T2181" t="str">
        <f>IF(ISERROR(MATCH('Analysis backend'!$M$1,E2181:N2181,0)),"",'Analysis backend'!$L$1)</f>
        <v/>
      </c>
      <c r="U2181" t="str">
        <f>IF(T2181='Analysis backend'!$L$1,IF(ISERROR(MATCH('Analysis backend'!$M$1,E2181:I2181,0)),"Dire","Radiant"),"")</f>
        <v/>
      </c>
    </row>
    <row r="2182" spans="20:21" x14ac:dyDescent="0.3">
      <c r="T2182" t="str">
        <f>IF(ISERROR(MATCH('Analysis backend'!$M$1,E2182:N2182,0)),"",'Analysis backend'!$L$1)</f>
        <v/>
      </c>
      <c r="U2182" t="str">
        <f>IF(T2182='Analysis backend'!$L$1,IF(ISERROR(MATCH('Analysis backend'!$M$1,E2182:I2182,0)),"Dire","Radiant"),"")</f>
        <v/>
      </c>
    </row>
    <row r="2183" spans="20:21" x14ac:dyDescent="0.3">
      <c r="T2183" t="str">
        <f>IF(ISERROR(MATCH('Analysis backend'!$M$1,E2183:N2183,0)),"",'Analysis backend'!$L$1)</f>
        <v/>
      </c>
      <c r="U2183" t="str">
        <f>IF(T2183='Analysis backend'!$L$1,IF(ISERROR(MATCH('Analysis backend'!$M$1,E2183:I2183,0)),"Dire","Radiant"),"")</f>
        <v/>
      </c>
    </row>
    <row r="2184" spans="20:21" x14ac:dyDescent="0.3">
      <c r="T2184" t="str">
        <f>IF(ISERROR(MATCH('Analysis backend'!$M$1,E2184:N2184,0)),"",'Analysis backend'!$L$1)</f>
        <v/>
      </c>
      <c r="U2184" t="str">
        <f>IF(T2184='Analysis backend'!$L$1,IF(ISERROR(MATCH('Analysis backend'!$M$1,E2184:I2184,0)),"Dire","Radiant"),"")</f>
        <v/>
      </c>
    </row>
    <row r="2185" spans="20:21" x14ac:dyDescent="0.3">
      <c r="T2185" t="str">
        <f>IF(ISERROR(MATCH('Analysis backend'!$M$1,E2185:N2185,0)),"",'Analysis backend'!$L$1)</f>
        <v/>
      </c>
      <c r="U2185" t="str">
        <f>IF(T2185='Analysis backend'!$L$1,IF(ISERROR(MATCH('Analysis backend'!$M$1,E2185:I2185,0)),"Dire","Radiant"),"")</f>
        <v/>
      </c>
    </row>
    <row r="2186" spans="20:21" x14ac:dyDescent="0.3">
      <c r="T2186" t="str">
        <f>IF(ISERROR(MATCH('Analysis backend'!$M$1,E2186:N2186,0)),"",'Analysis backend'!$L$1)</f>
        <v/>
      </c>
      <c r="U2186" t="str">
        <f>IF(T2186='Analysis backend'!$L$1,IF(ISERROR(MATCH('Analysis backend'!$M$1,E2186:I2186,0)),"Dire","Radiant"),"")</f>
        <v/>
      </c>
    </row>
    <row r="2187" spans="20:21" x14ac:dyDescent="0.3">
      <c r="T2187" t="str">
        <f>IF(ISERROR(MATCH('Analysis backend'!$M$1,E2187:N2187,0)),"",'Analysis backend'!$L$1)</f>
        <v/>
      </c>
      <c r="U2187" t="str">
        <f>IF(T2187='Analysis backend'!$L$1,IF(ISERROR(MATCH('Analysis backend'!$M$1,E2187:I2187,0)),"Dire","Radiant"),"")</f>
        <v/>
      </c>
    </row>
    <row r="2188" spans="20:21" x14ac:dyDescent="0.3">
      <c r="T2188" t="str">
        <f>IF(ISERROR(MATCH('Analysis backend'!$M$1,E2188:N2188,0)),"",'Analysis backend'!$L$1)</f>
        <v/>
      </c>
      <c r="U2188" t="str">
        <f>IF(T2188='Analysis backend'!$L$1,IF(ISERROR(MATCH('Analysis backend'!$M$1,E2188:I2188,0)),"Dire","Radiant"),"")</f>
        <v/>
      </c>
    </row>
    <row r="2189" spans="20:21" x14ac:dyDescent="0.3">
      <c r="T2189" t="str">
        <f>IF(ISERROR(MATCH('Analysis backend'!$M$1,E2189:N2189,0)),"",'Analysis backend'!$L$1)</f>
        <v/>
      </c>
      <c r="U2189" t="str">
        <f>IF(T2189='Analysis backend'!$L$1,IF(ISERROR(MATCH('Analysis backend'!$M$1,E2189:I2189,0)),"Dire","Radiant"),"")</f>
        <v/>
      </c>
    </row>
    <row r="2190" spans="20:21" x14ac:dyDescent="0.3">
      <c r="T2190" t="str">
        <f>IF(ISERROR(MATCH('Analysis backend'!$M$1,E2190:N2190,0)),"",'Analysis backend'!$L$1)</f>
        <v/>
      </c>
      <c r="U2190" t="str">
        <f>IF(T2190='Analysis backend'!$L$1,IF(ISERROR(MATCH('Analysis backend'!$M$1,E2190:I2190,0)),"Dire","Radiant"),"")</f>
        <v/>
      </c>
    </row>
    <row r="2191" spans="20:21" x14ac:dyDescent="0.3">
      <c r="T2191" t="str">
        <f>IF(ISERROR(MATCH('Analysis backend'!$M$1,E2191:N2191,0)),"",'Analysis backend'!$L$1)</f>
        <v/>
      </c>
      <c r="U2191" t="str">
        <f>IF(T2191='Analysis backend'!$L$1,IF(ISERROR(MATCH('Analysis backend'!$M$1,E2191:I2191,0)),"Dire","Radiant"),"")</f>
        <v/>
      </c>
    </row>
    <row r="2192" spans="20:21" x14ac:dyDescent="0.3">
      <c r="T2192" t="str">
        <f>IF(ISERROR(MATCH('Analysis backend'!$M$1,E2192:N2192,0)),"",'Analysis backend'!$L$1)</f>
        <v/>
      </c>
      <c r="U2192" t="str">
        <f>IF(T2192='Analysis backend'!$L$1,IF(ISERROR(MATCH('Analysis backend'!$M$1,E2192:I2192,0)),"Dire","Radiant"),"")</f>
        <v/>
      </c>
    </row>
    <row r="2193" spans="20:21" x14ac:dyDescent="0.3">
      <c r="T2193" t="str">
        <f>IF(ISERROR(MATCH('Analysis backend'!$M$1,E2193:N2193,0)),"",'Analysis backend'!$L$1)</f>
        <v/>
      </c>
      <c r="U2193" t="str">
        <f>IF(T2193='Analysis backend'!$L$1,IF(ISERROR(MATCH('Analysis backend'!$M$1,E2193:I2193,0)),"Dire","Radiant"),"")</f>
        <v/>
      </c>
    </row>
    <row r="2194" spans="20:21" x14ac:dyDescent="0.3">
      <c r="T2194" t="str">
        <f>IF(ISERROR(MATCH('Analysis backend'!$M$1,E2194:N2194,0)),"",'Analysis backend'!$L$1)</f>
        <v/>
      </c>
      <c r="U2194" t="str">
        <f>IF(T2194='Analysis backend'!$L$1,IF(ISERROR(MATCH('Analysis backend'!$M$1,E2194:I2194,0)),"Dire","Radiant"),"")</f>
        <v/>
      </c>
    </row>
    <row r="2195" spans="20:21" x14ac:dyDescent="0.3">
      <c r="T2195" t="str">
        <f>IF(ISERROR(MATCH('Analysis backend'!$M$1,E2195:N2195,0)),"",'Analysis backend'!$L$1)</f>
        <v/>
      </c>
      <c r="U2195" t="str">
        <f>IF(T2195='Analysis backend'!$L$1,IF(ISERROR(MATCH('Analysis backend'!$M$1,E2195:I2195,0)),"Dire","Radiant"),"")</f>
        <v/>
      </c>
    </row>
    <row r="2196" spans="20:21" x14ac:dyDescent="0.3">
      <c r="T2196" t="str">
        <f>IF(ISERROR(MATCH('Analysis backend'!$M$1,E2196:N2196,0)),"",'Analysis backend'!$L$1)</f>
        <v/>
      </c>
      <c r="U2196" t="str">
        <f>IF(T2196='Analysis backend'!$L$1,IF(ISERROR(MATCH('Analysis backend'!$M$1,E2196:I2196,0)),"Dire","Radiant"),"")</f>
        <v/>
      </c>
    </row>
    <row r="2197" spans="20:21" x14ac:dyDescent="0.3">
      <c r="T2197" t="str">
        <f>IF(ISERROR(MATCH('Analysis backend'!$M$1,E2197:N2197,0)),"",'Analysis backend'!$L$1)</f>
        <v/>
      </c>
      <c r="U2197" t="str">
        <f>IF(T2197='Analysis backend'!$L$1,IF(ISERROR(MATCH('Analysis backend'!$M$1,E2197:I2197,0)),"Dire","Radiant"),"")</f>
        <v/>
      </c>
    </row>
    <row r="2198" spans="20:21" x14ac:dyDescent="0.3">
      <c r="T2198" t="str">
        <f>IF(ISERROR(MATCH('Analysis backend'!$M$1,E2198:N2198,0)),"",'Analysis backend'!$L$1)</f>
        <v/>
      </c>
      <c r="U2198" t="str">
        <f>IF(T2198='Analysis backend'!$L$1,IF(ISERROR(MATCH('Analysis backend'!$M$1,E2198:I2198,0)),"Dire","Radiant"),"")</f>
        <v/>
      </c>
    </row>
    <row r="2199" spans="20:21" x14ac:dyDescent="0.3">
      <c r="T2199" t="str">
        <f>IF(ISERROR(MATCH('Analysis backend'!$M$1,E2199:N2199,0)),"",'Analysis backend'!$L$1)</f>
        <v/>
      </c>
      <c r="U2199" t="str">
        <f>IF(T2199='Analysis backend'!$L$1,IF(ISERROR(MATCH('Analysis backend'!$M$1,E2199:I2199,0)),"Dire","Radiant"),"")</f>
        <v/>
      </c>
    </row>
    <row r="2200" spans="20:21" x14ac:dyDescent="0.3">
      <c r="T2200" t="str">
        <f>IF(ISERROR(MATCH('Analysis backend'!$M$1,E2200:N2200,0)),"",'Analysis backend'!$L$1)</f>
        <v/>
      </c>
      <c r="U2200" t="str">
        <f>IF(T2200='Analysis backend'!$L$1,IF(ISERROR(MATCH('Analysis backend'!$M$1,E2200:I2200,0)),"Dire","Radiant"),"")</f>
        <v/>
      </c>
    </row>
    <row r="2201" spans="20:21" x14ac:dyDescent="0.3">
      <c r="T2201" t="str">
        <f>IF(ISERROR(MATCH('Analysis backend'!$M$1,E2201:N2201,0)),"",'Analysis backend'!$L$1)</f>
        <v/>
      </c>
      <c r="U2201" t="str">
        <f>IF(T2201='Analysis backend'!$L$1,IF(ISERROR(MATCH('Analysis backend'!$M$1,E2201:I2201,0)),"Dire","Radiant"),"")</f>
        <v/>
      </c>
    </row>
    <row r="2202" spans="20:21" x14ac:dyDescent="0.3">
      <c r="T2202" t="str">
        <f>IF(ISERROR(MATCH('Analysis backend'!$M$1,E2202:N2202,0)),"",'Analysis backend'!$L$1)</f>
        <v/>
      </c>
      <c r="U2202" t="str">
        <f>IF(T2202='Analysis backend'!$L$1,IF(ISERROR(MATCH('Analysis backend'!$M$1,E2202:I2202,0)),"Dire","Radiant"),"")</f>
        <v/>
      </c>
    </row>
    <row r="2203" spans="20:21" x14ac:dyDescent="0.3">
      <c r="T2203" t="str">
        <f>IF(ISERROR(MATCH('Analysis backend'!$M$1,E2203:N2203,0)),"",'Analysis backend'!$L$1)</f>
        <v/>
      </c>
      <c r="U2203" t="str">
        <f>IF(T2203='Analysis backend'!$L$1,IF(ISERROR(MATCH('Analysis backend'!$M$1,E2203:I2203,0)),"Dire","Radiant"),"")</f>
        <v/>
      </c>
    </row>
    <row r="2204" spans="20:21" x14ac:dyDescent="0.3">
      <c r="T2204" t="str">
        <f>IF(ISERROR(MATCH('Analysis backend'!$M$1,E2204:N2204,0)),"",'Analysis backend'!$L$1)</f>
        <v/>
      </c>
      <c r="U2204" t="str">
        <f>IF(T2204='Analysis backend'!$L$1,IF(ISERROR(MATCH('Analysis backend'!$M$1,E2204:I2204,0)),"Dire","Radiant"),"")</f>
        <v/>
      </c>
    </row>
    <row r="2205" spans="20:21" x14ac:dyDescent="0.3">
      <c r="T2205" t="str">
        <f>IF(ISERROR(MATCH('Analysis backend'!$M$1,E2205:N2205,0)),"",'Analysis backend'!$L$1)</f>
        <v/>
      </c>
      <c r="U2205" t="str">
        <f>IF(T2205='Analysis backend'!$L$1,IF(ISERROR(MATCH('Analysis backend'!$M$1,E2205:I2205,0)),"Dire","Radiant"),"")</f>
        <v/>
      </c>
    </row>
    <row r="2206" spans="20:21" x14ac:dyDescent="0.3">
      <c r="T2206" t="str">
        <f>IF(ISERROR(MATCH('Analysis backend'!$M$1,E2206:N2206,0)),"",'Analysis backend'!$L$1)</f>
        <v/>
      </c>
      <c r="U2206" t="str">
        <f>IF(T2206='Analysis backend'!$L$1,IF(ISERROR(MATCH('Analysis backend'!$M$1,E2206:I2206,0)),"Dire","Radiant"),"")</f>
        <v/>
      </c>
    </row>
    <row r="2207" spans="20:21" x14ac:dyDescent="0.3">
      <c r="T2207" t="str">
        <f>IF(ISERROR(MATCH('Analysis backend'!$M$1,E2207:N2207,0)),"",'Analysis backend'!$L$1)</f>
        <v/>
      </c>
      <c r="U2207" t="str">
        <f>IF(T2207='Analysis backend'!$L$1,IF(ISERROR(MATCH('Analysis backend'!$M$1,E2207:I2207,0)),"Dire","Radiant"),"")</f>
        <v/>
      </c>
    </row>
    <row r="2208" spans="20:21" x14ac:dyDescent="0.3">
      <c r="T2208" t="str">
        <f>IF(ISERROR(MATCH('Analysis backend'!$M$1,E2208:N2208,0)),"",'Analysis backend'!$L$1)</f>
        <v/>
      </c>
      <c r="U2208" t="str">
        <f>IF(T2208='Analysis backend'!$L$1,IF(ISERROR(MATCH('Analysis backend'!$M$1,E2208:I2208,0)),"Dire","Radiant"),"")</f>
        <v/>
      </c>
    </row>
    <row r="2209" spans="20:21" x14ac:dyDescent="0.3">
      <c r="T2209" t="str">
        <f>IF(ISERROR(MATCH('Analysis backend'!$M$1,E2209:N2209,0)),"",'Analysis backend'!$L$1)</f>
        <v/>
      </c>
      <c r="U2209" t="str">
        <f>IF(T2209='Analysis backend'!$L$1,IF(ISERROR(MATCH('Analysis backend'!$M$1,E2209:I2209,0)),"Dire","Radiant"),"")</f>
        <v/>
      </c>
    </row>
    <row r="2210" spans="20:21" x14ac:dyDescent="0.3">
      <c r="T2210" t="str">
        <f>IF(ISERROR(MATCH('Analysis backend'!$M$1,E2210:N2210,0)),"",'Analysis backend'!$L$1)</f>
        <v/>
      </c>
      <c r="U2210" t="str">
        <f>IF(T2210='Analysis backend'!$L$1,IF(ISERROR(MATCH('Analysis backend'!$M$1,E2210:I2210,0)),"Dire","Radiant"),"")</f>
        <v/>
      </c>
    </row>
    <row r="2211" spans="20:21" x14ac:dyDescent="0.3">
      <c r="T2211" t="str">
        <f>IF(ISERROR(MATCH('Analysis backend'!$M$1,E2211:N2211,0)),"",'Analysis backend'!$L$1)</f>
        <v/>
      </c>
      <c r="U2211" t="str">
        <f>IF(T2211='Analysis backend'!$L$1,IF(ISERROR(MATCH('Analysis backend'!$M$1,E2211:I2211,0)),"Dire","Radiant"),"")</f>
        <v/>
      </c>
    </row>
    <row r="2212" spans="20:21" x14ac:dyDescent="0.3">
      <c r="T2212" t="str">
        <f>IF(ISERROR(MATCH('Analysis backend'!$M$1,E2212:N2212,0)),"",'Analysis backend'!$L$1)</f>
        <v/>
      </c>
      <c r="U2212" t="str">
        <f>IF(T2212='Analysis backend'!$L$1,IF(ISERROR(MATCH('Analysis backend'!$M$1,E2212:I2212,0)),"Dire","Radiant"),"")</f>
        <v/>
      </c>
    </row>
    <row r="2213" spans="20:21" x14ac:dyDescent="0.3">
      <c r="T2213" t="str">
        <f>IF(ISERROR(MATCH('Analysis backend'!$M$1,E2213:N2213,0)),"",'Analysis backend'!$L$1)</f>
        <v/>
      </c>
      <c r="U2213" t="str">
        <f>IF(T2213='Analysis backend'!$L$1,IF(ISERROR(MATCH('Analysis backend'!$M$1,E2213:I2213,0)),"Dire","Radiant"),"")</f>
        <v/>
      </c>
    </row>
    <row r="2214" spans="20:21" x14ac:dyDescent="0.3">
      <c r="T2214" t="str">
        <f>IF(ISERROR(MATCH('Analysis backend'!$M$1,E2214:N2214,0)),"",'Analysis backend'!$L$1)</f>
        <v/>
      </c>
      <c r="U2214" t="str">
        <f>IF(T2214='Analysis backend'!$L$1,IF(ISERROR(MATCH('Analysis backend'!$M$1,E2214:I2214,0)),"Dire","Radiant"),"")</f>
        <v/>
      </c>
    </row>
    <row r="2215" spans="20:21" x14ac:dyDescent="0.3">
      <c r="T2215" t="str">
        <f>IF(ISERROR(MATCH('Analysis backend'!$M$1,E2215:N2215,0)),"",'Analysis backend'!$L$1)</f>
        <v/>
      </c>
      <c r="U2215" t="str">
        <f>IF(T2215='Analysis backend'!$L$1,IF(ISERROR(MATCH('Analysis backend'!$M$1,E2215:I2215,0)),"Dire","Radiant"),"")</f>
        <v/>
      </c>
    </row>
    <row r="2216" spans="20:21" x14ac:dyDescent="0.3">
      <c r="T2216" t="str">
        <f>IF(ISERROR(MATCH('Analysis backend'!$M$1,E2216:N2216,0)),"",'Analysis backend'!$L$1)</f>
        <v/>
      </c>
      <c r="U2216" t="str">
        <f>IF(T2216='Analysis backend'!$L$1,IF(ISERROR(MATCH('Analysis backend'!$M$1,E2216:I2216,0)),"Dire","Radiant"),"")</f>
        <v/>
      </c>
    </row>
    <row r="2217" spans="20:21" x14ac:dyDescent="0.3">
      <c r="T2217" t="str">
        <f>IF(ISERROR(MATCH('Analysis backend'!$M$1,E2217:N2217,0)),"",'Analysis backend'!$L$1)</f>
        <v/>
      </c>
      <c r="U2217" t="str">
        <f>IF(T2217='Analysis backend'!$L$1,IF(ISERROR(MATCH('Analysis backend'!$M$1,E2217:I2217,0)),"Dire","Radiant"),"")</f>
        <v/>
      </c>
    </row>
    <row r="2218" spans="20:21" x14ac:dyDescent="0.3">
      <c r="T2218" t="str">
        <f>IF(ISERROR(MATCH('Analysis backend'!$M$1,E2218:N2218,0)),"",'Analysis backend'!$L$1)</f>
        <v/>
      </c>
      <c r="U2218" t="str">
        <f>IF(T2218='Analysis backend'!$L$1,IF(ISERROR(MATCH('Analysis backend'!$M$1,E2218:I2218,0)),"Dire","Radiant"),"")</f>
        <v/>
      </c>
    </row>
    <row r="2219" spans="20:21" x14ac:dyDescent="0.3">
      <c r="T2219" t="str">
        <f>IF(ISERROR(MATCH('Analysis backend'!$M$1,E2219:N2219,0)),"",'Analysis backend'!$L$1)</f>
        <v/>
      </c>
      <c r="U2219" t="str">
        <f>IF(T2219='Analysis backend'!$L$1,IF(ISERROR(MATCH('Analysis backend'!$M$1,E2219:I2219,0)),"Dire","Radiant"),"")</f>
        <v/>
      </c>
    </row>
    <row r="2220" spans="20:21" x14ac:dyDescent="0.3">
      <c r="T2220" t="str">
        <f>IF(ISERROR(MATCH('Analysis backend'!$M$1,E2220:N2220,0)),"",'Analysis backend'!$L$1)</f>
        <v/>
      </c>
      <c r="U2220" t="str">
        <f>IF(T2220='Analysis backend'!$L$1,IF(ISERROR(MATCH('Analysis backend'!$M$1,E2220:I2220,0)),"Dire","Radiant"),"")</f>
        <v/>
      </c>
    </row>
    <row r="2221" spans="20:21" x14ac:dyDescent="0.3">
      <c r="T2221" t="str">
        <f>IF(ISERROR(MATCH('Analysis backend'!$M$1,E2221:N2221,0)),"",'Analysis backend'!$L$1)</f>
        <v/>
      </c>
      <c r="U2221" t="str">
        <f>IF(T2221='Analysis backend'!$L$1,IF(ISERROR(MATCH('Analysis backend'!$M$1,E2221:I2221,0)),"Dire","Radiant"),"")</f>
        <v/>
      </c>
    </row>
    <row r="2222" spans="20:21" x14ac:dyDescent="0.3">
      <c r="T2222" t="str">
        <f>IF(ISERROR(MATCH('Analysis backend'!$M$1,E2222:N2222,0)),"",'Analysis backend'!$L$1)</f>
        <v/>
      </c>
      <c r="U2222" t="str">
        <f>IF(T2222='Analysis backend'!$L$1,IF(ISERROR(MATCH('Analysis backend'!$M$1,E2222:I2222,0)),"Dire","Radiant"),"")</f>
        <v/>
      </c>
    </row>
    <row r="2223" spans="20:21" x14ac:dyDescent="0.3">
      <c r="T2223" t="str">
        <f>IF(ISERROR(MATCH('Analysis backend'!$M$1,E2223:N2223,0)),"",'Analysis backend'!$L$1)</f>
        <v/>
      </c>
      <c r="U2223" t="str">
        <f>IF(T2223='Analysis backend'!$L$1,IF(ISERROR(MATCH('Analysis backend'!$M$1,E2223:I2223,0)),"Dire","Radiant"),"")</f>
        <v/>
      </c>
    </row>
    <row r="2224" spans="20:21" x14ac:dyDescent="0.3">
      <c r="T2224" t="str">
        <f>IF(ISERROR(MATCH('Analysis backend'!$M$1,E2224:N2224,0)),"",'Analysis backend'!$L$1)</f>
        <v/>
      </c>
      <c r="U2224" t="str">
        <f>IF(T2224='Analysis backend'!$L$1,IF(ISERROR(MATCH('Analysis backend'!$M$1,E2224:I2224,0)),"Dire","Radiant"),"")</f>
        <v/>
      </c>
    </row>
    <row r="2225" spans="20:21" x14ac:dyDescent="0.3">
      <c r="T2225" t="str">
        <f>IF(ISERROR(MATCH('Analysis backend'!$M$1,E2225:N2225,0)),"",'Analysis backend'!$L$1)</f>
        <v/>
      </c>
      <c r="U2225" t="str">
        <f>IF(T2225='Analysis backend'!$L$1,IF(ISERROR(MATCH('Analysis backend'!$M$1,E2225:I2225,0)),"Dire","Radiant"),"")</f>
        <v/>
      </c>
    </row>
    <row r="2226" spans="20:21" x14ac:dyDescent="0.3">
      <c r="T2226" t="str">
        <f>IF(ISERROR(MATCH('Analysis backend'!$M$1,E2226:N2226,0)),"",'Analysis backend'!$L$1)</f>
        <v/>
      </c>
      <c r="U2226" t="str">
        <f>IF(T2226='Analysis backend'!$L$1,IF(ISERROR(MATCH('Analysis backend'!$M$1,E2226:I2226,0)),"Dire","Radiant"),"")</f>
        <v/>
      </c>
    </row>
    <row r="2227" spans="20:21" x14ac:dyDescent="0.3">
      <c r="T2227" t="str">
        <f>IF(ISERROR(MATCH('Analysis backend'!$M$1,E2227:N2227,0)),"",'Analysis backend'!$L$1)</f>
        <v/>
      </c>
      <c r="U2227" t="str">
        <f>IF(T2227='Analysis backend'!$L$1,IF(ISERROR(MATCH('Analysis backend'!$M$1,E2227:I2227,0)),"Dire","Radiant"),"")</f>
        <v/>
      </c>
    </row>
    <row r="2228" spans="20:21" x14ac:dyDescent="0.3">
      <c r="T2228" t="str">
        <f>IF(ISERROR(MATCH('Analysis backend'!$M$1,E2228:N2228,0)),"",'Analysis backend'!$L$1)</f>
        <v/>
      </c>
      <c r="U2228" t="str">
        <f>IF(T2228='Analysis backend'!$L$1,IF(ISERROR(MATCH('Analysis backend'!$M$1,E2228:I2228,0)),"Dire","Radiant"),"")</f>
        <v/>
      </c>
    </row>
    <row r="2229" spans="20:21" x14ac:dyDescent="0.3">
      <c r="T2229" t="str">
        <f>IF(ISERROR(MATCH('Analysis backend'!$M$1,E2229:N2229,0)),"",'Analysis backend'!$L$1)</f>
        <v/>
      </c>
      <c r="U2229" t="str">
        <f>IF(T2229='Analysis backend'!$L$1,IF(ISERROR(MATCH('Analysis backend'!$M$1,E2229:I2229,0)),"Dire","Radiant"),"")</f>
        <v/>
      </c>
    </row>
    <row r="2230" spans="20:21" x14ac:dyDescent="0.3">
      <c r="T2230" t="str">
        <f>IF(ISERROR(MATCH('Analysis backend'!$M$1,E2230:N2230,0)),"",'Analysis backend'!$L$1)</f>
        <v/>
      </c>
      <c r="U2230" t="str">
        <f>IF(T2230='Analysis backend'!$L$1,IF(ISERROR(MATCH('Analysis backend'!$M$1,E2230:I2230,0)),"Dire","Radiant"),"")</f>
        <v/>
      </c>
    </row>
    <row r="2231" spans="20:21" x14ac:dyDescent="0.3">
      <c r="T2231" t="str">
        <f>IF(ISERROR(MATCH('Analysis backend'!$M$1,E2231:N2231,0)),"",'Analysis backend'!$L$1)</f>
        <v/>
      </c>
      <c r="U2231" t="str">
        <f>IF(T2231='Analysis backend'!$L$1,IF(ISERROR(MATCH('Analysis backend'!$M$1,E2231:I2231,0)),"Dire","Radiant"),"")</f>
        <v/>
      </c>
    </row>
    <row r="2232" spans="20:21" x14ac:dyDescent="0.3">
      <c r="T2232" t="str">
        <f>IF(ISERROR(MATCH('Analysis backend'!$M$1,E2232:N2232,0)),"",'Analysis backend'!$L$1)</f>
        <v/>
      </c>
      <c r="U2232" t="str">
        <f>IF(T2232='Analysis backend'!$L$1,IF(ISERROR(MATCH('Analysis backend'!$M$1,E2232:I2232,0)),"Dire","Radiant"),"")</f>
        <v/>
      </c>
    </row>
    <row r="2233" spans="20:21" x14ac:dyDescent="0.3">
      <c r="T2233" t="str">
        <f>IF(ISERROR(MATCH('Analysis backend'!$M$1,E2233:N2233,0)),"",'Analysis backend'!$L$1)</f>
        <v/>
      </c>
      <c r="U2233" t="str">
        <f>IF(T2233='Analysis backend'!$L$1,IF(ISERROR(MATCH('Analysis backend'!$M$1,E2233:I2233,0)),"Dire","Radiant"),"")</f>
        <v/>
      </c>
    </row>
    <row r="2234" spans="20:21" x14ac:dyDescent="0.3">
      <c r="T2234" t="str">
        <f>IF(ISERROR(MATCH('Analysis backend'!$M$1,E2234:N2234,0)),"",'Analysis backend'!$L$1)</f>
        <v/>
      </c>
      <c r="U2234" t="str">
        <f>IF(T2234='Analysis backend'!$L$1,IF(ISERROR(MATCH('Analysis backend'!$M$1,E2234:I2234,0)),"Dire","Radiant"),"")</f>
        <v/>
      </c>
    </row>
    <row r="2235" spans="20:21" x14ac:dyDescent="0.3">
      <c r="T2235" t="str">
        <f>IF(ISERROR(MATCH('Analysis backend'!$M$1,E2235:N2235,0)),"",'Analysis backend'!$L$1)</f>
        <v/>
      </c>
      <c r="U2235" t="str">
        <f>IF(T2235='Analysis backend'!$L$1,IF(ISERROR(MATCH('Analysis backend'!$M$1,E2235:I2235,0)),"Dire","Radiant"),"")</f>
        <v/>
      </c>
    </row>
    <row r="2236" spans="20:21" x14ac:dyDescent="0.3">
      <c r="T2236" t="str">
        <f>IF(ISERROR(MATCH('Analysis backend'!$M$1,E2236:N2236,0)),"",'Analysis backend'!$L$1)</f>
        <v/>
      </c>
      <c r="U2236" t="str">
        <f>IF(T2236='Analysis backend'!$L$1,IF(ISERROR(MATCH('Analysis backend'!$M$1,E2236:I2236,0)),"Dire","Radiant"),"")</f>
        <v/>
      </c>
    </row>
    <row r="2237" spans="20:21" x14ac:dyDescent="0.3">
      <c r="T2237" t="str">
        <f>IF(ISERROR(MATCH('Analysis backend'!$M$1,E2237:N2237,0)),"",'Analysis backend'!$L$1)</f>
        <v/>
      </c>
      <c r="U2237" t="str">
        <f>IF(T2237='Analysis backend'!$L$1,IF(ISERROR(MATCH('Analysis backend'!$M$1,E2237:I2237,0)),"Dire","Radiant"),"")</f>
        <v/>
      </c>
    </row>
    <row r="2238" spans="20:21" x14ac:dyDescent="0.3">
      <c r="T2238" t="str">
        <f>IF(ISERROR(MATCH('Analysis backend'!$M$1,E2238:N2238,0)),"",'Analysis backend'!$L$1)</f>
        <v/>
      </c>
      <c r="U2238" t="str">
        <f>IF(T2238='Analysis backend'!$L$1,IF(ISERROR(MATCH('Analysis backend'!$M$1,E2238:I2238,0)),"Dire","Radiant"),"")</f>
        <v/>
      </c>
    </row>
    <row r="2239" spans="20:21" x14ac:dyDescent="0.3">
      <c r="T2239" t="str">
        <f>IF(ISERROR(MATCH('Analysis backend'!$M$1,E2239:N2239,0)),"",'Analysis backend'!$L$1)</f>
        <v/>
      </c>
      <c r="U2239" t="str">
        <f>IF(T2239='Analysis backend'!$L$1,IF(ISERROR(MATCH('Analysis backend'!$M$1,E2239:I2239,0)),"Dire","Radiant"),"")</f>
        <v/>
      </c>
    </row>
    <row r="2240" spans="20:21" x14ac:dyDescent="0.3">
      <c r="T2240" t="str">
        <f>IF(ISERROR(MATCH('Analysis backend'!$M$1,E2240:N2240,0)),"",'Analysis backend'!$L$1)</f>
        <v/>
      </c>
      <c r="U2240" t="str">
        <f>IF(T2240='Analysis backend'!$L$1,IF(ISERROR(MATCH('Analysis backend'!$M$1,E2240:I2240,0)),"Dire","Radiant"),"")</f>
        <v/>
      </c>
    </row>
    <row r="2241" spans="20:21" x14ac:dyDescent="0.3">
      <c r="T2241" t="str">
        <f>IF(ISERROR(MATCH('Analysis backend'!$M$1,E2241:N2241,0)),"",'Analysis backend'!$L$1)</f>
        <v/>
      </c>
      <c r="U2241" t="str">
        <f>IF(T2241='Analysis backend'!$L$1,IF(ISERROR(MATCH('Analysis backend'!$M$1,E2241:I2241,0)),"Dire","Radiant"),"")</f>
        <v/>
      </c>
    </row>
    <row r="2242" spans="20:21" x14ac:dyDescent="0.3">
      <c r="T2242" t="str">
        <f>IF(ISERROR(MATCH('Analysis backend'!$M$1,E2242:N2242,0)),"",'Analysis backend'!$L$1)</f>
        <v/>
      </c>
      <c r="U2242" t="str">
        <f>IF(T2242='Analysis backend'!$L$1,IF(ISERROR(MATCH('Analysis backend'!$M$1,E2242:I2242,0)),"Dire","Radiant"),"")</f>
        <v/>
      </c>
    </row>
    <row r="2243" spans="20:21" x14ac:dyDescent="0.3">
      <c r="T2243" t="str">
        <f>IF(ISERROR(MATCH('Analysis backend'!$M$1,E2243:N2243,0)),"",'Analysis backend'!$L$1)</f>
        <v/>
      </c>
      <c r="U2243" t="str">
        <f>IF(T2243='Analysis backend'!$L$1,IF(ISERROR(MATCH('Analysis backend'!$M$1,E2243:I2243,0)),"Dire","Radiant"),"")</f>
        <v/>
      </c>
    </row>
    <row r="2244" spans="20:21" x14ac:dyDescent="0.3">
      <c r="T2244" t="str">
        <f>IF(ISERROR(MATCH('Analysis backend'!$M$1,E2244:N2244,0)),"",'Analysis backend'!$L$1)</f>
        <v/>
      </c>
      <c r="U2244" t="str">
        <f>IF(T2244='Analysis backend'!$L$1,IF(ISERROR(MATCH('Analysis backend'!$M$1,E2244:I2244,0)),"Dire","Radiant"),"")</f>
        <v/>
      </c>
    </row>
    <row r="2245" spans="20:21" x14ac:dyDescent="0.3">
      <c r="T2245" t="str">
        <f>IF(ISERROR(MATCH('Analysis backend'!$M$1,E2245:N2245,0)),"",'Analysis backend'!$L$1)</f>
        <v/>
      </c>
      <c r="U2245" t="str">
        <f>IF(T2245='Analysis backend'!$L$1,IF(ISERROR(MATCH('Analysis backend'!$M$1,E2245:I2245,0)),"Dire","Radiant"),"")</f>
        <v/>
      </c>
    </row>
    <row r="2246" spans="20:21" x14ac:dyDescent="0.3">
      <c r="T2246" t="str">
        <f>IF(ISERROR(MATCH('Analysis backend'!$M$1,E2246:N2246,0)),"",'Analysis backend'!$L$1)</f>
        <v/>
      </c>
      <c r="U2246" t="str">
        <f>IF(T2246='Analysis backend'!$L$1,IF(ISERROR(MATCH('Analysis backend'!$M$1,E2246:I2246,0)),"Dire","Radiant"),"")</f>
        <v/>
      </c>
    </row>
    <row r="2247" spans="20:21" x14ac:dyDescent="0.3">
      <c r="T2247" t="str">
        <f>IF(ISERROR(MATCH('Analysis backend'!$M$1,E2247:N2247,0)),"",'Analysis backend'!$L$1)</f>
        <v/>
      </c>
      <c r="U2247" t="str">
        <f>IF(T2247='Analysis backend'!$L$1,IF(ISERROR(MATCH('Analysis backend'!$M$1,E2247:I2247,0)),"Dire","Radiant"),"")</f>
        <v/>
      </c>
    </row>
    <row r="2248" spans="20:21" x14ac:dyDescent="0.3">
      <c r="T2248" t="str">
        <f>IF(ISERROR(MATCH('Analysis backend'!$M$1,E2248:N2248,0)),"",'Analysis backend'!$L$1)</f>
        <v/>
      </c>
      <c r="U2248" t="str">
        <f>IF(T2248='Analysis backend'!$L$1,IF(ISERROR(MATCH('Analysis backend'!$M$1,E2248:I2248,0)),"Dire","Radiant"),"")</f>
        <v/>
      </c>
    </row>
    <row r="2249" spans="20:21" x14ac:dyDescent="0.3">
      <c r="T2249" t="str">
        <f>IF(ISERROR(MATCH('Analysis backend'!$M$1,E2249:N2249,0)),"",'Analysis backend'!$L$1)</f>
        <v/>
      </c>
      <c r="U2249" t="str">
        <f>IF(T2249='Analysis backend'!$L$1,IF(ISERROR(MATCH('Analysis backend'!$M$1,E2249:I2249,0)),"Dire","Radiant"),"")</f>
        <v/>
      </c>
    </row>
    <row r="2250" spans="20:21" x14ac:dyDescent="0.3">
      <c r="T2250" t="str">
        <f>IF(ISERROR(MATCH('Analysis backend'!$M$1,E2250:N2250,0)),"",'Analysis backend'!$L$1)</f>
        <v/>
      </c>
      <c r="U2250" t="str">
        <f>IF(T2250='Analysis backend'!$L$1,IF(ISERROR(MATCH('Analysis backend'!$M$1,E2250:I2250,0)),"Dire","Radiant"),"")</f>
        <v/>
      </c>
    </row>
    <row r="2251" spans="20:21" x14ac:dyDescent="0.3">
      <c r="T2251" t="str">
        <f>IF(ISERROR(MATCH('Analysis backend'!$M$1,E2251:N2251,0)),"",'Analysis backend'!$L$1)</f>
        <v/>
      </c>
      <c r="U2251" t="str">
        <f>IF(T2251='Analysis backend'!$L$1,IF(ISERROR(MATCH('Analysis backend'!$M$1,E2251:I2251,0)),"Dire","Radiant"),"")</f>
        <v/>
      </c>
    </row>
    <row r="2252" spans="20:21" x14ac:dyDescent="0.3">
      <c r="T2252" t="str">
        <f>IF(ISERROR(MATCH('Analysis backend'!$M$1,E2252:N2252,0)),"",'Analysis backend'!$L$1)</f>
        <v/>
      </c>
      <c r="U2252" t="str">
        <f>IF(T2252='Analysis backend'!$L$1,IF(ISERROR(MATCH('Analysis backend'!$M$1,E2252:I2252,0)),"Dire","Radiant"),"")</f>
        <v/>
      </c>
    </row>
    <row r="2253" spans="20:21" x14ac:dyDescent="0.3">
      <c r="T2253" t="str">
        <f>IF(ISERROR(MATCH('Analysis backend'!$M$1,E2253:N2253,0)),"",'Analysis backend'!$L$1)</f>
        <v/>
      </c>
      <c r="U2253" t="str">
        <f>IF(T2253='Analysis backend'!$L$1,IF(ISERROR(MATCH('Analysis backend'!$M$1,E2253:I2253,0)),"Dire","Radiant"),"")</f>
        <v/>
      </c>
    </row>
    <row r="2254" spans="20:21" x14ac:dyDescent="0.3">
      <c r="T2254" t="str">
        <f>IF(ISERROR(MATCH('Analysis backend'!$M$1,E2254:N2254,0)),"",'Analysis backend'!$L$1)</f>
        <v/>
      </c>
      <c r="U2254" t="str">
        <f>IF(T2254='Analysis backend'!$L$1,IF(ISERROR(MATCH('Analysis backend'!$M$1,E2254:I2254,0)),"Dire","Radiant"),"")</f>
        <v/>
      </c>
    </row>
    <row r="2255" spans="20:21" x14ac:dyDescent="0.3">
      <c r="T2255" t="str">
        <f>IF(ISERROR(MATCH('Analysis backend'!$M$1,E2255:N2255,0)),"",'Analysis backend'!$L$1)</f>
        <v/>
      </c>
      <c r="U2255" t="str">
        <f>IF(T2255='Analysis backend'!$L$1,IF(ISERROR(MATCH('Analysis backend'!$M$1,E2255:I2255,0)),"Dire","Radiant"),"")</f>
        <v/>
      </c>
    </row>
    <row r="2256" spans="20:21" x14ac:dyDescent="0.3">
      <c r="T2256" t="str">
        <f>IF(ISERROR(MATCH('Analysis backend'!$M$1,E2256:N2256,0)),"",'Analysis backend'!$L$1)</f>
        <v/>
      </c>
      <c r="U2256" t="str">
        <f>IF(T2256='Analysis backend'!$L$1,IF(ISERROR(MATCH('Analysis backend'!$M$1,E2256:I2256,0)),"Dire","Radiant"),"")</f>
        <v/>
      </c>
    </row>
    <row r="2257" spans="20:21" x14ac:dyDescent="0.3">
      <c r="T2257" t="str">
        <f>IF(ISERROR(MATCH('Analysis backend'!$M$1,E2257:N2257,0)),"",'Analysis backend'!$L$1)</f>
        <v/>
      </c>
      <c r="U2257" t="str">
        <f>IF(T2257='Analysis backend'!$L$1,IF(ISERROR(MATCH('Analysis backend'!$M$1,E2257:I2257,0)),"Dire","Radiant"),"")</f>
        <v/>
      </c>
    </row>
    <row r="2258" spans="20:21" x14ac:dyDescent="0.3">
      <c r="T2258" t="str">
        <f>IF(ISERROR(MATCH('Analysis backend'!$M$1,E2258:N2258,0)),"",'Analysis backend'!$L$1)</f>
        <v/>
      </c>
      <c r="U2258" t="str">
        <f>IF(T2258='Analysis backend'!$L$1,IF(ISERROR(MATCH('Analysis backend'!$M$1,E2258:I2258,0)),"Dire","Radiant"),"")</f>
        <v/>
      </c>
    </row>
    <row r="2259" spans="20:21" x14ac:dyDescent="0.3">
      <c r="T2259" t="str">
        <f>IF(ISERROR(MATCH('Analysis backend'!$M$1,E2259:N2259,0)),"",'Analysis backend'!$L$1)</f>
        <v/>
      </c>
      <c r="U2259" t="str">
        <f>IF(T2259='Analysis backend'!$L$1,IF(ISERROR(MATCH('Analysis backend'!$M$1,E2259:I2259,0)),"Dire","Radiant"),"")</f>
        <v/>
      </c>
    </row>
    <row r="2260" spans="20:21" x14ac:dyDescent="0.3">
      <c r="T2260" t="str">
        <f>IF(ISERROR(MATCH('Analysis backend'!$M$1,E2260:N2260,0)),"",'Analysis backend'!$L$1)</f>
        <v/>
      </c>
      <c r="U2260" t="str">
        <f>IF(T2260='Analysis backend'!$L$1,IF(ISERROR(MATCH('Analysis backend'!$M$1,E2260:I2260,0)),"Dire","Radiant"),"")</f>
        <v/>
      </c>
    </row>
    <row r="2261" spans="20:21" x14ac:dyDescent="0.3">
      <c r="T2261" t="str">
        <f>IF(ISERROR(MATCH('Analysis backend'!$M$1,E2261:N2261,0)),"",'Analysis backend'!$L$1)</f>
        <v/>
      </c>
      <c r="U2261" t="str">
        <f>IF(T2261='Analysis backend'!$L$1,IF(ISERROR(MATCH('Analysis backend'!$M$1,E2261:I2261,0)),"Dire","Radiant"),"")</f>
        <v/>
      </c>
    </row>
    <row r="2262" spans="20:21" x14ac:dyDescent="0.3">
      <c r="T2262" t="str">
        <f>IF(ISERROR(MATCH('Analysis backend'!$M$1,E2262:N2262,0)),"",'Analysis backend'!$L$1)</f>
        <v/>
      </c>
      <c r="U2262" t="str">
        <f>IF(T2262='Analysis backend'!$L$1,IF(ISERROR(MATCH('Analysis backend'!$M$1,E2262:I2262,0)),"Dire","Radiant"),"")</f>
        <v/>
      </c>
    </row>
    <row r="2263" spans="20:21" x14ac:dyDescent="0.3">
      <c r="T2263" t="str">
        <f>IF(ISERROR(MATCH('Analysis backend'!$M$1,E2263:N2263,0)),"",'Analysis backend'!$L$1)</f>
        <v/>
      </c>
      <c r="U2263" t="str">
        <f>IF(T2263='Analysis backend'!$L$1,IF(ISERROR(MATCH('Analysis backend'!$M$1,E2263:I2263,0)),"Dire","Radiant"),"")</f>
        <v/>
      </c>
    </row>
    <row r="2264" spans="20:21" x14ac:dyDescent="0.3">
      <c r="T2264" t="str">
        <f>IF(ISERROR(MATCH('Analysis backend'!$M$1,E2264:N2264,0)),"",'Analysis backend'!$L$1)</f>
        <v/>
      </c>
      <c r="U2264" t="str">
        <f>IF(T2264='Analysis backend'!$L$1,IF(ISERROR(MATCH('Analysis backend'!$M$1,E2264:I2264,0)),"Dire","Radiant"),"")</f>
        <v/>
      </c>
    </row>
    <row r="2265" spans="20:21" x14ac:dyDescent="0.3">
      <c r="T2265" t="str">
        <f>IF(ISERROR(MATCH('Analysis backend'!$M$1,E2265:N2265,0)),"",'Analysis backend'!$L$1)</f>
        <v/>
      </c>
      <c r="U2265" t="str">
        <f>IF(T2265='Analysis backend'!$L$1,IF(ISERROR(MATCH('Analysis backend'!$M$1,E2265:I2265,0)),"Dire","Radiant"),"")</f>
        <v/>
      </c>
    </row>
    <row r="2266" spans="20:21" x14ac:dyDescent="0.3">
      <c r="T2266" t="str">
        <f>IF(ISERROR(MATCH('Analysis backend'!$M$1,E2266:N2266,0)),"",'Analysis backend'!$L$1)</f>
        <v/>
      </c>
      <c r="U2266" t="str">
        <f>IF(T2266='Analysis backend'!$L$1,IF(ISERROR(MATCH('Analysis backend'!$M$1,E2266:I2266,0)),"Dire","Radiant"),"")</f>
        <v/>
      </c>
    </row>
    <row r="2267" spans="20:21" x14ac:dyDescent="0.3">
      <c r="T2267" t="str">
        <f>IF(ISERROR(MATCH('Analysis backend'!$M$1,E2267:N2267,0)),"",'Analysis backend'!$L$1)</f>
        <v/>
      </c>
      <c r="U2267" t="str">
        <f>IF(T2267='Analysis backend'!$L$1,IF(ISERROR(MATCH('Analysis backend'!$M$1,E2267:I2267,0)),"Dire","Radiant"),"")</f>
        <v/>
      </c>
    </row>
    <row r="2268" spans="20:21" x14ac:dyDescent="0.3">
      <c r="T2268" t="str">
        <f>IF(ISERROR(MATCH('Analysis backend'!$M$1,E2268:N2268,0)),"",'Analysis backend'!$L$1)</f>
        <v/>
      </c>
      <c r="U2268" t="str">
        <f>IF(T2268='Analysis backend'!$L$1,IF(ISERROR(MATCH('Analysis backend'!$M$1,E2268:I2268,0)),"Dire","Radiant"),"")</f>
        <v/>
      </c>
    </row>
    <row r="2269" spans="20:21" x14ac:dyDescent="0.3">
      <c r="T2269" t="str">
        <f>IF(ISERROR(MATCH('Analysis backend'!$M$1,E2269:N2269,0)),"",'Analysis backend'!$L$1)</f>
        <v/>
      </c>
      <c r="U2269" t="str">
        <f>IF(T2269='Analysis backend'!$L$1,IF(ISERROR(MATCH('Analysis backend'!$M$1,E2269:I2269,0)),"Dire","Radiant"),"")</f>
        <v/>
      </c>
    </row>
    <row r="2270" spans="20:21" x14ac:dyDescent="0.3">
      <c r="T2270" t="str">
        <f>IF(ISERROR(MATCH('Analysis backend'!$M$1,E2270:N2270,0)),"",'Analysis backend'!$L$1)</f>
        <v/>
      </c>
      <c r="U2270" t="str">
        <f>IF(T2270='Analysis backend'!$L$1,IF(ISERROR(MATCH('Analysis backend'!$M$1,E2270:I2270,0)),"Dire","Radiant"),"")</f>
        <v/>
      </c>
    </row>
    <row r="2271" spans="20:21" x14ac:dyDescent="0.3">
      <c r="T2271" t="str">
        <f>IF(ISERROR(MATCH('Analysis backend'!$M$1,E2271:N2271,0)),"",'Analysis backend'!$L$1)</f>
        <v/>
      </c>
      <c r="U2271" t="str">
        <f>IF(T2271='Analysis backend'!$L$1,IF(ISERROR(MATCH('Analysis backend'!$M$1,E2271:I2271,0)),"Dire","Radiant"),"")</f>
        <v/>
      </c>
    </row>
    <row r="2272" spans="20:21" x14ac:dyDescent="0.3">
      <c r="T2272" t="str">
        <f>IF(ISERROR(MATCH('Analysis backend'!$M$1,E2272:N2272,0)),"",'Analysis backend'!$L$1)</f>
        <v/>
      </c>
      <c r="U2272" t="str">
        <f>IF(T2272='Analysis backend'!$L$1,IF(ISERROR(MATCH('Analysis backend'!$M$1,E2272:I2272,0)),"Dire","Radiant"),"")</f>
        <v/>
      </c>
    </row>
    <row r="2273" spans="20:21" x14ac:dyDescent="0.3">
      <c r="T2273" t="str">
        <f>IF(ISERROR(MATCH('Analysis backend'!$M$1,E2273:N2273,0)),"",'Analysis backend'!$L$1)</f>
        <v/>
      </c>
      <c r="U2273" t="str">
        <f>IF(T2273='Analysis backend'!$L$1,IF(ISERROR(MATCH('Analysis backend'!$M$1,E2273:I2273,0)),"Dire","Radiant"),"")</f>
        <v/>
      </c>
    </row>
    <row r="2274" spans="20:21" x14ac:dyDescent="0.3">
      <c r="T2274" t="str">
        <f>IF(ISERROR(MATCH('Analysis backend'!$M$1,E2274:N2274,0)),"",'Analysis backend'!$L$1)</f>
        <v/>
      </c>
      <c r="U2274" t="str">
        <f>IF(T2274='Analysis backend'!$L$1,IF(ISERROR(MATCH('Analysis backend'!$M$1,E2274:I2274,0)),"Dire","Radiant"),"")</f>
        <v/>
      </c>
    </row>
    <row r="2275" spans="20:21" x14ac:dyDescent="0.3">
      <c r="T2275" t="str">
        <f>IF(ISERROR(MATCH('Analysis backend'!$M$1,E2275:N2275,0)),"",'Analysis backend'!$L$1)</f>
        <v/>
      </c>
      <c r="U2275" t="str">
        <f>IF(T2275='Analysis backend'!$L$1,IF(ISERROR(MATCH('Analysis backend'!$M$1,E2275:I2275,0)),"Dire","Radiant"),"")</f>
        <v/>
      </c>
    </row>
    <row r="2276" spans="20:21" x14ac:dyDescent="0.3">
      <c r="T2276" t="str">
        <f>IF(ISERROR(MATCH('Analysis backend'!$M$1,E2276:N2276,0)),"",'Analysis backend'!$L$1)</f>
        <v/>
      </c>
      <c r="U2276" t="str">
        <f>IF(T2276='Analysis backend'!$L$1,IF(ISERROR(MATCH('Analysis backend'!$M$1,E2276:I2276,0)),"Dire","Radiant"),"")</f>
        <v/>
      </c>
    </row>
    <row r="2277" spans="20:21" x14ac:dyDescent="0.3">
      <c r="T2277" t="str">
        <f>IF(ISERROR(MATCH('Analysis backend'!$M$1,E2277:N2277,0)),"",'Analysis backend'!$L$1)</f>
        <v/>
      </c>
      <c r="U2277" t="str">
        <f>IF(T2277='Analysis backend'!$L$1,IF(ISERROR(MATCH('Analysis backend'!$M$1,E2277:I2277,0)),"Dire","Radiant"),"")</f>
        <v/>
      </c>
    </row>
    <row r="2278" spans="20:21" x14ac:dyDescent="0.3">
      <c r="T2278" t="str">
        <f>IF(ISERROR(MATCH('Analysis backend'!$M$1,E2278:N2278,0)),"",'Analysis backend'!$L$1)</f>
        <v/>
      </c>
      <c r="U2278" t="str">
        <f>IF(T2278='Analysis backend'!$L$1,IF(ISERROR(MATCH('Analysis backend'!$M$1,E2278:I2278,0)),"Dire","Radiant"),"")</f>
        <v/>
      </c>
    </row>
    <row r="2279" spans="20:21" x14ac:dyDescent="0.3">
      <c r="T2279" t="str">
        <f>IF(ISERROR(MATCH('Analysis backend'!$M$1,E2279:N2279,0)),"",'Analysis backend'!$L$1)</f>
        <v/>
      </c>
      <c r="U2279" t="str">
        <f>IF(T2279='Analysis backend'!$L$1,IF(ISERROR(MATCH('Analysis backend'!$M$1,E2279:I2279,0)),"Dire","Radiant"),"")</f>
        <v/>
      </c>
    </row>
    <row r="2280" spans="20:21" x14ac:dyDescent="0.3">
      <c r="T2280" t="str">
        <f>IF(ISERROR(MATCH('Analysis backend'!$M$1,E2280:N2280,0)),"",'Analysis backend'!$L$1)</f>
        <v/>
      </c>
      <c r="U2280" t="str">
        <f>IF(T2280='Analysis backend'!$L$1,IF(ISERROR(MATCH('Analysis backend'!$M$1,E2280:I2280,0)),"Dire","Radiant"),"")</f>
        <v/>
      </c>
    </row>
    <row r="2281" spans="20:21" x14ac:dyDescent="0.3">
      <c r="T2281" t="str">
        <f>IF(ISERROR(MATCH('Analysis backend'!$M$1,E2281:N2281,0)),"",'Analysis backend'!$L$1)</f>
        <v/>
      </c>
      <c r="U2281" t="str">
        <f>IF(T2281='Analysis backend'!$L$1,IF(ISERROR(MATCH('Analysis backend'!$M$1,E2281:I2281,0)),"Dire","Radiant"),"")</f>
        <v/>
      </c>
    </row>
    <row r="2282" spans="20:21" x14ac:dyDescent="0.3">
      <c r="T2282" t="str">
        <f>IF(ISERROR(MATCH('Analysis backend'!$M$1,E2282:N2282,0)),"",'Analysis backend'!$L$1)</f>
        <v/>
      </c>
      <c r="U2282" t="str">
        <f>IF(T2282='Analysis backend'!$L$1,IF(ISERROR(MATCH('Analysis backend'!$M$1,E2282:I2282,0)),"Dire","Radiant"),"")</f>
        <v/>
      </c>
    </row>
    <row r="2283" spans="20:21" x14ac:dyDescent="0.3">
      <c r="T2283" t="str">
        <f>IF(ISERROR(MATCH('Analysis backend'!$M$1,E2283:N2283,0)),"",'Analysis backend'!$L$1)</f>
        <v/>
      </c>
      <c r="U2283" t="str">
        <f>IF(T2283='Analysis backend'!$L$1,IF(ISERROR(MATCH('Analysis backend'!$M$1,E2283:I2283,0)),"Dire","Radiant"),"")</f>
        <v/>
      </c>
    </row>
    <row r="2284" spans="20:21" x14ac:dyDescent="0.3">
      <c r="T2284" t="str">
        <f>IF(ISERROR(MATCH('Analysis backend'!$M$1,E2284:N2284,0)),"",'Analysis backend'!$L$1)</f>
        <v/>
      </c>
      <c r="U2284" t="str">
        <f>IF(T2284='Analysis backend'!$L$1,IF(ISERROR(MATCH('Analysis backend'!$M$1,E2284:I2284,0)),"Dire","Radiant"),"")</f>
        <v/>
      </c>
    </row>
    <row r="2285" spans="20:21" x14ac:dyDescent="0.3">
      <c r="T2285" t="str">
        <f>IF(ISERROR(MATCH('Analysis backend'!$M$1,E2285:N2285,0)),"",'Analysis backend'!$L$1)</f>
        <v/>
      </c>
      <c r="U2285" t="str">
        <f>IF(T2285='Analysis backend'!$L$1,IF(ISERROR(MATCH('Analysis backend'!$M$1,E2285:I2285,0)),"Dire","Radiant"),"")</f>
        <v/>
      </c>
    </row>
    <row r="2286" spans="20:21" x14ac:dyDescent="0.3">
      <c r="T2286" t="str">
        <f>IF(ISERROR(MATCH('Analysis backend'!$M$1,E2286:N2286,0)),"",'Analysis backend'!$L$1)</f>
        <v/>
      </c>
      <c r="U2286" t="str">
        <f>IF(T2286='Analysis backend'!$L$1,IF(ISERROR(MATCH('Analysis backend'!$M$1,E2286:I2286,0)),"Dire","Radiant"),"")</f>
        <v/>
      </c>
    </row>
    <row r="2287" spans="20:21" x14ac:dyDescent="0.3">
      <c r="T2287" t="str">
        <f>IF(ISERROR(MATCH('Analysis backend'!$M$1,E2287:N2287,0)),"",'Analysis backend'!$L$1)</f>
        <v/>
      </c>
      <c r="U2287" t="str">
        <f>IF(T2287='Analysis backend'!$L$1,IF(ISERROR(MATCH('Analysis backend'!$M$1,E2287:I2287,0)),"Dire","Radiant"),"")</f>
        <v/>
      </c>
    </row>
    <row r="2288" spans="20:21" x14ac:dyDescent="0.3">
      <c r="T2288" t="str">
        <f>IF(ISERROR(MATCH('Analysis backend'!$M$1,E2288:N2288,0)),"",'Analysis backend'!$L$1)</f>
        <v/>
      </c>
      <c r="U2288" t="str">
        <f>IF(T2288='Analysis backend'!$L$1,IF(ISERROR(MATCH('Analysis backend'!$M$1,E2288:I2288,0)),"Dire","Radiant"),"")</f>
        <v/>
      </c>
    </row>
    <row r="2289" spans="20:21" x14ac:dyDescent="0.3">
      <c r="T2289" t="str">
        <f>IF(ISERROR(MATCH('Analysis backend'!$M$1,E2289:N2289,0)),"",'Analysis backend'!$L$1)</f>
        <v/>
      </c>
      <c r="U2289" t="str">
        <f>IF(T2289='Analysis backend'!$L$1,IF(ISERROR(MATCH('Analysis backend'!$M$1,E2289:I2289,0)),"Dire","Radiant"),"")</f>
        <v/>
      </c>
    </row>
    <row r="2290" spans="20:21" x14ac:dyDescent="0.3">
      <c r="T2290" t="str">
        <f>IF(ISERROR(MATCH('Analysis backend'!$M$1,E2290:N2290,0)),"",'Analysis backend'!$L$1)</f>
        <v/>
      </c>
      <c r="U2290" t="str">
        <f>IF(T2290='Analysis backend'!$L$1,IF(ISERROR(MATCH('Analysis backend'!$M$1,E2290:I2290,0)),"Dire","Radiant"),"")</f>
        <v/>
      </c>
    </row>
    <row r="2291" spans="20:21" x14ac:dyDescent="0.3">
      <c r="T2291" t="str">
        <f>IF(ISERROR(MATCH('Analysis backend'!$M$1,E2291:N2291,0)),"",'Analysis backend'!$L$1)</f>
        <v/>
      </c>
      <c r="U2291" t="str">
        <f>IF(T2291='Analysis backend'!$L$1,IF(ISERROR(MATCH('Analysis backend'!$M$1,E2291:I2291,0)),"Dire","Radiant"),"")</f>
        <v/>
      </c>
    </row>
    <row r="2292" spans="20:21" x14ac:dyDescent="0.3">
      <c r="T2292" t="str">
        <f>IF(ISERROR(MATCH('Analysis backend'!$M$1,E2292:N2292,0)),"",'Analysis backend'!$L$1)</f>
        <v/>
      </c>
      <c r="U2292" t="str">
        <f>IF(T2292='Analysis backend'!$L$1,IF(ISERROR(MATCH('Analysis backend'!$M$1,E2292:I2292,0)),"Dire","Radiant"),"")</f>
        <v/>
      </c>
    </row>
    <row r="2293" spans="20:21" x14ac:dyDescent="0.3">
      <c r="T2293" t="str">
        <f>IF(ISERROR(MATCH('Analysis backend'!$M$1,E2293:N2293,0)),"",'Analysis backend'!$L$1)</f>
        <v/>
      </c>
      <c r="U2293" t="str">
        <f>IF(T2293='Analysis backend'!$L$1,IF(ISERROR(MATCH('Analysis backend'!$M$1,E2293:I2293,0)),"Dire","Radiant"),"")</f>
        <v/>
      </c>
    </row>
    <row r="2294" spans="20:21" x14ac:dyDescent="0.3">
      <c r="T2294" t="str">
        <f>IF(ISERROR(MATCH('Analysis backend'!$M$1,E2294:N2294,0)),"",'Analysis backend'!$L$1)</f>
        <v/>
      </c>
      <c r="U2294" t="str">
        <f>IF(T2294='Analysis backend'!$L$1,IF(ISERROR(MATCH('Analysis backend'!$M$1,E2294:I2294,0)),"Dire","Radiant"),"")</f>
        <v/>
      </c>
    </row>
    <row r="2295" spans="20:21" x14ac:dyDescent="0.3">
      <c r="T2295" t="str">
        <f>IF(ISERROR(MATCH('Analysis backend'!$M$1,E2295:N2295,0)),"",'Analysis backend'!$L$1)</f>
        <v/>
      </c>
      <c r="U2295" t="str">
        <f>IF(T2295='Analysis backend'!$L$1,IF(ISERROR(MATCH('Analysis backend'!$M$1,E2295:I2295,0)),"Dire","Radiant"),"")</f>
        <v/>
      </c>
    </row>
    <row r="2296" spans="20:21" x14ac:dyDescent="0.3">
      <c r="T2296" t="str">
        <f>IF(ISERROR(MATCH('Analysis backend'!$M$1,E2296:N2296,0)),"",'Analysis backend'!$L$1)</f>
        <v/>
      </c>
      <c r="U2296" t="str">
        <f>IF(T2296='Analysis backend'!$L$1,IF(ISERROR(MATCH('Analysis backend'!$M$1,E2296:I2296,0)),"Dire","Radiant"),"")</f>
        <v/>
      </c>
    </row>
    <row r="2297" spans="20:21" x14ac:dyDescent="0.3">
      <c r="T2297" t="str">
        <f>IF(ISERROR(MATCH('Analysis backend'!$M$1,E2297:N2297,0)),"",'Analysis backend'!$L$1)</f>
        <v/>
      </c>
      <c r="U2297" t="str">
        <f>IF(T2297='Analysis backend'!$L$1,IF(ISERROR(MATCH('Analysis backend'!$M$1,E2297:I2297,0)),"Dire","Radiant"),"")</f>
        <v/>
      </c>
    </row>
    <row r="2298" spans="20:21" x14ac:dyDescent="0.3">
      <c r="T2298" t="str">
        <f>IF(ISERROR(MATCH('Analysis backend'!$M$1,E2298:N2298,0)),"",'Analysis backend'!$L$1)</f>
        <v/>
      </c>
      <c r="U2298" t="str">
        <f>IF(T2298='Analysis backend'!$L$1,IF(ISERROR(MATCH('Analysis backend'!$M$1,E2298:I2298,0)),"Dire","Radiant"),"")</f>
        <v/>
      </c>
    </row>
    <row r="2299" spans="20:21" x14ac:dyDescent="0.3">
      <c r="T2299" t="str">
        <f>IF(ISERROR(MATCH('Analysis backend'!$M$1,E2299:N2299,0)),"",'Analysis backend'!$L$1)</f>
        <v/>
      </c>
      <c r="U2299" t="str">
        <f>IF(T2299='Analysis backend'!$L$1,IF(ISERROR(MATCH('Analysis backend'!$M$1,E2299:I2299,0)),"Dire","Radiant"),"")</f>
        <v/>
      </c>
    </row>
    <row r="2300" spans="20:21" x14ac:dyDescent="0.3">
      <c r="T2300" t="str">
        <f>IF(ISERROR(MATCH('Analysis backend'!$M$1,E2300:N2300,0)),"",'Analysis backend'!$L$1)</f>
        <v/>
      </c>
      <c r="U2300" t="str">
        <f>IF(T2300='Analysis backend'!$L$1,IF(ISERROR(MATCH('Analysis backend'!$M$1,E2300:I2300,0)),"Dire","Radiant"),"")</f>
        <v/>
      </c>
    </row>
    <row r="2301" spans="20:21" x14ac:dyDescent="0.3">
      <c r="T2301" t="str">
        <f>IF(ISERROR(MATCH('Analysis backend'!$M$1,E2301:N2301,0)),"",'Analysis backend'!$L$1)</f>
        <v/>
      </c>
      <c r="U2301" t="str">
        <f>IF(T2301='Analysis backend'!$L$1,IF(ISERROR(MATCH('Analysis backend'!$M$1,E2301:I2301,0)),"Dire","Radiant"),"")</f>
        <v/>
      </c>
    </row>
    <row r="2302" spans="20:21" x14ac:dyDescent="0.3">
      <c r="T2302" t="str">
        <f>IF(ISERROR(MATCH('Analysis backend'!$M$1,E2302:N2302,0)),"",'Analysis backend'!$L$1)</f>
        <v/>
      </c>
      <c r="U2302" t="str">
        <f>IF(T2302='Analysis backend'!$L$1,IF(ISERROR(MATCH('Analysis backend'!$M$1,E2302:I2302,0)),"Dire","Radiant"),"")</f>
        <v/>
      </c>
    </row>
    <row r="2303" spans="20:21" x14ac:dyDescent="0.3">
      <c r="T2303" t="str">
        <f>IF(ISERROR(MATCH('Analysis backend'!$M$1,E2303:N2303,0)),"",'Analysis backend'!$L$1)</f>
        <v/>
      </c>
      <c r="U2303" t="str">
        <f>IF(T2303='Analysis backend'!$L$1,IF(ISERROR(MATCH('Analysis backend'!$M$1,E2303:I2303,0)),"Dire","Radiant"),"")</f>
        <v/>
      </c>
    </row>
    <row r="2304" spans="20:21" x14ac:dyDescent="0.3">
      <c r="T2304" t="str">
        <f>IF(ISERROR(MATCH('Analysis backend'!$M$1,E2304:N2304,0)),"",'Analysis backend'!$L$1)</f>
        <v/>
      </c>
      <c r="U2304" t="str">
        <f>IF(T2304='Analysis backend'!$L$1,IF(ISERROR(MATCH('Analysis backend'!$M$1,E2304:I2304,0)),"Dire","Radiant"),"")</f>
        <v/>
      </c>
    </row>
    <row r="2305" spans="20:21" x14ac:dyDescent="0.3">
      <c r="T2305" t="str">
        <f>IF(ISERROR(MATCH('Analysis backend'!$M$1,E2305:N2305,0)),"",'Analysis backend'!$L$1)</f>
        <v/>
      </c>
      <c r="U2305" t="str">
        <f>IF(T2305='Analysis backend'!$L$1,IF(ISERROR(MATCH('Analysis backend'!$M$1,E2305:I2305,0)),"Dire","Radiant"),"")</f>
        <v/>
      </c>
    </row>
    <row r="2306" spans="20:21" x14ac:dyDescent="0.3">
      <c r="T2306" t="str">
        <f>IF(ISERROR(MATCH('Analysis backend'!$M$1,E2306:N2306,0)),"",'Analysis backend'!$L$1)</f>
        <v/>
      </c>
      <c r="U2306" t="str">
        <f>IF(T2306='Analysis backend'!$L$1,IF(ISERROR(MATCH('Analysis backend'!$M$1,E2306:I2306,0)),"Dire","Radiant"),"")</f>
        <v/>
      </c>
    </row>
    <row r="2307" spans="20:21" x14ac:dyDescent="0.3">
      <c r="T2307" t="str">
        <f>IF(ISERROR(MATCH('Analysis backend'!$M$1,E2307:N2307,0)),"",'Analysis backend'!$L$1)</f>
        <v/>
      </c>
      <c r="U2307" t="str">
        <f>IF(T2307='Analysis backend'!$L$1,IF(ISERROR(MATCH('Analysis backend'!$M$1,E2307:I2307,0)),"Dire","Radiant"),"")</f>
        <v/>
      </c>
    </row>
    <row r="2308" spans="20:21" x14ac:dyDescent="0.3">
      <c r="T2308" t="str">
        <f>IF(ISERROR(MATCH('Analysis backend'!$M$1,E2308:N2308,0)),"",'Analysis backend'!$L$1)</f>
        <v/>
      </c>
      <c r="U2308" t="str">
        <f>IF(T2308='Analysis backend'!$L$1,IF(ISERROR(MATCH('Analysis backend'!$M$1,E2308:I2308,0)),"Dire","Radiant"),"")</f>
        <v/>
      </c>
    </row>
    <row r="2309" spans="20:21" x14ac:dyDescent="0.3">
      <c r="T2309" t="str">
        <f>IF(ISERROR(MATCH('Analysis backend'!$M$1,E2309:N2309,0)),"",'Analysis backend'!$L$1)</f>
        <v/>
      </c>
      <c r="U2309" t="str">
        <f>IF(T2309='Analysis backend'!$L$1,IF(ISERROR(MATCH('Analysis backend'!$M$1,E2309:I2309,0)),"Dire","Radiant"),"")</f>
        <v/>
      </c>
    </row>
    <row r="2310" spans="20:21" x14ac:dyDescent="0.3">
      <c r="T2310" t="str">
        <f>IF(ISERROR(MATCH('Analysis backend'!$M$1,E2310:N2310,0)),"",'Analysis backend'!$L$1)</f>
        <v/>
      </c>
      <c r="U2310" t="str">
        <f>IF(T2310='Analysis backend'!$L$1,IF(ISERROR(MATCH('Analysis backend'!$M$1,E2310:I2310,0)),"Dire","Radiant"),"")</f>
        <v/>
      </c>
    </row>
    <row r="2311" spans="20:21" x14ac:dyDescent="0.3">
      <c r="T2311" t="str">
        <f>IF(ISERROR(MATCH('Analysis backend'!$M$1,E2311:N2311,0)),"",'Analysis backend'!$L$1)</f>
        <v/>
      </c>
      <c r="U2311" t="str">
        <f>IF(T2311='Analysis backend'!$L$1,IF(ISERROR(MATCH('Analysis backend'!$M$1,E2311:I2311,0)),"Dire","Radiant"),"")</f>
        <v/>
      </c>
    </row>
    <row r="2312" spans="20:21" x14ac:dyDescent="0.3">
      <c r="T2312" t="str">
        <f>IF(ISERROR(MATCH('Analysis backend'!$M$1,E2312:N2312,0)),"",'Analysis backend'!$L$1)</f>
        <v/>
      </c>
      <c r="U2312" t="str">
        <f>IF(T2312='Analysis backend'!$L$1,IF(ISERROR(MATCH('Analysis backend'!$M$1,E2312:I2312,0)),"Dire","Radiant"),"")</f>
        <v/>
      </c>
    </row>
    <row r="2313" spans="20:21" x14ac:dyDescent="0.3">
      <c r="T2313" t="str">
        <f>IF(ISERROR(MATCH('Analysis backend'!$M$1,E2313:N2313,0)),"",'Analysis backend'!$L$1)</f>
        <v/>
      </c>
      <c r="U2313" t="str">
        <f>IF(T2313='Analysis backend'!$L$1,IF(ISERROR(MATCH('Analysis backend'!$M$1,E2313:I2313,0)),"Dire","Radiant"),"")</f>
        <v/>
      </c>
    </row>
    <row r="2314" spans="20:21" x14ac:dyDescent="0.3">
      <c r="T2314" t="str">
        <f>IF(ISERROR(MATCH('Analysis backend'!$M$1,E2314:N2314,0)),"",'Analysis backend'!$L$1)</f>
        <v/>
      </c>
      <c r="U2314" t="str">
        <f>IF(T2314='Analysis backend'!$L$1,IF(ISERROR(MATCH('Analysis backend'!$M$1,E2314:I2314,0)),"Dire","Radiant"),"")</f>
        <v/>
      </c>
    </row>
    <row r="2315" spans="20:21" x14ac:dyDescent="0.3">
      <c r="T2315" t="str">
        <f>IF(ISERROR(MATCH('Analysis backend'!$M$1,E2315:N2315,0)),"",'Analysis backend'!$L$1)</f>
        <v/>
      </c>
      <c r="U2315" t="str">
        <f>IF(T2315='Analysis backend'!$L$1,IF(ISERROR(MATCH('Analysis backend'!$M$1,E2315:I2315,0)),"Dire","Radiant"),"")</f>
        <v/>
      </c>
    </row>
    <row r="2316" spans="20:21" x14ac:dyDescent="0.3">
      <c r="T2316" t="str">
        <f>IF(ISERROR(MATCH('Analysis backend'!$M$1,E2316:N2316,0)),"",'Analysis backend'!$L$1)</f>
        <v/>
      </c>
      <c r="U2316" t="str">
        <f>IF(T2316='Analysis backend'!$L$1,IF(ISERROR(MATCH('Analysis backend'!$M$1,E2316:I2316,0)),"Dire","Radiant"),"")</f>
        <v/>
      </c>
    </row>
    <row r="2317" spans="20:21" x14ac:dyDescent="0.3">
      <c r="T2317" t="str">
        <f>IF(ISERROR(MATCH('Analysis backend'!$M$1,E2317:N2317,0)),"",'Analysis backend'!$L$1)</f>
        <v/>
      </c>
      <c r="U2317" t="str">
        <f>IF(T2317='Analysis backend'!$L$1,IF(ISERROR(MATCH('Analysis backend'!$M$1,E2317:I2317,0)),"Dire","Radiant"),"")</f>
        <v/>
      </c>
    </row>
    <row r="2318" spans="20:21" x14ac:dyDescent="0.3">
      <c r="T2318" t="str">
        <f>IF(ISERROR(MATCH('Analysis backend'!$M$1,E2318:N2318,0)),"",'Analysis backend'!$L$1)</f>
        <v/>
      </c>
      <c r="U2318" t="str">
        <f>IF(T2318='Analysis backend'!$L$1,IF(ISERROR(MATCH('Analysis backend'!$M$1,E2318:I2318,0)),"Dire","Radiant"),"")</f>
        <v/>
      </c>
    </row>
    <row r="2319" spans="20:21" x14ac:dyDescent="0.3">
      <c r="T2319" t="str">
        <f>IF(ISERROR(MATCH('Analysis backend'!$M$1,E2319:N2319,0)),"",'Analysis backend'!$L$1)</f>
        <v/>
      </c>
      <c r="U2319" t="str">
        <f>IF(T2319='Analysis backend'!$L$1,IF(ISERROR(MATCH('Analysis backend'!$M$1,E2319:I2319,0)),"Dire","Radiant"),"")</f>
        <v/>
      </c>
    </row>
    <row r="2320" spans="20:21" x14ac:dyDescent="0.3">
      <c r="T2320" t="str">
        <f>IF(ISERROR(MATCH('Analysis backend'!$M$1,E2320:N2320,0)),"",'Analysis backend'!$L$1)</f>
        <v/>
      </c>
      <c r="U2320" t="str">
        <f>IF(T2320='Analysis backend'!$L$1,IF(ISERROR(MATCH('Analysis backend'!$M$1,E2320:I2320,0)),"Dire","Radiant"),"")</f>
        <v/>
      </c>
    </row>
    <row r="2321" spans="20:21" x14ac:dyDescent="0.3">
      <c r="T2321" t="str">
        <f>IF(ISERROR(MATCH('Analysis backend'!$M$1,E2321:N2321,0)),"",'Analysis backend'!$L$1)</f>
        <v/>
      </c>
      <c r="U2321" t="str">
        <f>IF(T2321='Analysis backend'!$L$1,IF(ISERROR(MATCH('Analysis backend'!$M$1,E2321:I2321,0)),"Dire","Radiant"),"")</f>
        <v/>
      </c>
    </row>
    <row r="2322" spans="20:21" x14ac:dyDescent="0.3">
      <c r="T2322" t="str">
        <f>IF(ISERROR(MATCH('Analysis backend'!$M$1,E2322:N2322,0)),"",'Analysis backend'!$L$1)</f>
        <v/>
      </c>
      <c r="U2322" t="str">
        <f>IF(T2322='Analysis backend'!$L$1,IF(ISERROR(MATCH('Analysis backend'!$M$1,E2322:I2322,0)),"Dire","Radiant"),"")</f>
        <v/>
      </c>
    </row>
    <row r="2323" spans="20:21" x14ac:dyDescent="0.3">
      <c r="T2323" t="str">
        <f>IF(ISERROR(MATCH('Analysis backend'!$M$1,E2323:N2323,0)),"",'Analysis backend'!$L$1)</f>
        <v/>
      </c>
      <c r="U2323" t="str">
        <f>IF(T2323='Analysis backend'!$L$1,IF(ISERROR(MATCH('Analysis backend'!$M$1,E2323:I2323,0)),"Dire","Radiant"),"")</f>
        <v/>
      </c>
    </row>
    <row r="2324" spans="20:21" x14ac:dyDescent="0.3">
      <c r="T2324" t="str">
        <f>IF(ISERROR(MATCH('Analysis backend'!$M$1,E2324:N2324,0)),"",'Analysis backend'!$L$1)</f>
        <v/>
      </c>
      <c r="U2324" t="str">
        <f>IF(T2324='Analysis backend'!$L$1,IF(ISERROR(MATCH('Analysis backend'!$M$1,E2324:I2324,0)),"Dire","Radiant"),"")</f>
        <v/>
      </c>
    </row>
    <row r="2325" spans="20:21" x14ac:dyDescent="0.3">
      <c r="T2325" t="str">
        <f>IF(ISERROR(MATCH('Analysis backend'!$M$1,E2325:N2325,0)),"",'Analysis backend'!$L$1)</f>
        <v/>
      </c>
      <c r="U2325" t="str">
        <f>IF(T2325='Analysis backend'!$L$1,IF(ISERROR(MATCH('Analysis backend'!$M$1,E2325:I2325,0)),"Dire","Radiant"),"")</f>
        <v/>
      </c>
    </row>
    <row r="2326" spans="20:21" x14ac:dyDescent="0.3">
      <c r="T2326" t="str">
        <f>IF(ISERROR(MATCH('Analysis backend'!$M$1,E2326:N2326,0)),"",'Analysis backend'!$L$1)</f>
        <v/>
      </c>
      <c r="U2326" t="str">
        <f>IF(T2326='Analysis backend'!$L$1,IF(ISERROR(MATCH('Analysis backend'!$M$1,E2326:I2326,0)),"Dire","Radiant"),"")</f>
        <v/>
      </c>
    </row>
    <row r="2327" spans="20:21" x14ac:dyDescent="0.3">
      <c r="T2327" t="str">
        <f>IF(ISERROR(MATCH('Analysis backend'!$M$1,E2327:N2327,0)),"",'Analysis backend'!$L$1)</f>
        <v/>
      </c>
      <c r="U2327" t="str">
        <f>IF(T2327='Analysis backend'!$L$1,IF(ISERROR(MATCH('Analysis backend'!$M$1,E2327:I2327,0)),"Dire","Radiant"),"")</f>
        <v/>
      </c>
    </row>
    <row r="2328" spans="20:21" x14ac:dyDescent="0.3">
      <c r="T2328" t="str">
        <f>IF(ISERROR(MATCH('Analysis backend'!$M$1,E2328:N2328,0)),"",'Analysis backend'!$L$1)</f>
        <v/>
      </c>
      <c r="U2328" t="str">
        <f>IF(T2328='Analysis backend'!$L$1,IF(ISERROR(MATCH('Analysis backend'!$M$1,E2328:I2328,0)),"Dire","Radiant"),"")</f>
        <v/>
      </c>
    </row>
    <row r="2329" spans="20:21" x14ac:dyDescent="0.3">
      <c r="T2329" t="str">
        <f>IF(ISERROR(MATCH('Analysis backend'!$M$1,E2329:N2329,0)),"",'Analysis backend'!$L$1)</f>
        <v/>
      </c>
      <c r="U2329" t="str">
        <f>IF(T2329='Analysis backend'!$L$1,IF(ISERROR(MATCH('Analysis backend'!$M$1,E2329:I2329,0)),"Dire","Radiant"),"")</f>
        <v/>
      </c>
    </row>
    <row r="2330" spans="20:21" x14ac:dyDescent="0.3">
      <c r="T2330" t="str">
        <f>IF(ISERROR(MATCH('Analysis backend'!$M$1,E2330:N2330,0)),"",'Analysis backend'!$L$1)</f>
        <v/>
      </c>
      <c r="U2330" t="str">
        <f>IF(T2330='Analysis backend'!$L$1,IF(ISERROR(MATCH('Analysis backend'!$M$1,E2330:I2330,0)),"Dire","Radiant"),"")</f>
        <v/>
      </c>
    </row>
    <row r="2331" spans="20:21" x14ac:dyDescent="0.3">
      <c r="T2331" t="str">
        <f>IF(ISERROR(MATCH('Analysis backend'!$M$1,E2331:N2331,0)),"",'Analysis backend'!$L$1)</f>
        <v/>
      </c>
      <c r="U2331" t="str">
        <f>IF(T2331='Analysis backend'!$L$1,IF(ISERROR(MATCH('Analysis backend'!$M$1,E2331:I2331,0)),"Dire","Radiant"),"")</f>
        <v/>
      </c>
    </row>
    <row r="2332" spans="20:21" x14ac:dyDescent="0.3">
      <c r="T2332" t="str">
        <f>IF(ISERROR(MATCH('Analysis backend'!$M$1,E2332:N2332,0)),"",'Analysis backend'!$L$1)</f>
        <v/>
      </c>
      <c r="U2332" t="str">
        <f>IF(T2332='Analysis backend'!$L$1,IF(ISERROR(MATCH('Analysis backend'!$M$1,E2332:I2332,0)),"Dire","Radiant"),"")</f>
        <v/>
      </c>
    </row>
    <row r="2333" spans="20:21" x14ac:dyDescent="0.3">
      <c r="T2333" t="str">
        <f>IF(ISERROR(MATCH('Analysis backend'!$M$1,E2333:N2333,0)),"",'Analysis backend'!$L$1)</f>
        <v/>
      </c>
      <c r="U2333" t="str">
        <f>IF(T2333='Analysis backend'!$L$1,IF(ISERROR(MATCH('Analysis backend'!$M$1,E2333:I2333,0)),"Dire","Radiant"),"")</f>
        <v/>
      </c>
    </row>
    <row r="2334" spans="20:21" x14ac:dyDescent="0.3">
      <c r="T2334" t="str">
        <f>IF(ISERROR(MATCH('Analysis backend'!$M$1,E2334:N2334,0)),"",'Analysis backend'!$L$1)</f>
        <v/>
      </c>
      <c r="U2334" t="str">
        <f>IF(T2334='Analysis backend'!$L$1,IF(ISERROR(MATCH('Analysis backend'!$M$1,E2334:I2334,0)),"Dire","Radiant"),"")</f>
        <v/>
      </c>
    </row>
    <row r="2335" spans="20:21" x14ac:dyDescent="0.3">
      <c r="T2335" t="str">
        <f>IF(ISERROR(MATCH('Analysis backend'!$M$1,E2335:N2335,0)),"",'Analysis backend'!$L$1)</f>
        <v/>
      </c>
      <c r="U2335" t="str">
        <f>IF(T2335='Analysis backend'!$L$1,IF(ISERROR(MATCH('Analysis backend'!$M$1,E2335:I2335,0)),"Dire","Radiant"),"")</f>
        <v/>
      </c>
    </row>
    <row r="2336" spans="20:21" x14ac:dyDescent="0.3">
      <c r="T2336" t="str">
        <f>IF(ISERROR(MATCH('Analysis backend'!$M$1,E2336:N2336,0)),"",'Analysis backend'!$L$1)</f>
        <v/>
      </c>
      <c r="U2336" t="str">
        <f>IF(T2336='Analysis backend'!$L$1,IF(ISERROR(MATCH('Analysis backend'!$M$1,E2336:I2336,0)),"Dire","Radiant"),"")</f>
        <v/>
      </c>
    </row>
    <row r="2337" spans="20:21" x14ac:dyDescent="0.3">
      <c r="T2337" t="str">
        <f>IF(ISERROR(MATCH('Analysis backend'!$M$1,E2337:N2337,0)),"",'Analysis backend'!$L$1)</f>
        <v/>
      </c>
      <c r="U2337" t="str">
        <f>IF(T2337='Analysis backend'!$L$1,IF(ISERROR(MATCH('Analysis backend'!$M$1,E2337:I2337,0)),"Dire","Radiant"),"")</f>
        <v/>
      </c>
    </row>
    <row r="2338" spans="20:21" x14ac:dyDescent="0.3">
      <c r="T2338" t="str">
        <f>IF(ISERROR(MATCH('Analysis backend'!$M$1,E2338:N2338,0)),"",'Analysis backend'!$L$1)</f>
        <v/>
      </c>
      <c r="U2338" t="str">
        <f>IF(T2338='Analysis backend'!$L$1,IF(ISERROR(MATCH('Analysis backend'!$M$1,E2338:I2338,0)),"Dire","Radiant"),"")</f>
        <v/>
      </c>
    </row>
    <row r="2339" spans="20:21" x14ac:dyDescent="0.3">
      <c r="T2339" t="str">
        <f>IF(ISERROR(MATCH('Analysis backend'!$M$1,E2339:N2339,0)),"",'Analysis backend'!$L$1)</f>
        <v/>
      </c>
      <c r="U2339" t="str">
        <f>IF(T2339='Analysis backend'!$L$1,IF(ISERROR(MATCH('Analysis backend'!$M$1,E2339:I2339,0)),"Dire","Radiant"),"")</f>
        <v/>
      </c>
    </row>
    <row r="2340" spans="20:21" x14ac:dyDescent="0.3">
      <c r="T2340" t="str">
        <f>IF(ISERROR(MATCH('Analysis backend'!$M$1,E2340:N2340,0)),"",'Analysis backend'!$L$1)</f>
        <v/>
      </c>
      <c r="U2340" t="str">
        <f>IF(T2340='Analysis backend'!$L$1,IF(ISERROR(MATCH('Analysis backend'!$M$1,E2340:I2340,0)),"Dire","Radiant"),"")</f>
        <v/>
      </c>
    </row>
    <row r="2341" spans="20:21" x14ac:dyDescent="0.3">
      <c r="T2341" t="str">
        <f>IF(ISERROR(MATCH('Analysis backend'!$M$1,E2341:N2341,0)),"",'Analysis backend'!$L$1)</f>
        <v/>
      </c>
      <c r="U2341" t="str">
        <f>IF(T2341='Analysis backend'!$L$1,IF(ISERROR(MATCH('Analysis backend'!$M$1,E2341:I2341,0)),"Dire","Radiant"),"")</f>
        <v/>
      </c>
    </row>
    <row r="2342" spans="20:21" x14ac:dyDescent="0.3">
      <c r="T2342" t="str">
        <f>IF(ISERROR(MATCH('Analysis backend'!$M$1,E2342:N2342,0)),"",'Analysis backend'!$L$1)</f>
        <v/>
      </c>
      <c r="U2342" t="str">
        <f>IF(T2342='Analysis backend'!$L$1,IF(ISERROR(MATCH('Analysis backend'!$M$1,E2342:I2342,0)),"Dire","Radiant"),"")</f>
        <v/>
      </c>
    </row>
    <row r="2343" spans="20:21" x14ac:dyDescent="0.3">
      <c r="T2343" t="str">
        <f>IF(ISERROR(MATCH('Analysis backend'!$M$1,E2343:N2343,0)),"",'Analysis backend'!$L$1)</f>
        <v/>
      </c>
      <c r="U2343" t="str">
        <f>IF(T2343='Analysis backend'!$L$1,IF(ISERROR(MATCH('Analysis backend'!$M$1,E2343:I2343,0)),"Dire","Radiant"),"")</f>
        <v/>
      </c>
    </row>
    <row r="2344" spans="20:21" x14ac:dyDescent="0.3">
      <c r="T2344" t="str">
        <f>IF(ISERROR(MATCH('Analysis backend'!$M$1,E2344:N2344,0)),"",'Analysis backend'!$L$1)</f>
        <v/>
      </c>
      <c r="U2344" t="str">
        <f>IF(T2344='Analysis backend'!$L$1,IF(ISERROR(MATCH('Analysis backend'!$M$1,E2344:I2344,0)),"Dire","Radiant"),"")</f>
        <v/>
      </c>
    </row>
    <row r="2345" spans="20:21" x14ac:dyDescent="0.3">
      <c r="T2345" t="str">
        <f>IF(ISERROR(MATCH('Analysis backend'!$M$1,E2345:N2345,0)),"",'Analysis backend'!$L$1)</f>
        <v/>
      </c>
      <c r="U2345" t="str">
        <f>IF(T2345='Analysis backend'!$L$1,IF(ISERROR(MATCH('Analysis backend'!$M$1,E2345:I2345,0)),"Dire","Radiant"),"")</f>
        <v/>
      </c>
    </row>
    <row r="2346" spans="20:21" x14ac:dyDescent="0.3">
      <c r="T2346" t="str">
        <f>IF(ISERROR(MATCH('Analysis backend'!$M$1,E2346:N2346,0)),"",'Analysis backend'!$L$1)</f>
        <v/>
      </c>
      <c r="U2346" t="str">
        <f>IF(T2346='Analysis backend'!$L$1,IF(ISERROR(MATCH('Analysis backend'!$M$1,E2346:I2346,0)),"Dire","Radiant"),"")</f>
        <v/>
      </c>
    </row>
    <row r="2347" spans="20:21" x14ac:dyDescent="0.3">
      <c r="T2347" t="str">
        <f>IF(ISERROR(MATCH('Analysis backend'!$M$1,E2347:N2347,0)),"",'Analysis backend'!$L$1)</f>
        <v/>
      </c>
      <c r="U2347" t="str">
        <f>IF(T2347='Analysis backend'!$L$1,IF(ISERROR(MATCH('Analysis backend'!$M$1,E2347:I2347,0)),"Dire","Radiant"),"")</f>
        <v/>
      </c>
    </row>
    <row r="2348" spans="20:21" x14ac:dyDescent="0.3">
      <c r="T2348" t="str">
        <f>IF(ISERROR(MATCH('Analysis backend'!$M$1,E2348:N2348,0)),"",'Analysis backend'!$L$1)</f>
        <v/>
      </c>
      <c r="U2348" t="str">
        <f>IF(T2348='Analysis backend'!$L$1,IF(ISERROR(MATCH('Analysis backend'!$M$1,E2348:I2348,0)),"Dire","Radiant"),"")</f>
        <v/>
      </c>
    </row>
    <row r="2349" spans="20:21" x14ac:dyDescent="0.3">
      <c r="T2349" t="str">
        <f>IF(ISERROR(MATCH('Analysis backend'!$M$1,E2349:N2349,0)),"",'Analysis backend'!$L$1)</f>
        <v/>
      </c>
      <c r="U2349" t="str">
        <f>IF(T2349='Analysis backend'!$L$1,IF(ISERROR(MATCH('Analysis backend'!$M$1,E2349:I2349,0)),"Dire","Radiant"),"")</f>
        <v/>
      </c>
    </row>
    <row r="2350" spans="20:21" x14ac:dyDescent="0.3">
      <c r="T2350" t="str">
        <f>IF(ISERROR(MATCH('Analysis backend'!$M$1,E2350:N2350,0)),"",'Analysis backend'!$L$1)</f>
        <v/>
      </c>
      <c r="U2350" t="str">
        <f>IF(T2350='Analysis backend'!$L$1,IF(ISERROR(MATCH('Analysis backend'!$M$1,E2350:I2350,0)),"Dire","Radiant"),"")</f>
        <v/>
      </c>
    </row>
    <row r="2351" spans="20:21" x14ac:dyDescent="0.3">
      <c r="T2351" t="str">
        <f>IF(ISERROR(MATCH('Analysis backend'!$M$1,E2351:N2351,0)),"",'Analysis backend'!$L$1)</f>
        <v/>
      </c>
      <c r="U2351" t="str">
        <f>IF(T2351='Analysis backend'!$L$1,IF(ISERROR(MATCH('Analysis backend'!$M$1,E2351:I2351,0)),"Dire","Radiant"),"")</f>
        <v/>
      </c>
    </row>
    <row r="2352" spans="20:21" x14ac:dyDescent="0.3">
      <c r="T2352" t="str">
        <f>IF(ISERROR(MATCH('Analysis backend'!$M$1,E2352:N2352,0)),"",'Analysis backend'!$L$1)</f>
        <v/>
      </c>
      <c r="U2352" t="str">
        <f>IF(T2352='Analysis backend'!$L$1,IF(ISERROR(MATCH('Analysis backend'!$M$1,E2352:I2352,0)),"Dire","Radiant"),"")</f>
        <v/>
      </c>
    </row>
    <row r="2353" spans="20:21" x14ac:dyDescent="0.3">
      <c r="T2353" t="str">
        <f>IF(ISERROR(MATCH('Analysis backend'!$M$1,E2353:N2353,0)),"",'Analysis backend'!$L$1)</f>
        <v/>
      </c>
      <c r="U2353" t="str">
        <f>IF(T2353='Analysis backend'!$L$1,IF(ISERROR(MATCH('Analysis backend'!$M$1,E2353:I2353,0)),"Dire","Radiant"),"")</f>
        <v/>
      </c>
    </row>
    <row r="2354" spans="20:21" x14ac:dyDescent="0.3">
      <c r="T2354" t="str">
        <f>IF(ISERROR(MATCH('Analysis backend'!$M$1,E2354:N2354,0)),"",'Analysis backend'!$L$1)</f>
        <v/>
      </c>
      <c r="U2354" t="str">
        <f>IF(T2354='Analysis backend'!$L$1,IF(ISERROR(MATCH('Analysis backend'!$M$1,E2354:I2354,0)),"Dire","Radiant"),"")</f>
        <v/>
      </c>
    </row>
    <row r="2355" spans="20:21" x14ac:dyDescent="0.3">
      <c r="T2355" t="str">
        <f>IF(ISERROR(MATCH('Analysis backend'!$M$1,E2355:N2355,0)),"",'Analysis backend'!$L$1)</f>
        <v/>
      </c>
      <c r="U2355" t="str">
        <f>IF(T2355='Analysis backend'!$L$1,IF(ISERROR(MATCH('Analysis backend'!$M$1,E2355:I2355,0)),"Dire","Radiant"),"")</f>
        <v/>
      </c>
    </row>
    <row r="2356" spans="20:21" x14ac:dyDescent="0.3">
      <c r="T2356" t="str">
        <f>IF(ISERROR(MATCH('Analysis backend'!$M$1,E2356:N2356,0)),"",'Analysis backend'!$L$1)</f>
        <v/>
      </c>
      <c r="U2356" t="str">
        <f>IF(T2356='Analysis backend'!$L$1,IF(ISERROR(MATCH('Analysis backend'!$M$1,E2356:I2356,0)),"Dire","Radiant"),"")</f>
        <v/>
      </c>
    </row>
    <row r="2357" spans="20:21" x14ac:dyDescent="0.3">
      <c r="T2357" t="str">
        <f>IF(ISERROR(MATCH('Analysis backend'!$M$1,E2357:N2357,0)),"",'Analysis backend'!$L$1)</f>
        <v/>
      </c>
      <c r="U2357" t="str">
        <f>IF(T2357='Analysis backend'!$L$1,IF(ISERROR(MATCH('Analysis backend'!$M$1,E2357:I2357,0)),"Dire","Radiant"),"")</f>
        <v/>
      </c>
    </row>
    <row r="2358" spans="20:21" x14ac:dyDescent="0.3">
      <c r="T2358" t="str">
        <f>IF(ISERROR(MATCH('Analysis backend'!$M$1,E2358:N2358,0)),"",'Analysis backend'!$L$1)</f>
        <v/>
      </c>
      <c r="U2358" t="str">
        <f>IF(T2358='Analysis backend'!$L$1,IF(ISERROR(MATCH('Analysis backend'!$M$1,E2358:I2358,0)),"Dire","Radiant"),"")</f>
        <v/>
      </c>
    </row>
    <row r="2359" spans="20:21" x14ac:dyDescent="0.3">
      <c r="T2359" t="str">
        <f>IF(ISERROR(MATCH('Analysis backend'!$M$1,E2359:N2359,0)),"",'Analysis backend'!$L$1)</f>
        <v/>
      </c>
      <c r="U2359" t="str">
        <f>IF(T2359='Analysis backend'!$L$1,IF(ISERROR(MATCH('Analysis backend'!$M$1,E2359:I2359,0)),"Dire","Radiant"),"")</f>
        <v/>
      </c>
    </row>
    <row r="2360" spans="20:21" x14ac:dyDescent="0.3">
      <c r="T2360" t="str">
        <f>IF(ISERROR(MATCH('Analysis backend'!$M$1,E2360:N2360,0)),"",'Analysis backend'!$L$1)</f>
        <v/>
      </c>
      <c r="U2360" t="str">
        <f>IF(T2360='Analysis backend'!$L$1,IF(ISERROR(MATCH('Analysis backend'!$M$1,E2360:I2360,0)),"Dire","Radiant"),"")</f>
        <v/>
      </c>
    </row>
    <row r="2361" spans="20:21" x14ac:dyDescent="0.3">
      <c r="T2361" t="str">
        <f>IF(ISERROR(MATCH('Analysis backend'!$M$1,E2361:N2361,0)),"",'Analysis backend'!$L$1)</f>
        <v/>
      </c>
      <c r="U2361" t="str">
        <f>IF(T2361='Analysis backend'!$L$1,IF(ISERROR(MATCH('Analysis backend'!$M$1,E2361:I2361,0)),"Dire","Radiant"),"")</f>
        <v/>
      </c>
    </row>
    <row r="2362" spans="20:21" x14ac:dyDescent="0.3">
      <c r="T2362" t="str">
        <f>IF(ISERROR(MATCH('Analysis backend'!$M$1,E2362:N2362,0)),"",'Analysis backend'!$L$1)</f>
        <v/>
      </c>
      <c r="U2362" t="str">
        <f>IF(T2362='Analysis backend'!$L$1,IF(ISERROR(MATCH('Analysis backend'!$M$1,E2362:I2362,0)),"Dire","Radiant"),"")</f>
        <v/>
      </c>
    </row>
    <row r="2363" spans="20:21" x14ac:dyDescent="0.3">
      <c r="T2363" t="str">
        <f>IF(ISERROR(MATCH('Analysis backend'!$M$1,E2363:N2363,0)),"",'Analysis backend'!$L$1)</f>
        <v/>
      </c>
      <c r="U2363" t="str">
        <f>IF(T2363='Analysis backend'!$L$1,IF(ISERROR(MATCH('Analysis backend'!$M$1,E2363:I2363,0)),"Dire","Radiant"),"")</f>
        <v/>
      </c>
    </row>
    <row r="2364" spans="20:21" x14ac:dyDescent="0.3">
      <c r="T2364" t="str">
        <f>IF(ISERROR(MATCH('Analysis backend'!$M$1,E2364:N2364,0)),"",'Analysis backend'!$L$1)</f>
        <v/>
      </c>
      <c r="U2364" t="str">
        <f>IF(T2364='Analysis backend'!$L$1,IF(ISERROR(MATCH('Analysis backend'!$M$1,E2364:I2364,0)),"Dire","Radiant"),"")</f>
        <v/>
      </c>
    </row>
    <row r="2365" spans="20:21" x14ac:dyDescent="0.3">
      <c r="T2365" t="str">
        <f>IF(ISERROR(MATCH('Analysis backend'!$M$1,E2365:N2365,0)),"",'Analysis backend'!$L$1)</f>
        <v/>
      </c>
      <c r="U2365" t="str">
        <f>IF(T2365='Analysis backend'!$L$1,IF(ISERROR(MATCH('Analysis backend'!$M$1,E2365:I2365,0)),"Dire","Radiant"),"")</f>
        <v/>
      </c>
    </row>
    <row r="2366" spans="20:21" x14ac:dyDescent="0.3">
      <c r="T2366" t="str">
        <f>IF(ISERROR(MATCH('Analysis backend'!$M$1,E2366:N2366,0)),"",'Analysis backend'!$L$1)</f>
        <v/>
      </c>
      <c r="U2366" t="str">
        <f>IF(T2366='Analysis backend'!$L$1,IF(ISERROR(MATCH('Analysis backend'!$M$1,E2366:I2366,0)),"Dire","Radiant"),"")</f>
        <v/>
      </c>
    </row>
    <row r="2367" spans="20:21" x14ac:dyDescent="0.3">
      <c r="T2367" t="str">
        <f>IF(ISERROR(MATCH('Analysis backend'!$M$1,E2367:N2367,0)),"",'Analysis backend'!$L$1)</f>
        <v/>
      </c>
      <c r="U2367" t="str">
        <f>IF(T2367='Analysis backend'!$L$1,IF(ISERROR(MATCH('Analysis backend'!$M$1,E2367:I2367,0)),"Dire","Radiant"),"")</f>
        <v/>
      </c>
    </row>
    <row r="2368" spans="20:21" x14ac:dyDescent="0.3">
      <c r="T2368" t="str">
        <f>IF(ISERROR(MATCH('Analysis backend'!$M$1,E2368:N2368,0)),"",'Analysis backend'!$L$1)</f>
        <v/>
      </c>
      <c r="U2368" t="str">
        <f>IF(T2368='Analysis backend'!$L$1,IF(ISERROR(MATCH('Analysis backend'!$M$1,E2368:I2368,0)),"Dire","Radiant"),"")</f>
        <v/>
      </c>
    </row>
    <row r="2369" spans="20:21" x14ac:dyDescent="0.3">
      <c r="T2369" t="str">
        <f>IF(ISERROR(MATCH('Analysis backend'!$M$1,E2369:N2369,0)),"",'Analysis backend'!$L$1)</f>
        <v/>
      </c>
      <c r="U2369" t="str">
        <f>IF(T2369='Analysis backend'!$L$1,IF(ISERROR(MATCH('Analysis backend'!$M$1,E2369:I2369,0)),"Dire","Radiant"),"")</f>
        <v/>
      </c>
    </row>
    <row r="2370" spans="20:21" x14ac:dyDescent="0.3">
      <c r="T2370" t="str">
        <f>IF(ISERROR(MATCH('Analysis backend'!$M$1,E2370:N2370,0)),"",'Analysis backend'!$L$1)</f>
        <v/>
      </c>
      <c r="U2370" t="str">
        <f>IF(T2370='Analysis backend'!$L$1,IF(ISERROR(MATCH('Analysis backend'!$M$1,E2370:I2370,0)),"Dire","Radiant"),"")</f>
        <v/>
      </c>
    </row>
    <row r="2371" spans="20:21" x14ac:dyDescent="0.3">
      <c r="T2371" t="str">
        <f>IF(ISERROR(MATCH('Analysis backend'!$M$1,E2371:N2371,0)),"",'Analysis backend'!$L$1)</f>
        <v/>
      </c>
      <c r="U2371" t="str">
        <f>IF(T2371='Analysis backend'!$L$1,IF(ISERROR(MATCH('Analysis backend'!$M$1,E2371:I2371,0)),"Dire","Radiant"),"")</f>
        <v/>
      </c>
    </row>
    <row r="2372" spans="20:21" x14ac:dyDescent="0.3">
      <c r="T2372" t="str">
        <f>IF(ISERROR(MATCH('Analysis backend'!$M$1,E2372:N2372,0)),"",'Analysis backend'!$L$1)</f>
        <v/>
      </c>
      <c r="U2372" t="str">
        <f>IF(T2372='Analysis backend'!$L$1,IF(ISERROR(MATCH('Analysis backend'!$M$1,E2372:I2372,0)),"Dire","Radiant"),"")</f>
        <v/>
      </c>
    </row>
    <row r="2373" spans="20:21" x14ac:dyDescent="0.3">
      <c r="T2373" t="str">
        <f>IF(ISERROR(MATCH('Analysis backend'!$M$1,E2373:N2373,0)),"",'Analysis backend'!$L$1)</f>
        <v/>
      </c>
      <c r="U2373" t="str">
        <f>IF(T2373='Analysis backend'!$L$1,IF(ISERROR(MATCH('Analysis backend'!$M$1,E2373:I2373,0)),"Dire","Radiant"),"")</f>
        <v/>
      </c>
    </row>
    <row r="2374" spans="20:21" x14ac:dyDescent="0.3">
      <c r="T2374" t="str">
        <f>IF(ISERROR(MATCH('Analysis backend'!$M$1,E2374:N2374,0)),"",'Analysis backend'!$L$1)</f>
        <v/>
      </c>
      <c r="U2374" t="str">
        <f>IF(T2374='Analysis backend'!$L$1,IF(ISERROR(MATCH('Analysis backend'!$M$1,E2374:I2374,0)),"Dire","Radiant"),"")</f>
        <v/>
      </c>
    </row>
    <row r="2375" spans="20:21" x14ac:dyDescent="0.3">
      <c r="T2375" t="str">
        <f>IF(ISERROR(MATCH('Analysis backend'!$M$1,E2375:N2375,0)),"",'Analysis backend'!$L$1)</f>
        <v/>
      </c>
      <c r="U2375" t="str">
        <f>IF(T2375='Analysis backend'!$L$1,IF(ISERROR(MATCH('Analysis backend'!$M$1,E2375:I2375,0)),"Dire","Radiant"),"")</f>
        <v/>
      </c>
    </row>
    <row r="2376" spans="20:21" x14ac:dyDescent="0.3">
      <c r="T2376" t="str">
        <f>IF(ISERROR(MATCH('Analysis backend'!$M$1,E2376:N2376,0)),"",'Analysis backend'!$L$1)</f>
        <v/>
      </c>
      <c r="U2376" t="str">
        <f>IF(T2376='Analysis backend'!$L$1,IF(ISERROR(MATCH('Analysis backend'!$M$1,E2376:I2376,0)),"Dire","Radiant"),"")</f>
        <v/>
      </c>
    </row>
    <row r="2377" spans="20:21" x14ac:dyDescent="0.3">
      <c r="T2377" t="str">
        <f>IF(ISERROR(MATCH('Analysis backend'!$M$1,E2377:N2377,0)),"",'Analysis backend'!$L$1)</f>
        <v/>
      </c>
      <c r="U2377" t="str">
        <f>IF(T2377='Analysis backend'!$L$1,IF(ISERROR(MATCH('Analysis backend'!$M$1,E2377:I2377,0)),"Dire","Radiant"),"")</f>
        <v/>
      </c>
    </row>
    <row r="2378" spans="20:21" x14ac:dyDescent="0.3">
      <c r="T2378" t="str">
        <f>IF(ISERROR(MATCH('Analysis backend'!$M$1,E2378:N2378,0)),"",'Analysis backend'!$L$1)</f>
        <v/>
      </c>
      <c r="U2378" t="str">
        <f>IF(T2378='Analysis backend'!$L$1,IF(ISERROR(MATCH('Analysis backend'!$M$1,E2378:I2378,0)),"Dire","Radiant"),"")</f>
        <v/>
      </c>
    </row>
    <row r="2379" spans="20:21" x14ac:dyDescent="0.3">
      <c r="T2379" t="str">
        <f>IF(ISERROR(MATCH('Analysis backend'!$M$1,E2379:N2379,0)),"",'Analysis backend'!$L$1)</f>
        <v/>
      </c>
      <c r="U2379" t="str">
        <f>IF(T2379='Analysis backend'!$L$1,IF(ISERROR(MATCH('Analysis backend'!$M$1,E2379:I2379,0)),"Dire","Radiant"),"")</f>
        <v/>
      </c>
    </row>
    <row r="2380" spans="20:21" x14ac:dyDescent="0.3">
      <c r="T2380" t="str">
        <f>IF(ISERROR(MATCH('Analysis backend'!$M$1,E2380:N2380,0)),"",'Analysis backend'!$L$1)</f>
        <v/>
      </c>
      <c r="U2380" t="str">
        <f>IF(T2380='Analysis backend'!$L$1,IF(ISERROR(MATCH('Analysis backend'!$M$1,E2380:I2380,0)),"Dire","Radiant"),"")</f>
        <v/>
      </c>
    </row>
    <row r="2381" spans="20:21" x14ac:dyDescent="0.3">
      <c r="T2381" t="str">
        <f>IF(ISERROR(MATCH('Analysis backend'!$M$1,E2381:N2381,0)),"",'Analysis backend'!$L$1)</f>
        <v/>
      </c>
      <c r="U2381" t="str">
        <f>IF(T2381='Analysis backend'!$L$1,IF(ISERROR(MATCH('Analysis backend'!$M$1,E2381:I2381,0)),"Dire","Radiant"),"")</f>
        <v/>
      </c>
    </row>
    <row r="2382" spans="20:21" x14ac:dyDescent="0.3">
      <c r="T2382" t="str">
        <f>IF(ISERROR(MATCH('Analysis backend'!$M$1,E2382:N2382,0)),"",'Analysis backend'!$L$1)</f>
        <v/>
      </c>
      <c r="U2382" t="str">
        <f>IF(T2382='Analysis backend'!$L$1,IF(ISERROR(MATCH('Analysis backend'!$M$1,E2382:I2382,0)),"Dire","Radiant"),"")</f>
        <v/>
      </c>
    </row>
    <row r="2383" spans="20:21" x14ac:dyDescent="0.3">
      <c r="T2383" t="str">
        <f>IF(ISERROR(MATCH('Analysis backend'!$M$1,E2383:N2383,0)),"",'Analysis backend'!$L$1)</f>
        <v/>
      </c>
      <c r="U2383" t="str">
        <f>IF(T2383='Analysis backend'!$L$1,IF(ISERROR(MATCH('Analysis backend'!$M$1,E2383:I2383,0)),"Dire","Radiant"),"")</f>
        <v/>
      </c>
    </row>
    <row r="2384" spans="20:21" x14ac:dyDescent="0.3">
      <c r="T2384" t="str">
        <f>IF(ISERROR(MATCH('Analysis backend'!$M$1,E2384:N2384,0)),"",'Analysis backend'!$L$1)</f>
        <v/>
      </c>
      <c r="U2384" t="str">
        <f>IF(T2384='Analysis backend'!$L$1,IF(ISERROR(MATCH('Analysis backend'!$M$1,E2384:I2384,0)),"Dire","Radiant"),"")</f>
        <v/>
      </c>
    </row>
    <row r="2385" spans="20:21" x14ac:dyDescent="0.3">
      <c r="T2385" t="str">
        <f>IF(ISERROR(MATCH('Analysis backend'!$M$1,E2385:N2385,0)),"",'Analysis backend'!$L$1)</f>
        <v/>
      </c>
      <c r="U2385" t="str">
        <f>IF(T2385='Analysis backend'!$L$1,IF(ISERROR(MATCH('Analysis backend'!$M$1,E2385:I2385,0)),"Dire","Radiant"),"")</f>
        <v/>
      </c>
    </row>
    <row r="2386" spans="20:21" x14ac:dyDescent="0.3">
      <c r="T2386" t="str">
        <f>IF(ISERROR(MATCH('Analysis backend'!$M$1,E2386:N2386,0)),"",'Analysis backend'!$L$1)</f>
        <v/>
      </c>
      <c r="U2386" t="str">
        <f>IF(T2386='Analysis backend'!$L$1,IF(ISERROR(MATCH('Analysis backend'!$M$1,E2386:I2386,0)),"Dire","Radiant"),"")</f>
        <v/>
      </c>
    </row>
    <row r="2387" spans="20:21" x14ac:dyDescent="0.3">
      <c r="T2387" t="str">
        <f>IF(ISERROR(MATCH('Analysis backend'!$M$1,E2387:N2387,0)),"",'Analysis backend'!$L$1)</f>
        <v/>
      </c>
      <c r="U2387" t="str">
        <f>IF(T2387='Analysis backend'!$L$1,IF(ISERROR(MATCH('Analysis backend'!$M$1,E2387:I2387,0)),"Dire","Radiant"),"")</f>
        <v/>
      </c>
    </row>
    <row r="2388" spans="20:21" x14ac:dyDescent="0.3">
      <c r="T2388" t="str">
        <f>IF(ISERROR(MATCH('Analysis backend'!$M$1,E2388:N2388,0)),"",'Analysis backend'!$L$1)</f>
        <v/>
      </c>
      <c r="U2388" t="str">
        <f>IF(T2388='Analysis backend'!$L$1,IF(ISERROR(MATCH('Analysis backend'!$M$1,E2388:I2388,0)),"Dire","Radiant"),"")</f>
        <v/>
      </c>
    </row>
    <row r="2389" spans="20:21" x14ac:dyDescent="0.3">
      <c r="T2389" t="str">
        <f>IF(ISERROR(MATCH('Analysis backend'!$M$1,E2389:N2389,0)),"",'Analysis backend'!$L$1)</f>
        <v/>
      </c>
      <c r="U2389" t="str">
        <f>IF(T2389='Analysis backend'!$L$1,IF(ISERROR(MATCH('Analysis backend'!$M$1,E2389:I2389,0)),"Dire","Radiant"),"")</f>
        <v/>
      </c>
    </row>
    <row r="2390" spans="20:21" x14ac:dyDescent="0.3">
      <c r="T2390" t="str">
        <f>IF(ISERROR(MATCH('Analysis backend'!$M$1,E2390:N2390,0)),"",'Analysis backend'!$L$1)</f>
        <v/>
      </c>
      <c r="U2390" t="str">
        <f>IF(T2390='Analysis backend'!$L$1,IF(ISERROR(MATCH('Analysis backend'!$M$1,E2390:I2390,0)),"Dire","Radiant"),"")</f>
        <v/>
      </c>
    </row>
    <row r="2391" spans="20:21" x14ac:dyDescent="0.3">
      <c r="T2391" t="str">
        <f>IF(ISERROR(MATCH('Analysis backend'!$M$1,E2391:N2391,0)),"",'Analysis backend'!$L$1)</f>
        <v/>
      </c>
      <c r="U2391" t="str">
        <f>IF(T2391='Analysis backend'!$L$1,IF(ISERROR(MATCH('Analysis backend'!$M$1,E2391:I2391,0)),"Dire","Radiant"),"")</f>
        <v/>
      </c>
    </row>
    <row r="2392" spans="20:21" x14ac:dyDescent="0.3">
      <c r="T2392" t="str">
        <f>IF(ISERROR(MATCH('Analysis backend'!$M$1,E2392:N2392,0)),"",'Analysis backend'!$L$1)</f>
        <v/>
      </c>
      <c r="U2392" t="str">
        <f>IF(T2392='Analysis backend'!$L$1,IF(ISERROR(MATCH('Analysis backend'!$M$1,E2392:I2392,0)),"Dire","Radiant"),"")</f>
        <v/>
      </c>
    </row>
    <row r="2393" spans="20:21" x14ac:dyDescent="0.3">
      <c r="T2393" t="str">
        <f>IF(ISERROR(MATCH('Analysis backend'!$M$1,E2393:N2393,0)),"",'Analysis backend'!$L$1)</f>
        <v/>
      </c>
      <c r="U2393" t="str">
        <f>IF(T2393='Analysis backend'!$L$1,IF(ISERROR(MATCH('Analysis backend'!$M$1,E2393:I2393,0)),"Dire","Radiant"),"")</f>
        <v/>
      </c>
    </row>
    <row r="2394" spans="20:21" x14ac:dyDescent="0.3">
      <c r="T2394" t="str">
        <f>IF(ISERROR(MATCH('Analysis backend'!$M$1,E2394:N2394,0)),"",'Analysis backend'!$L$1)</f>
        <v/>
      </c>
      <c r="U2394" t="str">
        <f>IF(T2394='Analysis backend'!$L$1,IF(ISERROR(MATCH('Analysis backend'!$M$1,E2394:I2394,0)),"Dire","Radiant"),"")</f>
        <v/>
      </c>
    </row>
    <row r="2395" spans="20:21" x14ac:dyDescent="0.3">
      <c r="T2395" t="str">
        <f>IF(ISERROR(MATCH('Analysis backend'!$M$1,E2395:N2395,0)),"",'Analysis backend'!$L$1)</f>
        <v/>
      </c>
      <c r="U2395" t="str">
        <f>IF(T2395='Analysis backend'!$L$1,IF(ISERROR(MATCH('Analysis backend'!$M$1,E2395:I2395,0)),"Dire","Radiant"),"")</f>
        <v/>
      </c>
    </row>
    <row r="2396" spans="20:21" x14ac:dyDescent="0.3">
      <c r="T2396" t="str">
        <f>IF(ISERROR(MATCH('Analysis backend'!$M$1,E2396:N2396,0)),"",'Analysis backend'!$L$1)</f>
        <v/>
      </c>
      <c r="U2396" t="str">
        <f>IF(T2396='Analysis backend'!$L$1,IF(ISERROR(MATCH('Analysis backend'!$M$1,E2396:I2396,0)),"Dire","Radiant"),"")</f>
        <v/>
      </c>
    </row>
    <row r="2397" spans="20:21" x14ac:dyDescent="0.3">
      <c r="T2397" t="str">
        <f>IF(ISERROR(MATCH('Analysis backend'!$M$1,E2397:N2397,0)),"",'Analysis backend'!$L$1)</f>
        <v/>
      </c>
      <c r="U2397" t="str">
        <f>IF(T2397='Analysis backend'!$L$1,IF(ISERROR(MATCH('Analysis backend'!$M$1,E2397:I2397,0)),"Dire","Radiant"),"")</f>
        <v/>
      </c>
    </row>
    <row r="2398" spans="20:21" x14ac:dyDescent="0.3">
      <c r="T2398" t="str">
        <f>IF(ISERROR(MATCH('Analysis backend'!$M$1,E2398:N2398,0)),"",'Analysis backend'!$L$1)</f>
        <v/>
      </c>
      <c r="U2398" t="str">
        <f>IF(T2398='Analysis backend'!$L$1,IF(ISERROR(MATCH('Analysis backend'!$M$1,E2398:I2398,0)),"Dire","Radiant"),"")</f>
        <v/>
      </c>
    </row>
    <row r="2399" spans="20:21" x14ac:dyDescent="0.3">
      <c r="T2399" t="str">
        <f>IF(ISERROR(MATCH('Analysis backend'!$M$1,E2399:N2399,0)),"",'Analysis backend'!$L$1)</f>
        <v/>
      </c>
      <c r="U2399" t="str">
        <f>IF(T2399='Analysis backend'!$L$1,IF(ISERROR(MATCH('Analysis backend'!$M$1,E2399:I2399,0)),"Dire","Radiant"),"")</f>
        <v/>
      </c>
    </row>
    <row r="2400" spans="20:21" x14ac:dyDescent="0.3">
      <c r="T2400" t="str">
        <f>IF(ISERROR(MATCH('Analysis backend'!$M$1,E2400:N2400,0)),"",'Analysis backend'!$L$1)</f>
        <v/>
      </c>
      <c r="U2400" t="str">
        <f>IF(T2400='Analysis backend'!$L$1,IF(ISERROR(MATCH('Analysis backend'!$M$1,E2400:I2400,0)),"Dire","Radiant"),"")</f>
        <v/>
      </c>
    </row>
    <row r="2401" spans="20:21" x14ac:dyDescent="0.3">
      <c r="T2401" t="str">
        <f>IF(ISERROR(MATCH('Analysis backend'!$M$1,E2401:N2401,0)),"",'Analysis backend'!$L$1)</f>
        <v/>
      </c>
      <c r="U2401" t="str">
        <f>IF(T2401='Analysis backend'!$L$1,IF(ISERROR(MATCH('Analysis backend'!$M$1,E2401:I2401,0)),"Dire","Radiant"),"")</f>
        <v/>
      </c>
    </row>
    <row r="2402" spans="20:21" x14ac:dyDescent="0.3">
      <c r="T2402" t="str">
        <f>IF(ISERROR(MATCH('Analysis backend'!$M$1,E2402:N2402,0)),"",'Analysis backend'!$L$1)</f>
        <v/>
      </c>
      <c r="U2402" t="str">
        <f>IF(T2402='Analysis backend'!$L$1,IF(ISERROR(MATCH('Analysis backend'!$M$1,E2402:I2402,0)),"Dire","Radiant"),"")</f>
        <v/>
      </c>
    </row>
    <row r="2403" spans="20:21" x14ac:dyDescent="0.3">
      <c r="T2403" t="str">
        <f>IF(ISERROR(MATCH('Analysis backend'!$M$1,E2403:N2403,0)),"",'Analysis backend'!$L$1)</f>
        <v/>
      </c>
      <c r="U2403" t="str">
        <f>IF(T2403='Analysis backend'!$L$1,IF(ISERROR(MATCH('Analysis backend'!$M$1,E2403:I2403,0)),"Dire","Radiant"),"")</f>
        <v/>
      </c>
    </row>
    <row r="2404" spans="20:21" x14ac:dyDescent="0.3">
      <c r="T2404" t="str">
        <f>IF(ISERROR(MATCH('Analysis backend'!$M$1,E2404:N2404,0)),"",'Analysis backend'!$L$1)</f>
        <v/>
      </c>
      <c r="U2404" t="str">
        <f>IF(T2404='Analysis backend'!$L$1,IF(ISERROR(MATCH('Analysis backend'!$M$1,E2404:I2404,0)),"Dire","Radiant"),"")</f>
        <v/>
      </c>
    </row>
    <row r="2405" spans="20:21" x14ac:dyDescent="0.3">
      <c r="T2405" t="str">
        <f>IF(ISERROR(MATCH('Analysis backend'!$M$1,E2405:N2405,0)),"",'Analysis backend'!$L$1)</f>
        <v/>
      </c>
      <c r="U2405" t="str">
        <f>IF(T2405='Analysis backend'!$L$1,IF(ISERROR(MATCH('Analysis backend'!$M$1,E2405:I2405,0)),"Dire","Radiant"),"")</f>
        <v/>
      </c>
    </row>
    <row r="2406" spans="20:21" x14ac:dyDescent="0.3">
      <c r="T2406" t="str">
        <f>IF(ISERROR(MATCH('Analysis backend'!$M$1,E2406:N2406,0)),"",'Analysis backend'!$L$1)</f>
        <v/>
      </c>
      <c r="U2406" t="str">
        <f>IF(T2406='Analysis backend'!$L$1,IF(ISERROR(MATCH('Analysis backend'!$M$1,E2406:I2406,0)),"Dire","Radiant"),"")</f>
        <v/>
      </c>
    </row>
    <row r="2407" spans="20:21" x14ac:dyDescent="0.3">
      <c r="T2407" t="str">
        <f>IF(ISERROR(MATCH('Analysis backend'!$M$1,E2407:N2407,0)),"",'Analysis backend'!$L$1)</f>
        <v/>
      </c>
      <c r="U2407" t="str">
        <f>IF(T2407='Analysis backend'!$L$1,IF(ISERROR(MATCH('Analysis backend'!$M$1,E2407:I2407,0)),"Dire","Radiant"),"")</f>
        <v/>
      </c>
    </row>
    <row r="2408" spans="20:21" x14ac:dyDescent="0.3">
      <c r="T2408" t="str">
        <f>IF(ISERROR(MATCH('Analysis backend'!$M$1,E2408:N2408,0)),"",'Analysis backend'!$L$1)</f>
        <v/>
      </c>
      <c r="U2408" t="str">
        <f>IF(T2408='Analysis backend'!$L$1,IF(ISERROR(MATCH('Analysis backend'!$M$1,E2408:I2408,0)),"Dire","Radiant"),"")</f>
        <v/>
      </c>
    </row>
    <row r="2409" spans="20:21" x14ac:dyDescent="0.3">
      <c r="T2409" t="str">
        <f>IF(ISERROR(MATCH('Analysis backend'!$M$1,E2409:N2409,0)),"",'Analysis backend'!$L$1)</f>
        <v/>
      </c>
      <c r="U2409" t="str">
        <f>IF(T2409='Analysis backend'!$L$1,IF(ISERROR(MATCH('Analysis backend'!$M$1,E2409:I2409,0)),"Dire","Radiant"),"")</f>
        <v/>
      </c>
    </row>
    <row r="2410" spans="20:21" x14ac:dyDescent="0.3">
      <c r="T2410" t="str">
        <f>IF(ISERROR(MATCH('Analysis backend'!$M$1,E2410:N2410,0)),"",'Analysis backend'!$L$1)</f>
        <v/>
      </c>
      <c r="U2410" t="str">
        <f>IF(T2410='Analysis backend'!$L$1,IF(ISERROR(MATCH('Analysis backend'!$M$1,E2410:I2410,0)),"Dire","Radiant"),"")</f>
        <v/>
      </c>
    </row>
    <row r="2411" spans="20:21" x14ac:dyDescent="0.3">
      <c r="T2411" t="str">
        <f>IF(ISERROR(MATCH('Analysis backend'!$M$1,E2411:N2411,0)),"",'Analysis backend'!$L$1)</f>
        <v/>
      </c>
      <c r="U2411" t="str">
        <f>IF(T2411='Analysis backend'!$L$1,IF(ISERROR(MATCH('Analysis backend'!$M$1,E2411:I2411,0)),"Dire","Radiant"),"")</f>
        <v/>
      </c>
    </row>
    <row r="2412" spans="20:21" x14ac:dyDescent="0.3">
      <c r="T2412" t="str">
        <f>IF(ISERROR(MATCH('Analysis backend'!$M$1,E2412:N2412,0)),"",'Analysis backend'!$L$1)</f>
        <v/>
      </c>
      <c r="U2412" t="str">
        <f>IF(T2412='Analysis backend'!$L$1,IF(ISERROR(MATCH('Analysis backend'!$M$1,E2412:I2412,0)),"Dire","Radiant"),"")</f>
        <v/>
      </c>
    </row>
    <row r="2413" spans="20:21" x14ac:dyDescent="0.3">
      <c r="T2413" t="str">
        <f>IF(ISERROR(MATCH('Analysis backend'!$M$1,E2413:N2413,0)),"",'Analysis backend'!$L$1)</f>
        <v/>
      </c>
      <c r="U2413" t="str">
        <f>IF(T2413='Analysis backend'!$L$1,IF(ISERROR(MATCH('Analysis backend'!$M$1,E2413:I2413,0)),"Dire","Radiant"),"")</f>
        <v/>
      </c>
    </row>
    <row r="2414" spans="20:21" x14ac:dyDescent="0.3">
      <c r="T2414" t="str">
        <f>IF(ISERROR(MATCH('Analysis backend'!$M$1,E2414:N2414,0)),"",'Analysis backend'!$L$1)</f>
        <v/>
      </c>
      <c r="U2414" t="str">
        <f>IF(T2414='Analysis backend'!$L$1,IF(ISERROR(MATCH('Analysis backend'!$M$1,E2414:I2414,0)),"Dire","Radiant"),"")</f>
        <v/>
      </c>
    </row>
    <row r="2415" spans="20:21" x14ac:dyDescent="0.3">
      <c r="T2415" t="str">
        <f>IF(ISERROR(MATCH('Analysis backend'!$M$1,E2415:N2415,0)),"",'Analysis backend'!$L$1)</f>
        <v/>
      </c>
      <c r="U2415" t="str">
        <f>IF(T2415='Analysis backend'!$L$1,IF(ISERROR(MATCH('Analysis backend'!$M$1,E2415:I2415,0)),"Dire","Radiant"),"")</f>
        <v/>
      </c>
    </row>
    <row r="2416" spans="20:21" x14ac:dyDescent="0.3">
      <c r="T2416" t="str">
        <f>IF(ISERROR(MATCH('Analysis backend'!$M$1,E2416:N2416,0)),"",'Analysis backend'!$L$1)</f>
        <v/>
      </c>
      <c r="U2416" t="str">
        <f>IF(T2416='Analysis backend'!$L$1,IF(ISERROR(MATCH('Analysis backend'!$M$1,E2416:I2416,0)),"Dire","Radiant"),"")</f>
        <v/>
      </c>
    </row>
    <row r="2417" spans="20:21" x14ac:dyDescent="0.3">
      <c r="T2417" t="str">
        <f>IF(ISERROR(MATCH('Analysis backend'!$M$1,E2417:N2417,0)),"",'Analysis backend'!$L$1)</f>
        <v/>
      </c>
      <c r="U2417" t="str">
        <f>IF(T2417='Analysis backend'!$L$1,IF(ISERROR(MATCH('Analysis backend'!$M$1,E2417:I2417,0)),"Dire","Radiant"),"")</f>
        <v/>
      </c>
    </row>
    <row r="2418" spans="20:21" x14ac:dyDescent="0.3">
      <c r="T2418" t="str">
        <f>IF(ISERROR(MATCH('Analysis backend'!$M$1,E2418:N2418,0)),"",'Analysis backend'!$L$1)</f>
        <v/>
      </c>
      <c r="U2418" t="str">
        <f>IF(T2418='Analysis backend'!$L$1,IF(ISERROR(MATCH('Analysis backend'!$M$1,E2418:I2418,0)),"Dire","Radiant"),"")</f>
        <v/>
      </c>
    </row>
    <row r="2419" spans="20:21" x14ac:dyDescent="0.3">
      <c r="T2419" t="str">
        <f>IF(ISERROR(MATCH('Analysis backend'!$M$1,E2419:N2419,0)),"",'Analysis backend'!$L$1)</f>
        <v/>
      </c>
      <c r="U2419" t="str">
        <f>IF(T2419='Analysis backend'!$L$1,IF(ISERROR(MATCH('Analysis backend'!$M$1,E2419:I2419,0)),"Dire","Radiant"),"")</f>
        <v/>
      </c>
    </row>
    <row r="2420" spans="20:21" x14ac:dyDescent="0.3">
      <c r="T2420" t="str">
        <f>IF(ISERROR(MATCH('Analysis backend'!$M$1,E2420:N2420,0)),"",'Analysis backend'!$L$1)</f>
        <v/>
      </c>
      <c r="U2420" t="str">
        <f>IF(T2420='Analysis backend'!$L$1,IF(ISERROR(MATCH('Analysis backend'!$M$1,E2420:I2420,0)),"Dire","Radiant"),"")</f>
        <v/>
      </c>
    </row>
    <row r="2421" spans="20:21" x14ac:dyDescent="0.3">
      <c r="T2421" t="str">
        <f>IF(ISERROR(MATCH('Analysis backend'!$M$1,E2421:N2421,0)),"",'Analysis backend'!$L$1)</f>
        <v/>
      </c>
      <c r="U2421" t="str">
        <f>IF(T2421='Analysis backend'!$L$1,IF(ISERROR(MATCH('Analysis backend'!$M$1,E2421:I2421,0)),"Dire","Radiant"),"")</f>
        <v/>
      </c>
    </row>
    <row r="2422" spans="20:21" x14ac:dyDescent="0.3">
      <c r="T2422" t="str">
        <f>IF(ISERROR(MATCH('Analysis backend'!$M$1,E2422:N2422,0)),"",'Analysis backend'!$L$1)</f>
        <v/>
      </c>
      <c r="U2422" t="str">
        <f>IF(T2422='Analysis backend'!$L$1,IF(ISERROR(MATCH('Analysis backend'!$M$1,E2422:I2422,0)),"Dire","Radiant"),"")</f>
        <v/>
      </c>
    </row>
    <row r="2423" spans="20:21" x14ac:dyDescent="0.3">
      <c r="T2423" t="str">
        <f>IF(ISERROR(MATCH('Analysis backend'!$M$1,E2423:N2423,0)),"",'Analysis backend'!$L$1)</f>
        <v/>
      </c>
      <c r="U2423" t="str">
        <f>IF(T2423='Analysis backend'!$L$1,IF(ISERROR(MATCH('Analysis backend'!$M$1,E2423:I2423,0)),"Dire","Radiant"),"")</f>
        <v/>
      </c>
    </row>
    <row r="2424" spans="20:21" x14ac:dyDescent="0.3">
      <c r="T2424" t="str">
        <f>IF(ISERROR(MATCH('Analysis backend'!$M$1,E2424:N2424,0)),"",'Analysis backend'!$L$1)</f>
        <v/>
      </c>
      <c r="U2424" t="str">
        <f>IF(T2424='Analysis backend'!$L$1,IF(ISERROR(MATCH('Analysis backend'!$M$1,E2424:I2424,0)),"Dire","Radiant"),"")</f>
        <v/>
      </c>
    </row>
    <row r="2425" spans="20:21" x14ac:dyDescent="0.3">
      <c r="T2425" t="str">
        <f>IF(ISERROR(MATCH('Analysis backend'!$M$1,E2425:N2425,0)),"",'Analysis backend'!$L$1)</f>
        <v/>
      </c>
      <c r="U2425" t="str">
        <f>IF(T2425='Analysis backend'!$L$1,IF(ISERROR(MATCH('Analysis backend'!$M$1,E2425:I2425,0)),"Dire","Radiant"),"")</f>
        <v/>
      </c>
    </row>
    <row r="2426" spans="20:21" x14ac:dyDescent="0.3">
      <c r="T2426" t="str">
        <f>IF(ISERROR(MATCH('Analysis backend'!$M$1,E2426:N2426,0)),"",'Analysis backend'!$L$1)</f>
        <v/>
      </c>
      <c r="U2426" t="str">
        <f>IF(T2426='Analysis backend'!$L$1,IF(ISERROR(MATCH('Analysis backend'!$M$1,E2426:I2426,0)),"Dire","Radiant"),"")</f>
        <v/>
      </c>
    </row>
    <row r="2427" spans="20:21" x14ac:dyDescent="0.3">
      <c r="T2427" t="str">
        <f>IF(ISERROR(MATCH('Analysis backend'!$M$1,E2427:N2427,0)),"",'Analysis backend'!$L$1)</f>
        <v/>
      </c>
      <c r="U2427" t="str">
        <f>IF(T2427='Analysis backend'!$L$1,IF(ISERROR(MATCH('Analysis backend'!$M$1,E2427:I2427,0)),"Dire","Radiant"),"")</f>
        <v/>
      </c>
    </row>
    <row r="2428" spans="20:21" x14ac:dyDescent="0.3">
      <c r="T2428" t="str">
        <f>IF(ISERROR(MATCH('Analysis backend'!$M$1,E2428:N2428,0)),"",'Analysis backend'!$L$1)</f>
        <v/>
      </c>
      <c r="U2428" t="str">
        <f>IF(T2428='Analysis backend'!$L$1,IF(ISERROR(MATCH('Analysis backend'!$M$1,E2428:I2428,0)),"Dire","Radiant"),"")</f>
        <v/>
      </c>
    </row>
    <row r="2429" spans="20:21" x14ac:dyDescent="0.3">
      <c r="T2429" t="str">
        <f>IF(ISERROR(MATCH('Analysis backend'!$M$1,E2429:N2429,0)),"",'Analysis backend'!$L$1)</f>
        <v/>
      </c>
      <c r="U2429" t="str">
        <f>IF(T2429='Analysis backend'!$L$1,IF(ISERROR(MATCH('Analysis backend'!$M$1,E2429:I2429,0)),"Dire","Radiant"),"")</f>
        <v/>
      </c>
    </row>
    <row r="2430" spans="20:21" x14ac:dyDescent="0.3">
      <c r="T2430" t="str">
        <f>IF(ISERROR(MATCH('Analysis backend'!$M$1,E2430:N2430,0)),"",'Analysis backend'!$L$1)</f>
        <v/>
      </c>
      <c r="U2430" t="str">
        <f>IF(T2430='Analysis backend'!$L$1,IF(ISERROR(MATCH('Analysis backend'!$M$1,E2430:I2430,0)),"Dire","Radiant"),"")</f>
        <v/>
      </c>
    </row>
    <row r="2431" spans="20:21" x14ac:dyDescent="0.3">
      <c r="T2431" t="str">
        <f>IF(ISERROR(MATCH('Analysis backend'!$M$1,E2431:N2431,0)),"",'Analysis backend'!$L$1)</f>
        <v/>
      </c>
      <c r="U2431" t="str">
        <f>IF(T2431='Analysis backend'!$L$1,IF(ISERROR(MATCH('Analysis backend'!$M$1,E2431:I2431,0)),"Dire","Radiant"),"")</f>
        <v/>
      </c>
    </row>
    <row r="2432" spans="20:21" x14ac:dyDescent="0.3">
      <c r="T2432" t="str">
        <f>IF(ISERROR(MATCH('Analysis backend'!$M$1,E2432:N2432,0)),"",'Analysis backend'!$L$1)</f>
        <v/>
      </c>
      <c r="U2432" t="str">
        <f>IF(T2432='Analysis backend'!$L$1,IF(ISERROR(MATCH('Analysis backend'!$M$1,E2432:I2432,0)),"Dire","Radiant"),"")</f>
        <v/>
      </c>
    </row>
    <row r="2433" spans="20:21" x14ac:dyDescent="0.3">
      <c r="T2433" t="str">
        <f>IF(ISERROR(MATCH('Analysis backend'!$M$1,E2433:N2433,0)),"",'Analysis backend'!$L$1)</f>
        <v/>
      </c>
      <c r="U2433" t="str">
        <f>IF(T2433='Analysis backend'!$L$1,IF(ISERROR(MATCH('Analysis backend'!$M$1,E2433:I2433,0)),"Dire","Radiant"),"")</f>
        <v/>
      </c>
    </row>
    <row r="2434" spans="20:21" x14ac:dyDescent="0.3">
      <c r="T2434" t="str">
        <f>IF(ISERROR(MATCH('Analysis backend'!$M$1,E2434:N2434,0)),"",'Analysis backend'!$L$1)</f>
        <v/>
      </c>
      <c r="U2434" t="str">
        <f>IF(T2434='Analysis backend'!$L$1,IF(ISERROR(MATCH('Analysis backend'!$M$1,E2434:I2434,0)),"Dire","Radiant"),"")</f>
        <v/>
      </c>
    </row>
    <row r="2435" spans="20:21" x14ac:dyDescent="0.3">
      <c r="T2435" t="str">
        <f>IF(ISERROR(MATCH('Analysis backend'!$M$1,E2435:N2435,0)),"",'Analysis backend'!$L$1)</f>
        <v/>
      </c>
      <c r="U2435" t="str">
        <f>IF(T2435='Analysis backend'!$L$1,IF(ISERROR(MATCH('Analysis backend'!$M$1,E2435:I2435,0)),"Dire","Radiant"),"")</f>
        <v/>
      </c>
    </row>
    <row r="2436" spans="20:21" x14ac:dyDescent="0.3">
      <c r="T2436" t="str">
        <f>IF(ISERROR(MATCH('Analysis backend'!$M$1,E2436:N2436,0)),"",'Analysis backend'!$L$1)</f>
        <v/>
      </c>
      <c r="U2436" t="str">
        <f>IF(T2436='Analysis backend'!$L$1,IF(ISERROR(MATCH('Analysis backend'!$M$1,E2436:I2436,0)),"Dire","Radiant"),"")</f>
        <v/>
      </c>
    </row>
    <row r="2437" spans="20:21" x14ac:dyDescent="0.3">
      <c r="T2437" t="str">
        <f>IF(ISERROR(MATCH('Analysis backend'!$M$1,E2437:N2437,0)),"",'Analysis backend'!$L$1)</f>
        <v/>
      </c>
      <c r="U2437" t="str">
        <f>IF(T2437='Analysis backend'!$L$1,IF(ISERROR(MATCH('Analysis backend'!$M$1,E2437:I2437,0)),"Dire","Radiant"),"")</f>
        <v/>
      </c>
    </row>
    <row r="2438" spans="20:21" x14ac:dyDescent="0.3">
      <c r="T2438" t="str">
        <f>IF(ISERROR(MATCH('Analysis backend'!$M$1,E2438:N2438,0)),"",'Analysis backend'!$L$1)</f>
        <v/>
      </c>
      <c r="U2438" t="str">
        <f>IF(T2438='Analysis backend'!$L$1,IF(ISERROR(MATCH('Analysis backend'!$M$1,E2438:I2438,0)),"Dire","Radiant"),"")</f>
        <v/>
      </c>
    </row>
    <row r="2439" spans="20:21" x14ac:dyDescent="0.3">
      <c r="T2439" t="str">
        <f>IF(ISERROR(MATCH('Analysis backend'!$M$1,E2439:N2439,0)),"",'Analysis backend'!$L$1)</f>
        <v/>
      </c>
      <c r="U2439" t="str">
        <f>IF(T2439='Analysis backend'!$L$1,IF(ISERROR(MATCH('Analysis backend'!$M$1,E2439:I2439,0)),"Dire","Radiant"),"")</f>
        <v/>
      </c>
    </row>
    <row r="2440" spans="20:21" x14ac:dyDescent="0.3">
      <c r="T2440" t="str">
        <f>IF(ISERROR(MATCH('Analysis backend'!$M$1,E2440:N2440,0)),"",'Analysis backend'!$L$1)</f>
        <v/>
      </c>
      <c r="U2440" t="str">
        <f>IF(T2440='Analysis backend'!$L$1,IF(ISERROR(MATCH('Analysis backend'!$M$1,E2440:I2440,0)),"Dire","Radiant"),"")</f>
        <v/>
      </c>
    </row>
    <row r="2441" spans="20:21" x14ac:dyDescent="0.3">
      <c r="T2441" t="str">
        <f>IF(ISERROR(MATCH('Analysis backend'!$M$1,E2441:N2441,0)),"",'Analysis backend'!$L$1)</f>
        <v/>
      </c>
      <c r="U2441" t="str">
        <f>IF(T2441='Analysis backend'!$L$1,IF(ISERROR(MATCH('Analysis backend'!$M$1,E2441:I2441,0)),"Dire","Radiant"),"")</f>
        <v/>
      </c>
    </row>
    <row r="2442" spans="20:21" x14ac:dyDescent="0.3">
      <c r="T2442" t="str">
        <f>IF(ISERROR(MATCH('Analysis backend'!$M$1,E2442:N2442,0)),"",'Analysis backend'!$L$1)</f>
        <v/>
      </c>
      <c r="U2442" t="str">
        <f>IF(T2442='Analysis backend'!$L$1,IF(ISERROR(MATCH('Analysis backend'!$M$1,E2442:I2442,0)),"Dire","Radiant"),"")</f>
        <v/>
      </c>
    </row>
    <row r="2443" spans="20:21" x14ac:dyDescent="0.3">
      <c r="T2443" t="str">
        <f>IF(ISERROR(MATCH('Analysis backend'!$M$1,E2443:N2443,0)),"",'Analysis backend'!$L$1)</f>
        <v/>
      </c>
      <c r="U2443" t="str">
        <f>IF(T2443='Analysis backend'!$L$1,IF(ISERROR(MATCH('Analysis backend'!$M$1,E2443:I2443,0)),"Dire","Radiant"),"")</f>
        <v/>
      </c>
    </row>
    <row r="2444" spans="20:21" x14ac:dyDescent="0.3">
      <c r="T2444" t="str">
        <f>IF(ISERROR(MATCH('Analysis backend'!$M$1,E2444:N2444,0)),"",'Analysis backend'!$L$1)</f>
        <v/>
      </c>
      <c r="U2444" t="str">
        <f>IF(T2444='Analysis backend'!$L$1,IF(ISERROR(MATCH('Analysis backend'!$M$1,E2444:I2444,0)),"Dire","Radiant"),"")</f>
        <v/>
      </c>
    </row>
    <row r="2445" spans="20:21" x14ac:dyDescent="0.3">
      <c r="T2445" t="str">
        <f>IF(ISERROR(MATCH('Analysis backend'!$M$1,E2445:N2445,0)),"",'Analysis backend'!$L$1)</f>
        <v/>
      </c>
      <c r="U2445" t="str">
        <f>IF(T2445='Analysis backend'!$L$1,IF(ISERROR(MATCH('Analysis backend'!$M$1,E2445:I2445,0)),"Dire","Radiant"),"")</f>
        <v/>
      </c>
    </row>
    <row r="2446" spans="20:21" x14ac:dyDescent="0.3">
      <c r="T2446" t="str">
        <f>IF(ISERROR(MATCH('Analysis backend'!$M$1,E2446:N2446,0)),"",'Analysis backend'!$L$1)</f>
        <v/>
      </c>
      <c r="U2446" t="str">
        <f>IF(T2446='Analysis backend'!$L$1,IF(ISERROR(MATCH('Analysis backend'!$M$1,E2446:I2446,0)),"Dire","Radiant"),"")</f>
        <v/>
      </c>
    </row>
    <row r="2447" spans="20:21" x14ac:dyDescent="0.3">
      <c r="T2447" t="str">
        <f>IF(ISERROR(MATCH('Analysis backend'!$M$1,E2447:N2447,0)),"",'Analysis backend'!$L$1)</f>
        <v/>
      </c>
      <c r="U2447" t="str">
        <f>IF(T2447='Analysis backend'!$L$1,IF(ISERROR(MATCH('Analysis backend'!$M$1,E2447:I2447,0)),"Dire","Radiant"),"")</f>
        <v/>
      </c>
    </row>
    <row r="2448" spans="20:21" x14ac:dyDescent="0.3">
      <c r="T2448" t="str">
        <f>IF(ISERROR(MATCH('Analysis backend'!$M$1,E2448:N2448,0)),"",'Analysis backend'!$L$1)</f>
        <v/>
      </c>
      <c r="U2448" t="str">
        <f>IF(T2448='Analysis backend'!$L$1,IF(ISERROR(MATCH('Analysis backend'!$M$1,E2448:I2448,0)),"Dire","Radiant"),"")</f>
        <v/>
      </c>
    </row>
    <row r="2449" spans="20:21" x14ac:dyDescent="0.3">
      <c r="T2449" t="str">
        <f>IF(ISERROR(MATCH('Analysis backend'!$M$1,E2449:N2449,0)),"",'Analysis backend'!$L$1)</f>
        <v/>
      </c>
      <c r="U2449" t="str">
        <f>IF(T2449='Analysis backend'!$L$1,IF(ISERROR(MATCH('Analysis backend'!$M$1,E2449:I2449,0)),"Dire","Radiant"),"")</f>
        <v/>
      </c>
    </row>
    <row r="2450" spans="20:21" x14ac:dyDescent="0.3">
      <c r="T2450" t="str">
        <f>IF(ISERROR(MATCH('Analysis backend'!$M$1,E2450:N2450,0)),"",'Analysis backend'!$L$1)</f>
        <v/>
      </c>
      <c r="U2450" t="str">
        <f>IF(T2450='Analysis backend'!$L$1,IF(ISERROR(MATCH('Analysis backend'!$M$1,E2450:I2450,0)),"Dire","Radiant"),"")</f>
        <v/>
      </c>
    </row>
    <row r="2451" spans="20:21" x14ac:dyDescent="0.3">
      <c r="T2451" t="str">
        <f>IF(ISERROR(MATCH('Analysis backend'!$M$1,E2451:N2451,0)),"",'Analysis backend'!$L$1)</f>
        <v/>
      </c>
      <c r="U2451" t="str">
        <f>IF(T2451='Analysis backend'!$L$1,IF(ISERROR(MATCH('Analysis backend'!$M$1,E2451:I2451,0)),"Dire","Radiant"),"")</f>
        <v/>
      </c>
    </row>
    <row r="2452" spans="20:21" x14ac:dyDescent="0.3">
      <c r="T2452" t="str">
        <f>IF(ISERROR(MATCH('Analysis backend'!$M$1,E2452:N2452,0)),"",'Analysis backend'!$L$1)</f>
        <v/>
      </c>
      <c r="U2452" t="str">
        <f>IF(T2452='Analysis backend'!$L$1,IF(ISERROR(MATCH('Analysis backend'!$M$1,E2452:I2452,0)),"Dire","Radiant"),"")</f>
        <v/>
      </c>
    </row>
    <row r="2453" spans="20:21" x14ac:dyDescent="0.3">
      <c r="T2453" t="str">
        <f>IF(ISERROR(MATCH('Analysis backend'!$M$1,E2453:N2453,0)),"",'Analysis backend'!$L$1)</f>
        <v/>
      </c>
      <c r="U2453" t="str">
        <f>IF(T2453='Analysis backend'!$L$1,IF(ISERROR(MATCH('Analysis backend'!$M$1,E2453:I2453,0)),"Dire","Radiant"),"")</f>
        <v/>
      </c>
    </row>
    <row r="2454" spans="20:21" x14ac:dyDescent="0.3">
      <c r="T2454" t="str">
        <f>IF(ISERROR(MATCH('Analysis backend'!$M$1,E2454:N2454,0)),"",'Analysis backend'!$L$1)</f>
        <v/>
      </c>
      <c r="U2454" t="str">
        <f>IF(T2454='Analysis backend'!$L$1,IF(ISERROR(MATCH('Analysis backend'!$M$1,E2454:I2454,0)),"Dire","Radiant"),"")</f>
        <v/>
      </c>
    </row>
    <row r="2455" spans="20:21" x14ac:dyDescent="0.3">
      <c r="T2455" t="str">
        <f>IF(ISERROR(MATCH('Analysis backend'!$M$1,E2455:N2455,0)),"",'Analysis backend'!$L$1)</f>
        <v/>
      </c>
      <c r="U2455" t="str">
        <f>IF(T2455='Analysis backend'!$L$1,IF(ISERROR(MATCH('Analysis backend'!$M$1,E2455:I2455,0)),"Dire","Radiant"),"")</f>
        <v/>
      </c>
    </row>
    <row r="2456" spans="20:21" x14ac:dyDescent="0.3">
      <c r="T2456" t="str">
        <f>IF(ISERROR(MATCH('Analysis backend'!$M$1,E2456:N2456,0)),"",'Analysis backend'!$L$1)</f>
        <v/>
      </c>
      <c r="U2456" t="str">
        <f>IF(T2456='Analysis backend'!$L$1,IF(ISERROR(MATCH('Analysis backend'!$M$1,E2456:I2456,0)),"Dire","Radiant"),"")</f>
        <v/>
      </c>
    </row>
    <row r="2457" spans="20:21" x14ac:dyDescent="0.3">
      <c r="T2457" t="str">
        <f>IF(ISERROR(MATCH('Analysis backend'!$M$1,E2457:N2457,0)),"",'Analysis backend'!$L$1)</f>
        <v/>
      </c>
      <c r="U2457" t="str">
        <f>IF(T2457='Analysis backend'!$L$1,IF(ISERROR(MATCH('Analysis backend'!$M$1,E2457:I2457,0)),"Dire","Radiant"),"")</f>
        <v/>
      </c>
    </row>
    <row r="2458" spans="20:21" x14ac:dyDescent="0.3">
      <c r="T2458" t="str">
        <f>IF(ISERROR(MATCH('Analysis backend'!$M$1,E2458:N2458,0)),"",'Analysis backend'!$L$1)</f>
        <v/>
      </c>
      <c r="U2458" t="str">
        <f>IF(T2458='Analysis backend'!$L$1,IF(ISERROR(MATCH('Analysis backend'!$M$1,E2458:I2458,0)),"Dire","Radiant"),"")</f>
        <v/>
      </c>
    </row>
    <row r="2459" spans="20:21" x14ac:dyDescent="0.3">
      <c r="T2459" t="str">
        <f>IF(ISERROR(MATCH('Analysis backend'!$M$1,E2459:N2459,0)),"",'Analysis backend'!$L$1)</f>
        <v/>
      </c>
      <c r="U2459" t="str">
        <f>IF(T2459='Analysis backend'!$L$1,IF(ISERROR(MATCH('Analysis backend'!$M$1,E2459:I2459,0)),"Dire","Radiant"),"")</f>
        <v/>
      </c>
    </row>
    <row r="2460" spans="20:21" x14ac:dyDescent="0.3">
      <c r="T2460" t="str">
        <f>IF(ISERROR(MATCH('Analysis backend'!$M$1,E2460:N2460,0)),"",'Analysis backend'!$L$1)</f>
        <v/>
      </c>
      <c r="U2460" t="str">
        <f>IF(T2460='Analysis backend'!$L$1,IF(ISERROR(MATCH('Analysis backend'!$M$1,E2460:I2460,0)),"Dire","Radiant"),"")</f>
        <v/>
      </c>
    </row>
    <row r="2461" spans="20:21" x14ac:dyDescent="0.3">
      <c r="T2461" t="str">
        <f>IF(ISERROR(MATCH('Analysis backend'!$M$1,E2461:N2461,0)),"",'Analysis backend'!$L$1)</f>
        <v/>
      </c>
      <c r="U2461" t="str">
        <f>IF(T2461='Analysis backend'!$L$1,IF(ISERROR(MATCH('Analysis backend'!$M$1,E2461:I2461,0)),"Dire","Radiant"),"")</f>
        <v/>
      </c>
    </row>
    <row r="2462" spans="20:21" x14ac:dyDescent="0.3">
      <c r="T2462" t="str">
        <f>IF(ISERROR(MATCH('Analysis backend'!$M$1,E2462:N2462,0)),"",'Analysis backend'!$L$1)</f>
        <v/>
      </c>
      <c r="U2462" t="str">
        <f>IF(T2462='Analysis backend'!$L$1,IF(ISERROR(MATCH('Analysis backend'!$M$1,E2462:I2462,0)),"Dire","Radiant"),"")</f>
        <v/>
      </c>
    </row>
    <row r="2463" spans="20:21" x14ac:dyDescent="0.3">
      <c r="T2463" t="str">
        <f>IF(ISERROR(MATCH('Analysis backend'!$M$1,E2463:N2463,0)),"",'Analysis backend'!$L$1)</f>
        <v/>
      </c>
      <c r="U2463" t="str">
        <f>IF(T2463='Analysis backend'!$L$1,IF(ISERROR(MATCH('Analysis backend'!$M$1,E2463:I2463,0)),"Dire","Radiant"),"")</f>
        <v/>
      </c>
    </row>
    <row r="2464" spans="20:21" x14ac:dyDescent="0.3">
      <c r="T2464" t="str">
        <f>IF(ISERROR(MATCH('Analysis backend'!$M$1,E2464:N2464,0)),"",'Analysis backend'!$L$1)</f>
        <v/>
      </c>
      <c r="U2464" t="str">
        <f>IF(T2464='Analysis backend'!$L$1,IF(ISERROR(MATCH('Analysis backend'!$M$1,E2464:I2464,0)),"Dire","Radiant"),"")</f>
        <v/>
      </c>
    </row>
    <row r="2465" spans="20:21" x14ac:dyDescent="0.3">
      <c r="T2465" t="str">
        <f>IF(ISERROR(MATCH('Analysis backend'!$M$1,E2465:N2465,0)),"",'Analysis backend'!$L$1)</f>
        <v/>
      </c>
      <c r="U2465" t="str">
        <f>IF(T2465='Analysis backend'!$L$1,IF(ISERROR(MATCH('Analysis backend'!$M$1,E2465:I2465,0)),"Dire","Radiant"),"")</f>
        <v/>
      </c>
    </row>
    <row r="2466" spans="20:21" x14ac:dyDescent="0.3">
      <c r="T2466" t="str">
        <f>IF(ISERROR(MATCH('Analysis backend'!$M$1,E2466:N2466,0)),"",'Analysis backend'!$L$1)</f>
        <v/>
      </c>
      <c r="U2466" t="str">
        <f>IF(T2466='Analysis backend'!$L$1,IF(ISERROR(MATCH('Analysis backend'!$M$1,E2466:I2466,0)),"Dire","Radiant"),"")</f>
        <v/>
      </c>
    </row>
    <row r="2467" spans="20:21" x14ac:dyDescent="0.3">
      <c r="T2467" t="str">
        <f>IF(ISERROR(MATCH('Analysis backend'!$M$1,E2467:N2467,0)),"",'Analysis backend'!$L$1)</f>
        <v/>
      </c>
      <c r="U2467" t="str">
        <f>IF(T2467='Analysis backend'!$L$1,IF(ISERROR(MATCH('Analysis backend'!$M$1,E2467:I2467,0)),"Dire","Radiant"),"")</f>
        <v/>
      </c>
    </row>
    <row r="2468" spans="20:21" x14ac:dyDescent="0.3">
      <c r="T2468" t="str">
        <f>IF(ISERROR(MATCH('Analysis backend'!$M$1,E2468:N2468,0)),"",'Analysis backend'!$L$1)</f>
        <v/>
      </c>
      <c r="U2468" t="str">
        <f>IF(T2468='Analysis backend'!$L$1,IF(ISERROR(MATCH('Analysis backend'!$M$1,E2468:I2468,0)),"Dire","Radiant"),"")</f>
        <v/>
      </c>
    </row>
    <row r="2469" spans="20:21" x14ac:dyDescent="0.3">
      <c r="T2469" t="str">
        <f>IF(ISERROR(MATCH('Analysis backend'!$M$1,E2469:N2469,0)),"",'Analysis backend'!$L$1)</f>
        <v/>
      </c>
      <c r="U2469" t="str">
        <f>IF(T2469='Analysis backend'!$L$1,IF(ISERROR(MATCH('Analysis backend'!$M$1,E2469:I2469,0)),"Dire","Radiant"),"")</f>
        <v/>
      </c>
    </row>
    <row r="2470" spans="20:21" x14ac:dyDescent="0.3">
      <c r="T2470" t="str">
        <f>IF(ISERROR(MATCH('Analysis backend'!$M$1,E2470:N2470,0)),"",'Analysis backend'!$L$1)</f>
        <v/>
      </c>
      <c r="U2470" t="str">
        <f>IF(T2470='Analysis backend'!$L$1,IF(ISERROR(MATCH('Analysis backend'!$M$1,E2470:I2470,0)),"Dire","Radiant"),"")</f>
        <v/>
      </c>
    </row>
    <row r="2471" spans="20:21" x14ac:dyDescent="0.3">
      <c r="T2471" t="str">
        <f>IF(ISERROR(MATCH('Analysis backend'!$M$1,E2471:N2471,0)),"",'Analysis backend'!$L$1)</f>
        <v/>
      </c>
      <c r="U2471" t="str">
        <f>IF(T2471='Analysis backend'!$L$1,IF(ISERROR(MATCH('Analysis backend'!$M$1,E2471:I2471,0)),"Dire","Radiant"),"")</f>
        <v/>
      </c>
    </row>
    <row r="2472" spans="20:21" x14ac:dyDescent="0.3">
      <c r="T2472" t="str">
        <f>IF(ISERROR(MATCH('Analysis backend'!$M$1,E2472:N2472,0)),"",'Analysis backend'!$L$1)</f>
        <v/>
      </c>
      <c r="U2472" t="str">
        <f>IF(T2472='Analysis backend'!$L$1,IF(ISERROR(MATCH('Analysis backend'!$M$1,E2472:I2472,0)),"Dire","Radiant"),"")</f>
        <v/>
      </c>
    </row>
    <row r="2473" spans="20:21" x14ac:dyDescent="0.3">
      <c r="T2473" t="str">
        <f>IF(ISERROR(MATCH('Analysis backend'!$M$1,E2473:N2473,0)),"",'Analysis backend'!$L$1)</f>
        <v/>
      </c>
      <c r="U2473" t="str">
        <f>IF(T2473='Analysis backend'!$L$1,IF(ISERROR(MATCH('Analysis backend'!$M$1,E2473:I2473,0)),"Dire","Radiant"),"")</f>
        <v/>
      </c>
    </row>
    <row r="2474" spans="20:21" x14ac:dyDescent="0.3">
      <c r="T2474" t="str">
        <f>IF(ISERROR(MATCH('Analysis backend'!$M$1,E2474:N2474,0)),"",'Analysis backend'!$L$1)</f>
        <v/>
      </c>
      <c r="U2474" t="str">
        <f>IF(T2474='Analysis backend'!$L$1,IF(ISERROR(MATCH('Analysis backend'!$M$1,E2474:I2474,0)),"Dire","Radiant"),"")</f>
        <v/>
      </c>
    </row>
    <row r="2475" spans="20:21" x14ac:dyDescent="0.3">
      <c r="T2475" t="str">
        <f>IF(ISERROR(MATCH('Analysis backend'!$M$1,E2475:N2475,0)),"",'Analysis backend'!$L$1)</f>
        <v/>
      </c>
      <c r="U2475" t="str">
        <f>IF(T2475='Analysis backend'!$L$1,IF(ISERROR(MATCH('Analysis backend'!$M$1,E2475:I2475,0)),"Dire","Radiant"),"")</f>
        <v/>
      </c>
    </row>
    <row r="2476" spans="20:21" x14ac:dyDescent="0.3">
      <c r="T2476" t="str">
        <f>IF(ISERROR(MATCH('Analysis backend'!$M$1,E2476:N2476,0)),"",'Analysis backend'!$L$1)</f>
        <v/>
      </c>
      <c r="U2476" t="str">
        <f>IF(T2476='Analysis backend'!$L$1,IF(ISERROR(MATCH('Analysis backend'!$M$1,E2476:I2476,0)),"Dire","Radiant"),"")</f>
        <v/>
      </c>
    </row>
    <row r="2477" spans="20:21" x14ac:dyDescent="0.3">
      <c r="T2477" t="str">
        <f>IF(ISERROR(MATCH('Analysis backend'!$M$1,E2477:N2477,0)),"",'Analysis backend'!$L$1)</f>
        <v/>
      </c>
      <c r="U2477" t="str">
        <f>IF(T2477='Analysis backend'!$L$1,IF(ISERROR(MATCH('Analysis backend'!$M$1,E2477:I2477,0)),"Dire","Radiant"),"")</f>
        <v/>
      </c>
    </row>
    <row r="2478" spans="20:21" x14ac:dyDescent="0.3">
      <c r="T2478" t="str">
        <f>IF(ISERROR(MATCH('Analysis backend'!$M$1,E2478:N2478,0)),"",'Analysis backend'!$L$1)</f>
        <v/>
      </c>
      <c r="U2478" t="str">
        <f>IF(T2478='Analysis backend'!$L$1,IF(ISERROR(MATCH('Analysis backend'!$M$1,E2478:I2478,0)),"Dire","Radiant"),"")</f>
        <v/>
      </c>
    </row>
    <row r="2479" spans="20:21" x14ac:dyDescent="0.3">
      <c r="T2479" t="str">
        <f>IF(ISERROR(MATCH('Analysis backend'!$M$1,E2479:N2479,0)),"",'Analysis backend'!$L$1)</f>
        <v/>
      </c>
      <c r="U2479" t="str">
        <f>IF(T2479='Analysis backend'!$L$1,IF(ISERROR(MATCH('Analysis backend'!$M$1,E2479:I2479,0)),"Dire","Radiant"),"")</f>
        <v/>
      </c>
    </row>
    <row r="2480" spans="20:21" x14ac:dyDescent="0.3">
      <c r="T2480" t="str">
        <f>IF(ISERROR(MATCH('Analysis backend'!$M$1,E2480:N2480,0)),"",'Analysis backend'!$L$1)</f>
        <v/>
      </c>
      <c r="U2480" t="str">
        <f>IF(T2480='Analysis backend'!$L$1,IF(ISERROR(MATCH('Analysis backend'!$M$1,E2480:I2480,0)),"Dire","Radiant"),"")</f>
        <v/>
      </c>
    </row>
    <row r="2481" spans="20:21" x14ac:dyDescent="0.3">
      <c r="T2481" t="str">
        <f>IF(ISERROR(MATCH('Analysis backend'!$M$1,E2481:N2481,0)),"",'Analysis backend'!$L$1)</f>
        <v/>
      </c>
      <c r="U2481" t="str">
        <f>IF(T2481='Analysis backend'!$L$1,IF(ISERROR(MATCH('Analysis backend'!$M$1,E2481:I2481,0)),"Dire","Radiant"),"")</f>
        <v/>
      </c>
    </row>
    <row r="2482" spans="20:21" x14ac:dyDescent="0.3">
      <c r="T2482" t="str">
        <f>IF(ISERROR(MATCH('Analysis backend'!$M$1,E2482:N2482,0)),"",'Analysis backend'!$L$1)</f>
        <v/>
      </c>
      <c r="U2482" t="str">
        <f>IF(T2482='Analysis backend'!$L$1,IF(ISERROR(MATCH('Analysis backend'!$M$1,E2482:I2482,0)),"Dire","Radiant"),"")</f>
        <v/>
      </c>
    </row>
    <row r="2483" spans="20:21" x14ac:dyDescent="0.3">
      <c r="T2483" t="str">
        <f>IF(ISERROR(MATCH('Analysis backend'!$M$1,E2483:N2483,0)),"",'Analysis backend'!$L$1)</f>
        <v/>
      </c>
      <c r="U2483" t="str">
        <f>IF(T2483='Analysis backend'!$L$1,IF(ISERROR(MATCH('Analysis backend'!$M$1,E2483:I2483,0)),"Dire","Radiant"),"")</f>
        <v/>
      </c>
    </row>
    <row r="2484" spans="20:21" x14ac:dyDescent="0.3">
      <c r="T2484" t="str">
        <f>IF(ISERROR(MATCH('Analysis backend'!$M$1,E2484:N2484,0)),"",'Analysis backend'!$L$1)</f>
        <v/>
      </c>
      <c r="U2484" t="str">
        <f>IF(T2484='Analysis backend'!$L$1,IF(ISERROR(MATCH('Analysis backend'!$M$1,E2484:I2484,0)),"Dire","Radiant"),"")</f>
        <v/>
      </c>
    </row>
    <row r="2485" spans="20:21" x14ac:dyDescent="0.3">
      <c r="T2485" t="str">
        <f>IF(ISERROR(MATCH('Analysis backend'!$M$1,E2485:N2485,0)),"",'Analysis backend'!$L$1)</f>
        <v/>
      </c>
      <c r="U2485" t="str">
        <f>IF(T2485='Analysis backend'!$L$1,IF(ISERROR(MATCH('Analysis backend'!$M$1,E2485:I2485,0)),"Dire","Radiant"),"")</f>
        <v/>
      </c>
    </row>
    <row r="2486" spans="20:21" x14ac:dyDescent="0.3">
      <c r="T2486" t="str">
        <f>IF(ISERROR(MATCH('Analysis backend'!$M$1,E2486:N2486,0)),"",'Analysis backend'!$L$1)</f>
        <v/>
      </c>
      <c r="U2486" t="str">
        <f>IF(T2486='Analysis backend'!$L$1,IF(ISERROR(MATCH('Analysis backend'!$M$1,E2486:I2486,0)),"Dire","Radiant"),"")</f>
        <v/>
      </c>
    </row>
    <row r="2487" spans="20:21" x14ac:dyDescent="0.3">
      <c r="T2487" t="str">
        <f>IF(ISERROR(MATCH('Analysis backend'!$M$1,E2487:N2487,0)),"",'Analysis backend'!$L$1)</f>
        <v/>
      </c>
      <c r="U2487" t="str">
        <f>IF(T2487='Analysis backend'!$L$1,IF(ISERROR(MATCH('Analysis backend'!$M$1,E2487:I2487,0)),"Dire","Radiant"),"")</f>
        <v/>
      </c>
    </row>
    <row r="2488" spans="20:21" x14ac:dyDescent="0.3">
      <c r="T2488" t="str">
        <f>IF(ISERROR(MATCH('Analysis backend'!$M$1,E2488:N2488,0)),"",'Analysis backend'!$L$1)</f>
        <v/>
      </c>
      <c r="U2488" t="str">
        <f>IF(T2488='Analysis backend'!$L$1,IF(ISERROR(MATCH('Analysis backend'!$M$1,E2488:I2488,0)),"Dire","Radiant"),"")</f>
        <v/>
      </c>
    </row>
    <row r="2489" spans="20:21" x14ac:dyDescent="0.3">
      <c r="T2489" t="str">
        <f>IF(ISERROR(MATCH('Analysis backend'!$M$1,E2489:N2489,0)),"",'Analysis backend'!$L$1)</f>
        <v/>
      </c>
      <c r="U2489" t="str">
        <f>IF(T2489='Analysis backend'!$L$1,IF(ISERROR(MATCH('Analysis backend'!$M$1,E2489:I2489,0)),"Dire","Radiant"),"")</f>
        <v/>
      </c>
    </row>
    <row r="2490" spans="20:21" x14ac:dyDescent="0.3">
      <c r="T2490" t="str">
        <f>IF(ISERROR(MATCH('Analysis backend'!$M$1,E2490:N2490,0)),"",'Analysis backend'!$L$1)</f>
        <v/>
      </c>
      <c r="U2490" t="str">
        <f>IF(T2490='Analysis backend'!$L$1,IF(ISERROR(MATCH('Analysis backend'!$M$1,E2490:I2490,0)),"Dire","Radiant"),"")</f>
        <v/>
      </c>
    </row>
    <row r="2491" spans="20:21" x14ac:dyDescent="0.3">
      <c r="T2491" t="str">
        <f>IF(ISERROR(MATCH('Analysis backend'!$M$1,E2491:N2491,0)),"",'Analysis backend'!$L$1)</f>
        <v/>
      </c>
      <c r="U2491" t="str">
        <f>IF(T2491='Analysis backend'!$L$1,IF(ISERROR(MATCH('Analysis backend'!$M$1,E2491:I2491,0)),"Dire","Radiant"),"")</f>
        <v/>
      </c>
    </row>
    <row r="2492" spans="20:21" x14ac:dyDescent="0.3">
      <c r="T2492" t="str">
        <f>IF(ISERROR(MATCH('Analysis backend'!$M$1,E2492:N2492,0)),"",'Analysis backend'!$L$1)</f>
        <v/>
      </c>
      <c r="U2492" t="str">
        <f>IF(T2492='Analysis backend'!$L$1,IF(ISERROR(MATCH('Analysis backend'!$M$1,E2492:I2492,0)),"Dire","Radiant"),"")</f>
        <v/>
      </c>
    </row>
    <row r="2493" spans="20:21" x14ac:dyDescent="0.3">
      <c r="T2493" t="str">
        <f>IF(ISERROR(MATCH('Analysis backend'!$M$1,E2493:N2493,0)),"",'Analysis backend'!$L$1)</f>
        <v/>
      </c>
      <c r="U2493" t="str">
        <f>IF(T2493='Analysis backend'!$L$1,IF(ISERROR(MATCH('Analysis backend'!$M$1,E2493:I2493,0)),"Dire","Radiant"),"")</f>
        <v/>
      </c>
    </row>
    <row r="2494" spans="20:21" x14ac:dyDescent="0.3">
      <c r="T2494" t="str">
        <f>IF(ISERROR(MATCH('Analysis backend'!$M$1,E2494:N2494,0)),"",'Analysis backend'!$L$1)</f>
        <v/>
      </c>
      <c r="U2494" t="str">
        <f>IF(T2494='Analysis backend'!$L$1,IF(ISERROR(MATCH('Analysis backend'!$M$1,E2494:I2494,0)),"Dire","Radiant"),"")</f>
        <v/>
      </c>
    </row>
    <row r="2495" spans="20:21" x14ac:dyDescent="0.3">
      <c r="T2495" t="str">
        <f>IF(ISERROR(MATCH('Analysis backend'!$M$1,E2495:N2495,0)),"",'Analysis backend'!$L$1)</f>
        <v/>
      </c>
      <c r="U2495" t="str">
        <f>IF(T2495='Analysis backend'!$L$1,IF(ISERROR(MATCH('Analysis backend'!$M$1,E2495:I2495,0)),"Dire","Radiant"),"")</f>
        <v/>
      </c>
    </row>
    <row r="2496" spans="20:21" x14ac:dyDescent="0.3">
      <c r="T2496" t="str">
        <f>IF(ISERROR(MATCH('Analysis backend'!$M$1,E2496:N2496,0)),"",'Analysis backend'!$L$1)</f>
        <v/>
      </c>
      <c r="U2496" t="str">
        <f>IF(T2496='Analysis backend'!$L$1,IF(ISERROR(MATCH('Analysis backend'!$M$1,E2496:I2496,0)),"Dire","Radiant"),"")</f>
        <v/>
      </c>
    </row>
    <row r="2497" spans="20:21" x14ac:dyDescent="0.3">
      <c r="T2497" t="str">
        <f>IF(ISERROR(MATCH('Analysis backend'!$M$1,E2497:N2497,0)),"",'Analysis backend'!$L$1)</f>
        <v/>
      </c>
      <c r="U2497" t="str">
        <f>IF(T2497='Analysis backend'!$L$1,IF(ISERROR(MATCH('Analysis backend'!$M$1,E2497:I2497,0)),"Dire","Radiant"),"")</f>
        <v/>
      </c>
    </row>
    <row r="2498" spans="20:21" x14ac:dyDescent="0.3">
      <c r="T2498" t="str">
        <f>IF(ISERROR(MATCH('Analysis backend'!$M$1,E2498:N2498,0)),"",'Analysis backend'!$L$1)</f>
        <v/>
      </c>
      <c r="U2498" t="str">
        <f>IF(T2498='Analysis backend'!$L$1,IF(ISERROR(MATCH('Analysis backend'!$M$1,E2498:I2498,0)),"Dire","Radiant"),"")</f>
        <v/>
      </c>
    </row>
    <row r="2499" spans="20:21" x14ac:dyDescent="0.3">
      <c r="T2499" t="str">
        <f>IF(ISERROR(MATCH('Analysis backend'!$M$1,E2499:N2499,0)),"",'Analysis backend'!$L$1)</f>
        <v/>
      </c>
      <c r="U2499" t="str">
        <f>IF(T2499='Analysis backend'!$L$1,IF(ISERROR(MATCH('Analysis backend'!$M$1,E2499:I2499,0)),"Dire","Radiant"),"")</f>
        <v/>
      </c>
    </row>
    <row r="2500" spans="20:21" x14ac:dyDescent="0.3">
      <c r="T2500" t="str">
        <f>IF(ISERROR(MATCH('Analysis backend'!$M$1,E2500:N2500,0)),"",'Analysis backend'!$L$1)</f>
        <v/>
      </c>
      <c r="U2500" t="str">
        <f>IF(T2500='Analysis backend'!$L$1,IF(ISERROR(MATCH('Analysis backend'!$M$1,E2500:I2500,0)),"Dire","Radiant"),"")</f>
        <v/>
      </c>
    </row>
    <row r="2501" spans="20:21" x14ac:dyDescent="0.3">
      <c r="T2501" t="str">
        <f>IF(ISERROR(MATCH('Analysis backend'!$M$1,E2501:N2501,0)),"",'Analysis backend'!$L$1)</f>
        <v/>
      </c>
      <c r="U2501" t="str">
        <f>IF(T2501='Analysis backend'!$L$1,IF(ISERROR(MATCH('Analysis backend'!$M$1,E2501:I2501,0)),"Dire","Radiant"),"")</f>
        <v/>
      </c>
    </row>
    <row r="2502" spans="20:21" x14ac:dyDescent="0.3">
      <c r="T2502" t="str">
        <f>IF(ISERROR(MATCH('Analysis backend'!$M$1,E2502:N2502,0)),"",'Analysis backend'!$L$1)</f>
        <v/>
      </c>
      <c r="U2502" t="str">
        <f>IF(T2502='Analysis backend'!$L$1,IF(ISERROR(MATCH('Analysis backend'!$M$1,E2502:I2502,0)),"Dire","Radiant"),"")</f>
        <v/>
      </c>
    </row>
    <row r="2503" spans="20:21" x14ac:dyDescent="0.3">
      <c r="T2503" t="str">
        <f>IF(ISERROR(MATCH('Analysis backend'!$M$1,E2503:N2503,0)),"",'Analysis backend'!$L$1)</f>
        <v/>
      </c>
      <c r="U2503" t="str">
        <f>IF(T2503='Analysis backend'!$L$1,IF(ISERROR(MATCH('Analysis backend'!$M$1,E2503:I2503,0)),"Dire","Radiant"),"")</f>
        <v/>
      </c>
    </row>
    <row r="2504" spans="20:21" x14ac:dyDescent="0.3">
      <c r="T2504" t="str">
        <f>IF(ISERROR(MATCH('Analysis backend'!$M$1,E2504:N2504,0)),"",'Analysis backend'!$L$1)</f>
        <v/>
      </c>
      <c r="U2504" t="str">
        <f>IF(T2504='Analysis backend'!$L$1,IF(ISERROR(MATCH('Analysis backend'!$M$1,E2504:I2504,0)),"Dire","Radiant"),"")</f>
        <v/>
      </c>
    </row>
    <row r="2505" spans="20:21" x14ac:dyDescent="0.3">
      <c r="T2505" t="str">
        <f>IF(ISERROR(MATCH('Analysis backend'!$M$1,E2505:N2505,0)),"",'Analysis backend'!$L$1)</f>
        <v/>
      </c>
      <c r="U2505" t="str">
        <f>IF(T2505='Analysis backend'!$L$1,IF(ISERROR(MATCH('Analysis backend'!$M$1,E2505:I2505,0)),"Dire","Radiant"),"")</f>
        <v/>
      </c>
    </row>
    <row r="2506" spans="20:21" x14ac:dyDescent="0.3">
      <c r="T2506" t="str">
        <f>IF(ISERROR(MATCH('Analysis backend'!$M$1,E2506:N2506,0)),"",'Analysis backend'!$L$1)</f>
        <v/>
      </c>
      <c r="U2506" t="str">
        <f>IF(T2506='Analysis backend'!$L$1,IF(ISERROR(MATCH('Analysis backend'!$M$1,E2506:I2506,0)),"Dire","Radiant"),"")</f>
        <v/>
      </c>
    </row>
    <row r="2507" spans="20:21" x14ac:dyDescent="0.3">
      <c r="T2507" t="str">
        <f>IF(ISERROR(MATCH('Analysis backend'!$M$1,E2507:N2507,0)),"",'Analysis backend'!$L$1)</f>
        <v/>
      </c>
      <c r="U2507" t="str">
        <f>IF(T2507='Analysis backend'!$L$1,IF(ISERROR(MATCH('Analysis backend'!$M$1,E2507:I2507,0)),"Dire","Radiant"),"")</f>
        <v/>
      </c>
    </row>
    <row r="2508" spans="20:21" x14ac:dyDescent="0.3">
      <c r="T2508" t="str">
        <f>IF(ISERROR(MATCH('Analysis backend'!$M$1,E2508:N2508,0)),"",'Analysis backend'!$L$1)</f>
        <v/>
      </c>
      <c r="U2508" t="str">
        <f>IF(T2508='Analysis backend'!$L$1,IF(ISERROR(MATCH('Analysis backend'!$M$1,E2508:I2508,0)),"Dire","Radiant"),"")</f>
        <v/>
      </c>
    </row>
    <row r="2509" spans="20:21" x14ac:dyDescent="0.3">
      <c r="T2509" t="str">
        <f>IF(ISERROR(MATCH('Analysis backend'!$M$1,E2509:N2509,0)),"",'Analysis backend'!$L$1)</f>
        <v/>
      </c>
      <c r="U2509" t="str">
        <f>IF(T2509='Analysis backend'!$L$1,IF(ISERROR(MATCH('Analysis backend'!$M$1,E2509:I2509,0)),"Dire","Radiant"),"")</f>
        <v/>
      </c>
    </row>
    <row r="2510" spans="20:21" x14ac:dyDescent="0.3">
      <c r="T2510" t="str">
        <f>IF(ISERROR(MATCH('Analysis backend'!$M$1,E2510:N2510,0)),"",'Analysis backend'!$L$1)</f>
        <v/>
      </c>
      <c r="U2510" t="str">
        <f>IF(T2510='Analysis backend'!$L$1,IF(ISERROR(MATCH('Analysis backend'!$M$1,E2510:I2510,0)),"Dire","Radiant"),"")</f>
        <v/>
      </c>
    </row>
    <row r="2511" spans="20:21" x14ac:dyDescent="0.3">
      <c r="T2511" t="str">
        <f>IF(ISERROR(MATCH('Analysis backend'!$M$1,E2511:N2511,0)),"",'Analysis backend'!$L$1)</f>
        <v/>
      </c>
      <c r="U2511" t="str">
        <f>IF(T2511='Analysis backend'!$L$1,IF(ISERROR(MATCH('Analysis backend'!$M$1,E2511:I2511,0)),"Dire","Radiant"),"")</f>
        <v/>
      </c>
    </row>
    <row r="2512" spans="20:21" x14ac:dyDescent="0.3">
      <c r="T2512" t="str">
        <f>IF(ISERROR(MATCH('Analysis backend'!$M$1,E2512:N2512,0)),"",'Analysis backend'!$L$1)</f>
        <v/>
      </c>
      <c r="U2512" t="str">
        <f>IF(T2512='Analysis backend'!$L$1,IF(ISERROR(MATCH('Analysis backend'!$M$1,E2512:I2512,0)),"Dire","Radiant"),"")</f>
        <v/>
      </c>
    </row>
    <row r="2513" spans="20:21" x14ac:dyDescent="0.3">
      <c r="T2513" t="str">
        <f>IF(ISERROR(MATCH('Analysis backend'!$M$1,E2513:N2513,0)),"",'Analysis backend'!$L$1)</f>
        <v/>
      </c>
      <c r="U2513" t="str">
        <f>IF(T2513='Analysis backend'!$L$1,IF(ISERROR(MATCH('Analysis backend'!$M$1,E2513:I2513,0)),"Dire","Radiant"),"")</f>
        <v/>
      </c>
    </row>
    <row r="2514" spans="20:21" x14ac:dyDescent="0.3">
      <c r="T2514" t="str">
        <f>IF(ISERROR(MATCH('Analysis backend'!$M$1,E2514:N2514,0)),"",'Analysis backend'!$L$1)</f>
        <v/>
      </c>
      <c r="U2514" t="str">
        <f>IF(T2514='Analysis backend'!$L$1,IF(ISERROR(MATCH('Analysis backend'!$M$1,E2514:I2514,0)),"Dire","Radiant"),"")</f>
        <v/>
      </c>
    </row>
    <row r="2515" spans="20:21" x14ac:dyDescent="0.3">
      <c r="T2515" t="str">
        <f>IF(ISERROR(MATCH('Analysis backend'!$M$1,E2515:N2515,0)),"",'Analysis backend'!$L$1)</f>
        <v/>
      </c>
      <c r="U2515" t="str">
        <f>IF(T2515='Analysis backend'!$L$1,IF(ISERROR(MATCH('Analysis backend'!$M$1,E2515:I2515,0)),"Dire","Radiant"),"")</f>
        <v/>
      </c>
    </row>
    <row r="2516" spans="20:21" x14ac:dyDescent="0.3">
      <c r="T2516" t="str">
        <f>IF(ISERROR(MATCH('Analysis backend'!$M$1,E2516:N2516,0)),"",'Analysis backend'!$L$1)</f>
        <v/>
      </c>
      <c r="U2516" t="str">
        <f>IF(T2516='Analysis backend'!$L$1,IF(ISERROR(MATCH('Analysis backend'!$M$1,E2516:I2516,0)),"Dire","Radiant"),"")</f>
        <v/>
      </c>
    </row>
    <row r="2517" spans="20:21" x14ac:dyDescent="0.3">
      <c r="T2517" t="str">
        <f>IF(ISERROR(MATCH('Analysis backend'!$M$1,E2517:N2517,0)),"",'Analysis backend'!$L$1)</f>
        <v/>
      </c>
      <c r="U2517" t="str">
        <f>IF(T2517='Analysis backend'!$L$1,IF(ISERROR(MATCH('Analysis backend'!$M$1,E2517:I2517,0)),"Dire","Radiant"),"")</f>
        <v/>
      </c>
    </row>
    <row r="2518" spans="20:21" x14ac:dyDescent="0.3">
      <c r="T2518" t="str">
        <f>IF(ISERROR(MATCH('Analysis backend'!$M$1,E2518:N2518,0)),"",'Analysis backend'!$L$1)</f>
        <v/>
      </c>
      <c r="U2518" t="str">
        <f>IF(T2518='Analysis backend'!$L$1,IF(ISERROR(MATCH('Analysis backend'!$M$1,E2518:I2518,0)),"Dire","Radiant"),"")</f>
        <v/>
      </c>
    </row>
    <row r="2519" spans="20:21" x14ac:dyDescent="0.3">
      <c r="T2519" t="str">
        <f>IF(ISERROR(MATCH('Analysis backend'!$M$1,E2519:N2519,0)),"",'Analysis backend'!$L$1)</f>
        <v/>
      </c>
      <c r="U2519" t="str">
        <f>IF(T2519='Analysis backend'!$L$1,IF(ISERROR(MATCH('Analysis backend'!$M$1,E2519:I2519,0)),"Dire","Radiant"),"")</f>
        <v/>
      </c>
    </row>
    <row r="2520" spans="20:21" x14ac:dyDescent="0.3">
      <c r="T2520" t="str">
        <f>IF(ISERROR(MATCH('Analysis backend'!$M$1,E2520:N2520,0)),"",'Analysis backend'!$L$1)</f>
        <v/>
      </c>
      <c r="U2520" t="str">
        <f>IF(T2520='Analysis backend'!$L$1,IF(ISERROR(MATCH('Analysis backend'!$M$1,E2520:I2520,0)),"Dire","Radiant"),"")</f>
        <v/>
      </c>
    </row>
    <row r="2521" spans="20:21" x14ac:dyDescent="0.3">
      <c r="T2521" t="str">
        <f>IF(ISERROR(MATCH('Analysis backend'!$M$1,E2521:N2521,0)),"",'Analysis backend'!$L$1)</f>
        <v/>
      </c>
      <c r="U2521" t="str">
        <f>IF(T2521='Analysis backend'!$L$1,IF(ISERROR(MATCH('Analysis backend'!$M$1,E2521:I2521,0)),"Dire","Radiant"),"")</f>
        <v/>
      </c>
    </row>
    <row r="2522" spans="20:21" x14ac:dyDescent="0.3">
      <c r="T2522" t="str">
        <f>IF(ISERROR(MATCH('Analysis backend'!$M$1,E2522:N2522,0)),"",'Analysis backend'!$L$1)</f>
        <v/>
      </c>
      <c r="U2522" t="str">
        <f>IF(T2522='Analysis backend'!$L$1,IF(ISERROR(MATCH('Analysis backend'!$M$1,E2522:I2522,0)),"Dire","Radiant"),"")</f>
        <v/>
      </c>
    </row>
    <row r="2523" spans="20:21" x14ac:dyDescent="0.3">
      <c r="T2523" t="str">
        <f>IF(ISERROR(MATCH('Analysis backend'!$M$1,E2523:N2523,0)),"",'Analysis backend'!$L$1)</f>
        <v/>
      </c>
      <c r="U2523" t="str">
        <f>IF(T2523='Analysis backend'!$L$1,IF(ISERROR(MATCH('Analysis backend'!$M$1,E2523:I2523,0)),"Dire","Radiant"),"")</f>
        <v/>
      </c>
    </row>
    <row r="2524" spans="20:21" x14ac:dyDescent="0.3">
      <c r="T2524" t="str">
        <f>IF(ISERROR(MATCH('Analysis backend'!$M$1,E2524:N2524,0)),"",'Analysis backend'!$L$1)</f>
        <v/>
      </c>
      <c r="U2524" t="str">
        <f>IF(T2524='Analysis backend'!$L$1,IF(ISERROR(MATCH('Analysis backend'!$M$1,E2524:I2524,0)),"Dire","Radiant"),"")</f>
        <v/>
      </c>
    </row>
    <row r="2525" spans="20:21" x14ac:dyDescent="0.3">
      <c r="T2525" t="str">
        <f>IF(ISERROR(MATCH('Analysis backend'!$M$1,E2525:N2525,0)),"",'Analysis backend'!$L$1)</f>
        <v/>
      </c>
      <c r="U2525" t="str">
        <f>IF(T2525='Analysis backend'!$L$1,IF(ISERROR(MATCH('Analysis backend'!$M$1,E2525:I2525,0)),"Dire","Radiant"),"")</f>
        <v/>
      </c>
    </row>
    <row r="2526" spans="20:21" x14ac:dyDescent="0.3">
      <c r="T2526" t="str">
        <f>IF(ISERROR(MATCH('Analysis backend'!$M$1,E2526:N2526,0)),"",'Analysis backend'!$L$1)</f>
        <v/>
      </c>
      <c r="U2526" t="str">
        <f>IF(T2526='Analysis backend'!$L$1,IF(ISERROR(MATCH('Analysis backend'!$M$1,E2526:I2526,0)),"Dire","Radiant"),"")</f>
        <v/>
      </c>
    </row>
    <row r="2527" spans="20:21" x14ac:dyDescent="0.3">
      <c r="T2527" t="str">
        <f>IF(ISERROR(MATCH('Analysis backend'!$M$1,E2527:N2527,0)),"",'Analysis backend'!$L$1)</f>
        <v/>
      </c>
      <c r="U2527" t="str">
        <f>IF(T2527='Analysis backend'!$L$1,IF(ISERROR(MATCH('Analysis backend'!$M$1,E2527:I2527,0)),"Dire","Radiant"),"")</f>
        <v/>
      </c>
    </row>
    <row r="2528" spans="20:21" x14ac:dyDescent="0.3">
      <c r="T2528" t="str">
        <f>IF(ISERROR(MATCH('Analysis backend'!$M$1,E2528:N2528,0)),"",'Analysis backend'!$L$1)</f>
        <v/>
      </c>
      <c r="U2528" t="str">
        <f>IF(T2528='Analysis backend'!$L$1,IF(ISERROR(MATCH('Analysis backend'!$M$1,E2528:I2528,0)),"Dire","Radiant"),"")</f>
        <v/>
      </c>
    </row>
    <row r="2529" spans="20:21" x14ac:dyDescent="0.3">
      <c r="T2529" t="str">
        <f>IF(ISERROR(MATCH('Analysis backend'!$M$1,E2529:N2529,0)),"",'Analysis backend'!$L$1)</f>
        <v/>
      </c>
      <c r="U2529" t="str">
        <f>IF(T2529='Analysis backend'!$L$1,IF(ISERROR(MATCH('Analysis backend'!$M$1,E2529:I2529,0)),"Dire","Radiant"),"")</f>
        <v/>
      </c>
    </row>
    <row r="2530" spans="20:21" x14ac:dyDescent="0.3">
      <c r="T2530" t="str">
        <f>IF(ISERROR(MATCH('Analysis backend'!$M$1,E2530:N2530,0)),"",'Analysis backend'!$L$1)</f>
        <v/>
      </c>
      <c r="U2530" t="str">
        <f>IF(T2530='Analysis backend'!$L$1,IF(ISERROR(MATCH('Analysis backend'!$M$1,E2530:I2530,0)),"Dire","Radiant"),"")</f>
        <v/>
      </c>
    </row>
    <row r="2531" spans="20:21" x14ac:dyDescent="0.3">
      <c r="T2531" t="str">
        <f>IF(ISERROR(MATCH('Analysis backend'!$M$1,E2531:N2531,0)),"",'Analysis backend'!$L$1)</f>
        <v/>
      </c>
      <c r="U2531" t="str">
        <f>IF(T2531='Analysis backend'!$L$1,IF(ISERROR(MATCH('Analysis backend'!$M$1,E2531:I2531,0)),"Dire","Radiant"),"")</f>
        <v/>
      </c>
    </row>
    <row r="2532" spans="20:21" x14ac:dyDescent="0.3">
      <c r="T2532" t="str">
        <f>IF(ISERROR(MATCH('Analysis backend'!$M$1,E2532:N2532,0)),"",'Analysis backend'!$L$1)</f>
        <v/>
      </c>
      <c r="U2532" t="str">
        <f>IF(T2532='Analysis backend'!$L$1,IF(ISERROR(MATCH('Analysis backend'!$M$1,E2532:I2532,0)),"Dire","Radiant"),"")</f>
        <v/>
      </c>
    </row>
    <row r="2533" spans="20:21" x14ac:dyDescent="0.3">
      <c r="T2533" t="str">
        <f>IF(ISERROR(MATCH('Analysis backend'!$M$1,E2533:N2533,0)),"",'Analysis backend'!$L$1)</f>
        <v/>
      </c>
      <c r="U2533" t="str">
        <f>IF(T2533='Analysis backend'!$L$1,IF(ISERROR(MATCH('Analysis backend'!$M$1,E2533:I2533,0)),"Dire","Radiant"),"")</f>
        <v/>
      </c>
    </row>
    <row r="2534" spans="20:21" x14ac:dyDescent="0.3">
      <c r="T2534" t="str">
        <f>IF(ISERROR(MATCH('Analysis backend'!$M$1,E2534:N2534,0)),"",'Analysis backend'!$L$1)</f>
        <v/>
      </c>
      <c r="U2534" t="str">
        <f>IF(T2534='Analysis backend'!$L$1,IF(ISERROR(MATCH('Analysis backend'!$M$1,E2534:I2534,0)),"Dire","Radiant"),"")</f>
        <v/>
      </c>
    </row>
    <row r="2535" spans="20:21" x14ac:dyDescent="0.3">
      <c r="T2535" t="str">
        <f>IF(ISERROR(MATCH('Analysis backend'!$M$1,E2535:N2535,0)),"",'Analysis backend'!$L$1)</f>
        <v/>
      </c>
      <c r="U2535" t="str">
        <f>IF(T2535='Analysis backend'!$L$1,IF(ISERROR(MATCH('Analysis backend'!$M$1,E2535:I2535,0)),"Dire","Radiant"),"")</f>
        <v/>
      </c>
    </row>
    <row r="2536" spans="20:21" x14ac:dyDescent="0.3">
      <c r="T2536" t="str">
        <f>IF(ISERROR(MATCH('Analysis backend'!$M$1,E2536:N2536,0)),"",'Analysis backend'!$L$1)</f>
        <v/>
      </c>
      <c r="U2536" t="str">
        <f>IF(T2536='Analysis backend'!$L$1,IF(ISERROR(MATCH('Analysis backend'!$M$1,E2536:I2536,0)),"Dire","Radiant"),"")</f>
        <v/>
      </c>
    </row>
    <row r="2537" spans="20:21" x14ac:dyDescent="0.3">
      <c r="T2537" t="str">
        <f>IF(ISERROR(MATCH('Analysis backend'!$M$1,E2537:N2537,0)),"",'Analysis backend'!$L$1)</f>
        <v/>
      </c>
      <c r="U2537" t="str">
        <f>IF(T2537='Analysis backend'!$L$1,IF(ISERROR(MATCH('Analysis backend'!$M$1,E2537:I2537,0)),"Dire","Radiant"),"")</f>
        <v/>
      </c>
    </row>
    <row r="2538" spans="20:21" x14ac:dyDescent="0.3">
      <c r="T2538" t="str">
        <f>IF(ISERROR(MATCH('Analysis backend'!$M$1,E2538:N2538,0)),"",'Analysis backend'!$L$1)</f>
        <v/>
      </c>
      <c r="U2538" t="str">
        <f>IF(T2538='Analysis backend'!$L$1,IF(ISERROR(MATCH('Analysis backend'!$M$1,E2538:I2538,0)),"Dire","Radiant"),"")</f>
        <v/>
      </c>
    </row>
    <row r="2539" spans="20:21" x14ac:dyDescent="0.3">
      <c r="T2539" t="str">
        <f>IF(ISERROR(MATCH('Analysis backend'!$M$1,E2539:N2539,0)),"",'Analysis backend'!$L$1)</f>
        <v/>
      </c>
      <c r="U2539" t="str">
        <f>IF(T2539='Analysis backend'!$L$1,IF(ISERROR(MATCH('Analysis backend'!$M$1,E2539:I2539,0)),"Dire","Radiant"),"")</f>
        <v/>
      </c>
    </row>
    <row r="2540" spans="20:21" x14ac:dyDescent="0.3">
      <c r="T2540" t="str">
        <f>IF(ISERROR(MATCH('Analysis backend'!$M$1,E2540:N2540,0)),"",'Analysis backend'!$L$1)</f>
        <v/>
      </c>
      <c r="U2540" t="str">
        <f>IF(T2540='Analysis backend'!$L$1,IF(ISERROR(MATCH('Analysis backend'!$M$1,E2540:I2540,0)),"Dire","Radiant"),"")</f>
        <v/>
      </c>
    </row>
    <row r="2541" spans="20:21" x14ac:dyDescent="0.3">
      <c r="T2541" t="str">
        <f>IF(ISERROR(MATCH('Analysis backend'!$M$1,E2541:N2541,0)),"",'Analysis backend'!$L$1)</f>
        <v/>
      </c>
      <c r="U2541" t="str">
        <f>IF(T2541='Analysis backend'!$L$1,IF(ISERROR(MATCH('Analysis backend'!$M$1,E2541:I2541,0)),"Dire","Radiant"),"")</f>
        <v/>
      </c>
    </row>
    <row r="2542" spans="20:21" x14ac:dyDescent="0.3">
      <c r="T2542" t="str">
        <f>IF(ISERROR(MATCH('Analysis backend'!$M$1,E2542:N2542,0)),"",'Analysis backend'!$L$1)</f>
        <v/>
      </c>
      <c r="U2542" t="str">
        <f>IF(T2542='Analysis backend'!$L$1,IF(ISERROR(MATCH('Analysis backend'!$M$1,E2542:I2542,0)),"Dire","Radiant"),"")</f>
        <v/>
      </c>
    </row>
    <row r="2543" spans="20:21" x14ac:dyDescent="0.3">
      <c r="T2543" t="str">
        <f>IF(ISERROR(MATCH('Analysis backend'!$M$1,E2543:N2543,0)),"",'Analysis backend'!$L$1)</f>
        <v/>
      </c>
      <c r="U2543" t="str">
        <f>IF(T2543='Analysis backend'!$L$1,IF(ISERROR(MATCH('Analysis backend'!$M$1,E2543:I2543,0)),"Dire","Radiant"),"")</f>
        <v/>
      </c>
    </row>
    <row r="2544" spans="20:21" x14ac:dyDescent="0.3">
      <c r="T2544" t="str">
        <f>IF(ISERROR(MATCH('Analysis backend'!$M$1,E2544:N2544,0)),"",'Analysis backend'!$L$1)</f>
        <v/>
      </c>
      <c r="U2544" t="str">
        <f>IF(T2544='Analysis backend'!$L$1,IF(ISERROR(MATCH('Analysis backend'!$M$1,E2544:I2544,0)),"Dire","Radiant"),"")</f>
        <v/>
      </c>
    </row>
    <row r="2545" spans="20:21" x14ac:dyDescent="0.3">
      <c r="T2545" t="str">
        <f>IF(ISERROR(MATCH('Analysis backend'!$M$1,E2545:N2545,0)),"",'Analysis backend'!$L$1)</f>
        <v/>
      </c>
      <c r="U2545" t="str">
        <f>IF(T2545='Analysis backend'!$L$1,IF(ISERROR(MATCH('Analysis backend'!$M$1,E2545:I2545,0)),"Dire","Radiant"),"")</f>
        <v/>
      </c>
    </row>
    <row r="2546" spans="20:21" x14ac:dyDescent="0.3">
      <c r="T2546" t="str">
        <f>IF(ISERROR(MATCH('Analysis backend'!$M$1,E2546:N2546,0)),"",'Analysis backend'!$L$1)</f>
        <v/>
      </c>
      <c r="U2546" t="str">
        <f>IF(T2546='Analysis backend'!$L$1,IF(ISERROR(MATCH('Analysis backend'!$M$1,E2546:I2546,0)),"Dire","Radiant"),"")</f>
        <v/>
      </c>
    </row>
    <row r="2547" spans="20:21" x14ac:dyDescent="0.3">
      <c r="T2547" t="str">
        <f>IF(ISERROR(MATCH('Analysis backend'!$M$1,E2547:N2547,0)),"",'Analysis backend'!$L$1)</f>
        <v/>
      </c>
      <c r="U2547" t="str">
        <f>IF(T2547='Analysis backend'!$L$1,IF(ISERROR(MATCH('Analysis backend'!$M$1,E2547:I2547,0)),"Dire","Radiant"),"")</f>
        <v/>
      </c>
    </row>
    <row r="2548" spans="20:21" x14ac:dyDescent="0.3">
      <c r="T2548" t="str">
        <f>IF(ISERROR(MATCH('Analysis backend'!$M$1,E2548:N2548,0)),"",'Analysis backend'!$L$1)</f>
        <v/>
      </c>
      <c r="U2548" t="str">
        <f>IF(T2548='Analysis backend'!$L$1,IF(ISERROR(MATCH('Analysis backend'!$M$1,E2548:I2548,0)),"Dire","Radiant"),"")</f>
        <v/>
      </c>
    </row>
    <row r="2549" spans="20:21" x14ac:dyDescent="0.3">
      <c r="T2549" t="str">
        <f>IF(ISERROR(MATCH('Analysis backend'!$M$1,E2549:N2549,0)),"",'Analysis backend'!$L$1)</f>
        <v/>
      </c>
      <c r="U2549" t="str">
        <f>IF(T2549='Analysis backend'!$L$1,IF(ISERROR(MATCH('Analysis backend'!$M$1,E2549:I2549,0)),"Dire","Radiant"),"")</f>
        <v/>
      </c>
    </row>
    <row r="2550" spans="20:21" x14ac:dyDescent="0.3">
      <c r="T2550" t="str">
        <f>IF(ISERROR(MATCH('Analysis backend'!$M$1,E2550:N2550,0)),"",'Analysis backend'!$L$1)</f>
        <v/>
      </c>
      <c r="U2550" t="str">
        <f>IF(T2550='Analysis backend'!$L$1,IF(ISERROR(MATCH('Analysis backend'!$M$1,E2550:I2550,0)),"Dire","Radiant"),"")</f>
        <v/>
      </c>
    </row>
    <row r="2551" spans="20:21" x14ac:dyDescent="0.3">
      <c r="T2551" t="str">
        <f>IF(ISERROR(MATCH('Analysis backend'!$M$1,E2551:N2551,0)),"",'Analysis backend'!$L$1)</f>
        <v/>
      </c>
      <c r="U2551" t="str">
        <f>IF(T2551='Analysis backend'!$L$1,IF(ISERROR(MATCH('Analysis backend'!$M$1,E2551:I2551,0)),"Dire","Radiant"),"")</f>
        <v/>
      </c>
    </row>
    <row r="2552" spans="20:21" x14ac:dyDescent="0.3">
      <c r="T2552" t="str">
        <f>IF(ISERROR(MATCH('Analysis backend'!$M$1,E2552:N2552,0)),"",'Analysis backend'!$L$1)</f>
        <v/>
      </c>
      <c r="U2552" t="str">
        <f>IF(T2552='Analysis backend'!$L$1,IF(ISERROR(MATCH('Analysis backend'!$M$1,E2552:I2552,0)),"Dire","Radiant"),"")</f>
        <v/>
      </c>
    </row>
    <row r="2553" spans="20:21" x14ac:dyDescent="0.3">
      <c r="T2553" t="str">
        <f>IF(ISERROR(MATCH('Analysis backend'!$M$1,E2553:N2553,0)),"",'Analysis backend'!$L$1)</f>
        <v/>
      </c>
      <c r="U2553" t="str">
        <f>IF(T2553='Analysis backend'!$L$1,IF(ISERROR(MATCH('Analysis backend'!$M$1,E2553:I2553,0)),"Dire","Radiant"),"")</f>
        <v/>
      </c>
    </row>
    <row r="2554" spans="20:21" x14ac:dyDescent="0.3">
      <c r="T2554" t="str">
        <f>IF(ISERROR(MATCH('Analysis backend'!$M$1,E2554:N2554,0)),"",'Analysis backend'!$L$1)</f>
        <v/>
      </c>
      <c r="U2554" t="str">
        <f>IF(T2554='Analysis backend'!$L$1,IF(ISERROR(MATCH('Analysis backend'!$M$1,E2554:I2554,0)),"Dire","Radiant"),"")</f>
        <v/>
      </c>
    </row>
    <row r="2555" spans="20:21" x14ac:dyDescent="0.3">
      <c r="T2555" t="str">
        <f>IF(ISERROR(MATCH('Analysis backend'!$M$1,E2555:N2555,0)),"",'Analysis backend'!$L$1)</f>
        <v/>
      </c>
      <c r="U2555" t="str">
        <f>IF(T2555='Analysis backend'!$L$1,IF(ISERROR(MATCH('Analysis backend'!$M$1,E2555:I2555,0)),"Dire","Radiant"),"")</f>
        <v/>
      </c>
    </row>
    <row r="2556" spans="20:21" x14ac:dyDescent="0.3">
      <c r="T2556" t="str">
        <f>IF(ISERROR(MATCH('Analysis backend'!$M$1,E2556:N2556,0)),"",'Analysis backend'!$L$1)</f>
        <v/>
      </c>
      <c r="U2556" t="str">
        <f>IF(T2556='Analysis backend'!$L$1,IF(ISERROR(MATCH('Analysis backend'!$M$1,E2556:I2556,0)),"Dire","Radiant"),"")</f>
        <v/>
      </c>
    </row>
    <row r="2557" spans="20:21" x14ac:dyDescent="0.3">
      <c r="T2557" t="str">
        <f>IF(ISERROR(MATCH('Analysis backend'!$M$1,E2557:N2557,0)),"",'Analysis backend'!$L$1)</f>
        <v/>
      </c>
      <c r="U2557" t="str">
        <f>IF(T2557='Analysis backend'!$L$1,IF(ISERROR(MATCH('Analysis backend'!$M$1,E2557:I2557,0)),"Dire","Radiant"),"")</f>
        <v/>
      </c>
    </row>
    <row r="2558" spans="20:21" x14ac:dyDescent="0.3">
      <c r="T2558" t="str">
        <f>IF(ISERROR(MATCH('Analysis backend'!$M$1,E2558:N2558,0)),"",'Analysis backend'!$L$1)</f>
        <v/>
      </c>
      <c r="U2558" t="str">
        <f>IF(T2558='Analysis backend'!$L$1,IF(ISERROR(MATCH('Analysis backend'!$M$1,E2558:I2558,0)),"Dire","Radiant"),"")</f>
        <v/>
      </c>
    </row>
    <row r="2559" spans="20:21" x14ac:dyDescent="0.3">
      <c r="T2559" t="str">
        <f>IF(ISERROR(MATCH('Analysis backend'!$M$1,E2559:N2559,0)),"",'Analysis backend'!$L$1)</f>
        <v/>
      </c>
      <c r="U2559" t="str">
        <f>IF(T2559='Analysis backend'!$L$1,IF(ISERROR(MATCH('Analysis backend'!$M$1,E2559:I2559,0)),"Dire","Radiant"),"")</f>
        <v/>
      </c>
    </row>
    <row r="2560" spans="20:21" x14ac:dyDescent="0.3">
      <c r="T2560" t="str">
        <f>IF(ISERROR(MATCH('Analysis backend'!$M$1,E2560:N2560,0)),"",'Analysis backend'!$L$1)</f>
        <v/>
      </c>
      <c r="U2560" t="str">
        <f>IF(T2560='Analysis backend'!$L$1,IF(ISERROR(MATCH('Analysis backend'!$M$1,E2560:I2560,0)),"Dire","Radiant"),"")</f>
        <v/>
      </c>
    </row>
    <row r="2561" spans="20:21" x14ac:dyDescent="0.3">
      <c r="T2561" t="str">
        <f>IF(ISERROR(MATCH('Analysis backend'!$M$1,E2561:N2561,0)),"",'Analysis backend'!$L$1)</f>
        <v/>
      </c>
      <c r="U2561" t="str">
        <f>IF(T2561='Analysis backend'!$L$1,IF(ISERROR(MATCH('Analysis backend'!$M$1,E2561:I2561,0)),"Dire","Radiant"),"")</f>
        <v/>
      </c>
    </row>
    <row r="2562" spans="20:21" x14ac:dyDescent="0.3">
      <c r="T2562" t="str">
        <f>IF(ISERROR(MATCH('Analysis backend'!$M$1,E2562:N2562,0)),"",'Analysis backend'!$L$1)</f>
        <v/>
      </c>
      <c r="U2562" t="str">
        <f>IF(T2562='Analysis backend'!$L$1,IF(ISERROR(MATCH('Analysis backend'!$M$1,E2562:I2562,0)),"Dire","Radiant"),"")</f>
        <v/>
      </c>
    </row>
    <row r="2563" spans="20:21" x14ac:dyDescent="0.3">
      <c r="T2563" t="str">
        <f>IF(ISERROR(MATCH('Analysis backend'!$M$1,E2563:N2563,0)),"",'Analysis backend'!$L$1)</f>
        <v/>
      </c>
      <c r="U2563" t="str">
        <f>IF(T2563='Analysis backend'!$L$1,IF(ISERROR(MATCH('Analysis backend'!$M$1,E2563:I2563,0)),"Dire","Radiant"),"")</f>
        <v/>
      </c>
    </row>
    <row r="2564" spans="20:21" x14ac:dyDescent="0.3">
      <c r="T2564" t="str">
        <f>IF(ISERROR(MATCH('Analysis backend'!$M$1,E2564:N2564,0)),"",'Analysis backend'!$L$1)</f>
        <v/>
      </c>
      <c r="U2564" t="str">
        <f>IF(T2564='Analysis backend'!$L$1,IF(ISERROR(MATCH('Analysis backend'!$M$1,E2564:I2564,0)),"Dire","Radiant"),"")</f>
        <v/>
      </c>
    </row>
    <row r="2565" spans="20:21" x14ac:dyDescent="0.3">
      <c r="T2565" t="str">
        <f>IF(ISERROR(MATCH('Analysis backend'!$M$1,E2565:N2565,0)),"",'Analysis backend'!$L$1)</f>
        <v/>
      </c>
      <c r="U2565" t="str">
        <f>IF(T2565='Analysis backend'!$L$1,IF(ISERROR(MATCH('Analysis backend'!$M$1,E2565:I2565,0)),"Dire","Radiant"),"")</f>
        <v/>
      </c>
    </row>
    <row r="2566" spans="20:21" x14ac:dyDescent="0.3">
      <c r="T2566" t="str">
        <f>IF(ISERROR(MATCH('Analysis backend'!$M$1,E2566:N2566,0)),"",'Analysis backend'!$L$1)</f>
        <v/>
      </c>
      <c r="U2566" t="str">
        <f>IF(T2566='Analysis backend'!$L$1,IF(ISERROR(MATCH('Analysis backend'!$M$1,E2566:I2566,0)),"Dire","Radiant"),"")</f>
        <v/>
      </c>
    </row>
    <row r="2567" spans="20:21" x14ac:dyDescent="0.3">
      <c r="T2567" t="str">
        <f>IF(ISERROR(MATCH('Analysis backend'!$M$1,E2567:N2567,0)),"",'Analysis backend'!$L$1)</f>
        <v/>
      </c>
      <c r="U2567" t="str">
        <f>IF(T2567='Analysis backend'!$L$1,IF(ISERROR(MATCH('Analysis backend'!$M$1,E2567:I2567,0)),"Dire","Radiant"),"")</f>
        <v/>
      </c>
    </row>
    <row r="2568" spans="20:21" x14ac:dyDescent="0.3">
      <c r="T2568" t="str">
        <f>IF(ISERROR(MATCH('Analysis backend'!$M$1,E2568:N2568,0)),"",'Analysis backend'!$L$1)</f>
        <v/>
      </c>
      <c r="U2568" t="str">
        <f>IF(T2568='Analysis backend'!$L$1,IF(ISERROR(MATCH('Analysis backend'!$M$1,E2568:I2568,0)),"Dire","Radiant"),"")</f>
        <v/>
      </c>
    </row>
    <row r="2569" spans="20:21" x14ac:dyDescent="0.3">
      <c r="T2569" t="str">
        <f>IF(ISERROR(MATCH('Analysis backend'!$M$1,E2569:N2569,0)),"",'Analysis backend'!$L$1)</f>
        <v/>
      </c>
      <c r="U2569" t="str">
        <f>IF(T2569='Analysis backend'!$L$1,IF(ISERROR(MATCH('Analysis backend'!$M$1,E2569:I2569,0)),"Dire","Radiant"),"")</f>
        <v/>
      </c>
    </row>
    <row r="2570" spans="20:21" x14ac:dyDescent="0.3">
      <c r="T2570" t="str">
        <f>IF(ISERROR(MATCH('Analysis backend'!$M$1,E2570:N2570,0)),"",'Analysis backend'!$L$1)</f>
        <v/>
      </c>
      <c r="U2570" t="str">
        <f>IF(T2570='Analysis backend'!$L$1,IF(ISERROR(MATCH('Analysis backend'!$M$1,E2570:I2570,0)),"Dire","Radiant"),"")</f>
        <v/>
      </c>
    </row>
    <row r="2571" spans="20:21" x14ac:dyDescent="0.3">
      <c r="T2571" t="str">
        <f>IF(ISERROR(MATCH('Analysis backend'!$M$1,E2571:N2571,0)),"",'Analysis backend'!$L$1)</f>
        <v/>
      </c>
      <c r="U2571" t="str">
        <f>IF(T2571='Analysis backend'!$L$1,IF(ISERROR(MATCH('Analysis backend'!$M$1,E2571:I2571,0)),"Dire","Radiant"),"")</f>
        <v/>
      </c>
    </row>
    <row r="2572" spans="20:21" x14ac:dyDescent="0.3">
      <c r="T2572" t="str">
        <f>IF(ISERROR(MATCH('Analysis backend'!$M$1,E2572:N2572,0)),"",'Analysis backend'!$L$1)</f>
        <v/>
      </c>
      <c r="U2572" t="str">
        <f>IF(T2572='Analysis backend'!$L$1,IF(ISERROR(MATCH('Analysis backend'!$M$1,E2572:I2572,0)),"Dire","Radiant"),"")</f>
        <v/>
      </c>
    </row>
    <row r="2573" spans="20:21" x14ac:dyDescent="0.3">
      <c r="T2573" t="str">
        <f>IF(ISERROR(MATCH('Analysis backend'!$M$1,E2573:N2573,0)),"",'Analysis backend'!$L$1)</f>
        <v/>
      </c>
      <c r="U2573" t="str">
        <f>IF(T2573='Analysis backend'!$L$1,IF(ISERROR(MATCH('Analysis backend'!$M$1,E2573:I2573,0)),"Dire","Radiant"),"")</f>
        <v/>
      </c>
    </row>
    <row r="2574" spans="20:21" x14ac:dyDescent="0.3">
      <c r="T2574" t="str">
        <f>IF(ISERROR(MATCH('Analysis backend'!$M$1,E2574:N2574,0)),"",'Analysis backend'!$L$1)</f>
        <v/>
      </c>
      <c r="U2574" t="str">
        <f>IF(T2574='Analysis backend'!$L$1,IF(ISERROR(MATCH('Analysis backend'!$M$1,E2574:I2574,0)),"Dire","Radiant"),"")</f>
        <v/>
      </c>
    </row>
    <row r="2575" spans="20:21" x14ac:dyDescent="0.3">
      <c r="T2575" t="str">
        <f>IF(ISERROR(MATCH('Analysis backend'!$M$1,E2575:N2575,0)),"",'Analysis backend'!$L$1)</f>
        <v/>
      </c>
      <c r="U2575" t="str">
        <f>IF(T2575='Analysis backend'!$L$1,IF(ISERROR(MATCH('Analysis backend'!$M$1,E2575:I2575,0)),"Dire","Radiant"),"")</f>
        <v/>
      </c>
    </row>
    <row r="2576" spans="20:21" x14ac:dyDescent="0.3">
      <c r="T2576" t="str">
        <f>IF(ISERROR(MATCH('Analysis backend'!$M$1,E2576:N2576,0)),"",'Analysis backend'!$L$1)</f>
        <v/>
      </c>
      <c r="U2576" t="str">
        <f>IF(T2576='Analysis backend'!$L$1,IF(ISERROR(MATCH('Analysis backend'!$M$1,E2576:I2576,0)),"Dire","Radiant"),"")</f>
        <v/>
      </c>
    </row>
    <row r="2577" spans="20:21" x14ac:dyDescent="0.3">
      <c r="T2577" t="str">
        <f>IF(ISERROR(MATCH('Analysis backend'!$M$1,E2577:N2577,0)),"",'Analysis backend'!$L$1)</f>
        <v/>
      </c>
      <c r="U2577" t="str">
        <f>IF(T2577='Analysis backend'!$L$1,IF(ISERROR(MATCH('Analysis backend'!$M$1,E2577:I2577,0)),"Dire","Radiant"),"")</f>
        <v/>
      </c>
    </row>
    <row r="2578" spans="20:21" x14ac:dyDescent="0.3">
      <c r="T2578" t="str">
        <f>IF(ISERROR(MATCH('Analysis backend'!$M$1,E2578:N2578,0)),"",'Analysis backend'!$L$1)</f>
        <v/>
      </c>
      <c r="U2578" t="str">
        <f>IF(T2578='Analysis backend'!$L$1,IF(ISERROR(MATCH('Analysis backend'!$M$1,E2578:I2578,0)),"Dire","Radiant"),"")</f>
        <v/>
      </c>
    </row>
    <row r="2579" spans="20:21" x14ac:dyDescent="0.3">
      <c r="T2579" t="str">
        <f>IF(ISERROR(MATCH('Analysis backend'!$M$1,E2579:N2579,0)),"",'Analysis backend'!$L$1)</f>
        <v/>
      </c>
      <c r="U2579" t="str">
        <f>IF(T2579='Analysis backend'!$L$1,IF(ISERROR(MATCH('Analysis backend'!$M$1,E2579:I2579,0)),"Dire","Radiant"),"")</f>
        <v/>
      </c>
    </row>
    <row r="2580" spans="20:21" x14ac:dyDescent="0.3">
      <c r="T2580" t="str">
        <f>IF(ISERROR(MATCH('Analysis backend'!$M$1,E2580:N2580,0)),"",'Analysis backend'!$L$1)</f>
        <v/>
      </c>
      <c r="U2580" t="str">
        <f>IF(T2580='Analysis backend'!$L$1,IF(ISERROR(MATCH('Analysis backend'!$M$1,E2580:I2580,0)),"Dire","Radiant"),"")</f>
        <v/>
      </c>
    </row>
    <row r="2581" spans="20:21" x14ac:dyDescent="0.3">
      <c r="T2581" t="str">
        <f>IF(ISERROR(MATCH('Analysis backend'!$M$1,E2581:N2581,0)),"",'Analysis backend'!$L$1)</f>
        <v/>
      </c>
      <c r="U2581" t="str">
        <f>IF(T2581='Analysis backend'!$L$1,IF(ISERROR(MATCH('Analysis backend'!$M$1,E2581:I2581,0)),"Dire","Radiant"),"")</f>
        <v/>
      </c>
    </row>
    <row r="2582" spans="20:21" x14ac:dyDescent="0.3">
      <c r="T2582" t="str">
        <f>IF(ISERROR(MATCH('Analysis backend'!$M$1,E2582:N2582,0)),"",'Analysis backend'!$L$1)</f>
        <v/>
      </c>
      <c r="U2582" t="str">
        <f>IF(T2582='Analysis backend'!$L$1,IF(ISERROR(MATCH('Analysis backend'!$M$1,E2582:I2582,0)),"Dire","Radiant"),"")</f>
        <v/>
      </c>
    </row>
    <row r="2583" spans="20:21" x14ac:dyDescent="0.3">
      <c r="T2583" t="str">
        <f>IF(ISERROR(MATCH('Analysis backend'!$M$1,E2583:N2583,0)),"",'Analysis backend'!$L$1)</f>
        <v/>
      </c>
      <c r="U2583" t="str">
        <f>IF(T2583='Analysis backend'!$L$1,IF(ISERROR(MATCH('Analysis backend'!$M$1,E2583:I2583,0)),"Dire","Radiant"),"")</f>
        <v/>
      </c>
    </row>
    <row r="2584" spans="20:21" x14ac:dyDescent="0.3">
      <c r="T2584" t="str">
        <f>IF(ISERROR(MATCH('Analysis backend'!$M$1,E2584:N2584,0)),"",'Analysis backend'!$L$1)</f>
        <v/>
      </c>
      <c r="U2584" t="str">
        <f>IF(T2584='Analysis backend'!$L$1,IF(ISERROR(MATCH('Analysis backend'!$M$1,E2584:I2584,0)),"Dire","Radiant"),"")</f>
        <v/>
      </c>
    </row>
    <row r="2585" spans="20:21" x14ac:dyDescent="0.3">
      <c r="T2585" t="str">
        <f>IF(ISERROR(MATCH('Analysis backend'!$M$1,E2585:N2585,0)),"",'Analysis backend'!$L$1)</f>
        <v/>
      </c>
      <c r="U2585" t="str">
        <f>IF(T2585='Analysis backend'!$L$1,IF(ISERROR(MATCH('Analysis backend'!$M$1,E2585:I2585,0)),"Dire","Radiant"),"")</f>
        <v/>
      </c>
    </row>
    <row r="2586" spans="20:21" x14ac:dyDescent="0.3">
      <c r="T2586" t="str">
        <f>IF(ISERROR(MATCH('Analysis backend'!$M$1,E2586:N2586,0)),"",'Analysis backend'!$L$1)</f>
        <v/>
      </c>
      <c r="U2586" t="str">
        <f>IF(T2586='Analysis backend'!$L$1,IF(ISERROR(MATCH('Analysis backend'!$M$1,E2586:I2586,0)),"Dire","Radiant"),"")</f>
        <v/>
      </c>
    </row>
    <row r="2587" spans="20:21" x14ac:dyDescent="0.3">
      <c r="T2587" t="str">
        <f>IF(ISERROR(MATCH('Analysis backend'!$M$1,E2587:N2587,0)),"",'Analysis backend'!$L$1)</f>
        <v/>
      </c>
      <c r="U2587" t="str">
        <f>IF(T2587='Analysis backend'!$L$1,IF(ISERROR(MATCH('Analysis backend'!$M$1,E2587:I2587,0)),"Dire","Radiant"),"")</f>
        <v/>
      </c>
    </row>
    <row r="2588" spans="20:21" x14ac:dyDescent="0.3">
      <c r="T2588" t="str">
        <f>IF(ISERROR(MATCH('Analysis backend'!$M$1,E2588:N2588,0)),"",'Analysis backend'!$L$1)</f>
        <v/>
      </c>
      <c r="U2588" t="str">
        <f>IF(T2588='Analysis backend'!$L$1,IF(ISERROR(MATCH('Analysis backend'!$M$1,E2588:I2588,0)),"Dire","Radiant"),"")</f>
        <v/>
      </c>
    </row>
    <row r="2589" spans="20:21" x14ac:dyDescent="0.3">
      <c r="T2589" t="str">
        <f>IF(ISERROR(MATCH('Analysis backend'!$M$1,E2589:N2589,0)),"",'Analysis backend'!$L$1)</f>
        <v/>
      </c>
      <c r="U2589" t="str">
        <f>IF(T2589='Analysis backend'!$L$1,IF(ISERROR(MATCH('Analysis backend'!$M$1,E2589:I2589,0)),"Dire","Radiant"),"")</f>
        <v/>
      </c>
    </row>
    <row r="2590" spans="20:21" x14ac:dyDescent="0.3">
      <c r="T2590" t="str">
        <f>IF(ISERROR(MATCH('Analysis backend'!$M$1,E2590:N2590,0)),"",'Analysis backend'!$L$1)</f>
        <v/>
      </c>
      <c r="U2590" t="str">
        <f>IF(T2590='Analysis backend'!$L$1,IF(ISERROR(MATCH('Analysis backend'!$M$1,E2590:I2590,0)),"Dire","Radiant"),"")</f>
        <v/>
      </c>
    </row>
    <row r="2591" spans="20:21" x14ac:dyDescent="0.3">
      <c r="T2591" t="str">
        <f>IF(ISERROR(MATCH('Analysis backend'!$M$1,E2591:N2591,0)),"",'Analysis backend'!$L$1)</f>
        <v/>
      </c>
      <c r="U2591" t="str">
        <f>IF(T2591='Analysis backend'!$L$1,IF(ISERROR(MATCH('Analysis backend'!$M$1,E2591:I2591,0)),"Dire","Radiant"),"")</f>
        <v/>
      </c>
    </row>
    <row r="2592" spans="20:21" x14ac:dyDescent="0.3">
      <c r="T2592" t="str">
        <f>IF(ISERROR(MATCH('Analysis backend'!$M$1,E2592:N2592,0)),"",'Analysis backend'!$L$1)</f>
        <v/>
      </c>
      <c r="U2592" t="str">
        <f>IF(T2592='Analysis backend'!$L$1,IF(ISERROR(MATCH('Analysis backend'!$M$1,E2592:I2592,0)),"Dire","Radiant"),"")</f>
        <v/>
      </c>
    </row>
    <row r="2593" spans="20:21" x14ac:dyDescent="0.3">
      <c r="T2593" t="str">
        <f>IF(ISERROR(MATCH('Analysis backend'!$M$1,E2593:N2593,0)),"",'Analysis backend'!$L$1)</f>
        <v/>
      </c>
      <c r="U2593" t="str">
        <f>IF(T2593='Analysis backend'!$L$1,IF(ISERROR(MATCH('Analysis backend'!$M$1,E2593:I2593,0)),"Dire","Radiant"),"")</f>
        <v/>
      </c>
    </row>
    <row r="2594" spans="20:21" x14ac:dyDescent="0.3">
      <c r="T2594" t="str">
        <f>IF(ISERROR(MATCH('Analysis backend'!$M$1,E2594:N2594,0)),"",'Analysis backend'!$L$1)</f>
        <v/>
      </c>
      <c r="U2594" t="str">
        <f>IF(T2594='Analysis backend'!$L$1,IF(ISERROR(MATCH('Analysis backend'!$M$1,E2594:I2594,0)),"Dire","Radiant"),"")</f>
        <v/>
      </c>
    </row>
    <row r="2595" spans="20:21" x14ac:dyDescent="0.3">
      <c r="T2595" t="str">
        <f>IF(ISERROR(MATCH('Analysis backend'!$M$1,E2595:N2595,0)),"",'Analysis backend'!$L$1)</f>
        <v/>
      </c>
      <c r="U2595" t="str">
        <f>IF(T2595='Analysis backend'!$L$1,IF(ISERROR(MATCH('Analysis backend'!$M$1,E2595:I2595,0)),"Dire","Radiant"),"")</f>
        <v/>
      </c>
    </row>
    <row r="2596" spans="20:21" x14ac:dyDescent="0.3">
      <c r="T2596" t="str">
        <f>IF(ISERROR(MATCH('Analysis backend'!$M$1,E2596:N2596,0)),"",'Analysis backend'!$L$1)</f>
        <v/>
      </c>
      <c r="U2596" t="str">
        <f>IF(T2596='Analysis backend'!$L$1,IF(ISERROR(MATCH('Analysis backend'!$M$1,E2596:I2596,0)),"Dire","Radiant"),"")</f>
        <v/>
      </c>
    </row>
    <row r="2597" spans="20:21" x14ac:dyDescent="0.3">
      <c r="T2597" t="str">
        <f>IF(ISERROR(MATCH('Analysis backend'!$M$1,E2597:N2597,0)),"",'Analysis backend'!$L$1)</f>
        <v/>
      </c>
      <c r="U2597" t="str">
        <f>IF(T2597='Analysis backend'!$L$1,IF(ISERROR(MATCH('Analysis backend'!$M$1,E2597:I2597,0)),"Dire","Radiant"),"")</f>
        <v/>
      </c>
    </row>
    <row r="2598" spans="20:21" x14ac:dyDescent="0.3">
      <c r="T2598" t="str">
        <f>IF(ISERROR(MATCH('Analysis backend'!$M$1,E2598:N2598,0)),"",'Analysis backend'!$L$1)</f>
        <v/>
      </c>
      <c r="U2598" t="str">
        <f>IF(T2598='Analysis backend'!$L$1,IF(ISERROR(MATCH('Analysis backend'!$M$1,E2598:I2598,0)),"Dire","Radiant"),"")</f>
        <v/>
      </c>
    </row>
    <row r="2599" spans="20:21" x14ac:dyDescent="0.3">
      <c r="T2599" t="str">
        <f>IF(ISERROR(MATCH('Analysis backend'!$M$1,E2599:N2599,0)),"",'Analysis backend'!$L$1)</f>
        <v/>
      </c>
      <c r="U2599" t="str">
        <f>IF(T2599='Analysis backend'!$L$1,IF(ISERROR(MATCH('Analysis backend'!$M$1,E2599:I2599,0)),"Dire","Radiant"),"")</f>
        <v/>
      </c>
    </row>
    <row r="2600" spans="20:21" x14ac:dyDescent="0.3">
      <c r="T2600" t="str">
        <f>IF(ISERROR(MATCH('Analysis backend'!$M$1,E2600:N2600,0)),"",'Analysis backend'!$L$1)</f>
        <v/>
      </c>
      <c r="U2600" t="str">
        <f>IF(T2600='Analysis backend'!$L$1,IF(ISERROR(MATCH('Analysis backend'!$M$1,E2600:I2600,0)),"Dire","Radiant"),"")</f>
        <v/>
      </c>
    </row>
    <row r="2601" spans="20:21" x14ac:dyDescent="0.3">
      <c r="T2601" t="str">
        <f>IF(ISERROR(MATCH('Analysis backend'!$M$1,E2601:N2601,0)),"",'Analysis backend'!$L$1)</f>
        <v/>
      </c>
      <c r="U2601" t="str">
        <f>IF(T2601='Analysis backend'!$L$1,IF(ISERROR(MATCH('Analysis backend'!$M$1,E2601:I2601,0)),"Dire","Radiant"),"")</f>
        <v/>
      </c>
    </row>
    <row r="2602" spans="20:21" x14ac:dyDescent="0.3">
      <c r="T2602" t="str">
        <f>IF(ISERROR(MATCH('Analysis backend'!$M$1,E2602:N2602,0)),"",'Analysis backend'!$L$1)</f>
        <v/>
      </c>
      <c r="U2602" t="str">
        <f>IF(T2602='Analysis backend'!$L$1,IF(ISERROR(MATCH('Analysis backend'!$M$1,E2602:I2602,0)),"Dire","Radiant"),"")</f>
        <v/>
      </c>
    </row>
    <row r="2603" spans="20:21" x14ac:dyDescent="0.3">
      <c r="T2603" t="str">
        <f>IF(ISERROR(MATCH('Analysis backend'!$M$1,E2603:N2603,0)),"",'Analysis backend'!$L$1)</f>
        <v/>
      </c>
      <c r="U2603" t="str">
        <f>IF(T2603='Analysis backend'!$L$1,IF(ISERROR(MATCH('Analysis backend'!$M$1,E2603:I2603,0)),"Dire","Radiant"),"")</f>
        <v/>
      </c>
    </row>
    <row r="2604" spans="20:21" x14ac:dyDescent="0.3">
      <c r="T2604" t="str">
        <f>IF(ISERROR(MATCH('Analysis backend'!$M$1,E2604:N2604,0)),"",'Analysis backend'!$L$1)</f>
        <v/>
      </c>
      <c r="U2604" t="str">
        <f>IF(T2604='Analysis backend'!$L$1,IF(ISERROR(MATCH('Analysis backend'!$M$1,E2604:I2604,0)),"Dire","Radiant"),"")</f>
        <v/>
      </c>
    </row>
    <row r="2605" spans="20:21" x14ac:dyDescent="0.3">
      <c r="T2605" t="str">
        <f>IF(ISERROR(MATCH('Analysis backend'!$M$1,E2605:N2605,0)),"",'Analysis backend'!$L$1)</f>
        <v/>
      </c>
      <c r="U2605" t="str">
        <f>IF(T2605='Analysis backend'!$L$1,IF(ISERROR(MATCH('Analysis backend'!$M$1,E2605:I2605,0)),"Dire","Radiant"),"")</f>
        <v/>
      </c>
    </row>
    <row r="2606" spans="20:21" x14ac:dyDescent="0.3">
      <c r="T2606" t="str">
        <f>IF(ISERROR(MATCH('Analysis backend'!$M$1,E2606:N2606,0)),"",'Analysis backend'!$L$1)</f>
        <v/>
      </c>
      <c r="U2606" t="str">
        <f>IF(T2606='Analysis backend'!$L$1,IF(ISERROR(MATCH('Analysis backend'!$M$1,E2606:I2606,0)),"Dire","Radiant"),"")</f>
        <v/>
      </c>
    </row>
    <row r="2607" spans="20:21" x14ac:dyDescent="0.3">
      <c r="T2607" t="str">
        <f>IF(ISERROR(MATCH('Analysis backend'!$M$1,E2607:N2607,0)),"",'Analysis backend'!$L$1)</f>
        <v/>
      </c>
      <c r="U2607" t="str">
        <f>IF(T2607='Analysis backend'!$L$1,IF(ISERROR(MATCH('Analysis backend'!$M$1,E2607:I2607,0)),"Dire","Radiant"),"")</f>
        <v/>
      </c>
    </row>
    <row r="2608" spans="20:21" x14ac:dyDescent="0.3">
      <c r="T2608" t="str">
        <f>IF(ISERROR(MATCH('Analysis backend'!$M$1,E2608:N2608,0)),"",'Analysis backend'!$L$1)</f>
        <v/>
      </c>
      <c r="U2608" t="str">
        <f>IF(T2608='Analysis backend'!$L$1,IF(ISERROR(MATCH('Analysis backend'!$M$1,E2608:I2608,0)),"Dire","Radiant"),"")</f>
        <v/>
      </c>
    </row>
    <row r="2609" spans="20:21" x14ac:dyDescent="0.3">
      <c r="T2609" t="str">
        <f>IF(ISERROR(MATCH('Analysis backend'!$M$1,E2609:N2609,0)),"",'Analysis backend'!$L$1)</f>
        <v/>
      </c>
      <c r="U2609" t="str">
        <f>IF(T2609='Analysis backend'!$L$1,IF(ISERROR(MATCH('Analysis backend'!$M$1,E2609:I2609,0)),"Dire","Radiant"),"")</f>
        <v/>
      </c>
    </row>
    <row r="2610" spans="20:21" x14ac:dyDescent="0.3">
      <c r="T2610" t="str">
        <f>IF(ISERROR(MATCH('Analysis backend'!$M$1,E2610:N2610,0)),"",'Analysis backend'!$L$1)</f>
        <v/>
      </c>
      <c r="U2610" t="str">
        <f>IF(T2610='Analysis backend'!$L$1,IF(ISERROR(MATCH('Analysis backend'!$M$1,E2610:I2610,0)),"Dire","Radiant"),"")</f>
        <v/>
      </c>
    </row>
    <row r="2611" spans="20:21" x14ac:dyDescent="0.3">
      <c r="T2611" t="str">
        <f>IF(ISERROR(MATCH('Analysis backend'!$M$1,E2611:N2611,0)),"",'Analysis backend'!$L$1)</f>
        <v/>
      </c>
      <c r="U2611" t="str">
        <f>IF(T2611='Analysis backend'!$L$1,IF(ISERROR(MATCH('Analysis backend'!$M$1,E2611:I2611,0)),"Dire","Radiant"),"")</f>
        <v/>
      </c>
    </row>
    <row r="2612" spans="20:21" x14ac:dyDescent="0.3">
      <c r="T2612" t="str">
        <f>IF(ISERROR(MATCH('Analysis backend'!$M$1,E2612:N2612,0)),"",'Analysis backend'!$L$1)</f>
        <v/>
      </c>
      <c r="U2612" t="str">
        <f>IF(T2612='Analysis backend'!$L$1,IF(ISERROR(MATCH('Analysis backend'!$M$1,E2612:I2612,0)),"Dire","Radiant"),"")</f>
        <v/>
      </c>
    </row>
    <row r="2613" spans="20:21" x14ac:dyDescent="0.3">
      <c r="T2613" t="str">
        <f>IF(ISERROR(MATCH('Analysis backend'!$M$1,E2613:N2613,0)),"",'Analysis backend'!$L$1)</f>
        <v/>
      </c>
      <c r="U2613" t="str">
        <f>IF(T2613='Analysis backend'!$L$1,IF(ISERROR(MATCH('Analysis backend'!$M$1,E2613:I2613,0)),"Dire","Radiant"),"")</f>
        <v/>
      </c>
    </row>
    <row r="2614" spans="20:21" x14ac:dyDescent="0.3">
      <c r="T2614" t="str">
        <f>IF(ISERROR(MATCH('Analysis backend'!$M$1,E2614:N2614,0)),"",'Analysis backend'!$L$1)</f>
        <v/>
      </c>
      <c r="U2614" t="str">
        <f>IF(T2614='Analysis backend'!$L$1,IF(ISERROR(MATCH('Analysis backend'!$M$1,E2614:I2614,0)),"Dire","Radiant"),"")</f>
        <v/>
      </c>
    </row>
    <row r="2615" spans="20:21" x14ac:dyDescent="0.3">
      <c r="T2615" t="str">
        <f>IF(ISERROR(MATCH('Analysis backend'!$M$1,E2615:N2615,0)),"",'Analysis backend'!$L$1)</f>
        <v/>
      </c>
      <c r="U2615" t="str">
        <f>IF(T2615='Analysis backend'!$L$1,IF(ISERROR(MATCH('Analysis backend'!$M$1,E2615:I2615,0)),"Dire","Radiant"),"")</f>
        <v/>
      </c>
    </row>
    <row r="2616" spans="20:21" x14ac:dyDescent="0.3">
      <c r="T2616" t="str">
        <f>IF(ISERROR(MATCH('Analysis backend'!$M$1,E2616:N2616,0)),"",'Analysis backend'!$L$1)</f>
        <v/>
      </c>
      <c r="U2616" t="str">
        <f>IF(T2616='Analysis backend'!$L$1,IF(ISERROR(MATCH('Analysis backend'!$M$1,E2616:I2616,0)),"Dire","Radiant"),"")</f>
        <v/>
      </c>
    </row>
    <row r="2617" spans="20:21" x14ac:dyDescent="0.3">
      <c r="T2617" t="str">
        <f>IF(ISERROR(MATCH('Analysis backend'!$M$1,E2617:N2617,0)),"",'Analysis backend'!$L$1)</f>
        <v/>
      </c>
      <c r="U2617" t="str">
        <f>IF(T2617='Analysis backend'!$L$1,IF(ISERROR(MATCH('Analysis backend'!$M$1,E2617:I2617,0)),"Dire","Radiant"),"")</f>
        <v/>
      </c>
    </row>
    <row r="2618" spans="20:21" x14ac:dyDescent="0.3">
      <c r="T2618" t="str">
        <f>IF(ISERROR(MATCH('Analysis backend'!$M$1,E2618:N2618,0)),"",'Analysis backend'!$L$1)</f>
        <v/>
      </c>
      <c r="U2618" t="str">
        <f>IF(T2618='Analysis backend'!$L$1,IF(ISERROR(MATCH('Analysis backend'!$M$1,E2618:I2618,0)),"Dire","Radiant"),"")</f>
        <v/>
      </c>
    </row>
    <row r="2619" spans="20:21" x14ac:dyDescent="0.3">
      <c r="T2619" t="str">
        <f>IF(ISERROR(MATCH('Analysis backend'!$M$1,E2619:N2619,0)),"",'Analysis backend'!$L$1)</f>
        <v/>
      </c>
      <c r="U2619" t="str">
        <f>IF(T2619='Analysis backend'!$L$1,IF(ISERROR(MATCH('Analysis backend'!$M$1,E2619:I2619,0)),"Dire","Radiant"),"")</f>
        <v/>
      </c>
    </row>
    <row r="2620" spans="20:21" x14ac:dyDescent="0.3">
      <c r="T2620" t="str">
        <f>IF(ISERROR(MATCH('Analysis backend'!$M$1,E2620:N2620,0)),"",'Analysis backend'!$L$1)</f>
        <v/>
      </c>
      <c r="U2620" t="str">
        <f>IF(T2620='Analysis backend'!$L$1,IF(ISERROR(MATCH('Analysis backend'!$M$1,E2620:I2620,0)),"Dire","Radiant"),"")</f>
        <v/>
      </c>
    </row>
    <row r="2621" spans="20:21" x14ac:dyDescent="0.3">
      <c r="T2621" t="str">
        <f>IF(ISERROR(MATCH('Analysis backend'!$M$1,E2621:N2621,0)),"",'Analysis backend'!$L$1)</f>
        <v/>
      </c>
      <c r="U2621" t="str">
        <f>IF(T2621='Analysis backend'!$L$1,IF(ISERROR(MATCH('Analysis backend'!$M$1,E2621:I2621,0)),"Dire","Radiant"),"")</f>
        <v/>
      </c>
    </row>
    <row r="2622" spans="20:21" x14ac:dyDescent="0.3">
      <c r="T2622" t="str">
        <f>IF(ISERROR(MATCH('Analysis backend'!$M$1,E2622:N2622,0)),"",'Analysis backend'!$L$1)</f>
        <v/>
      </c>
      <c r="U2622" t="str">
        <f>IF(T2622='Analysis backend'!$L$1,IF(ISERROR(MATCH('Analysis backend'!$M$1,E2622:I2622,0)),"Dire","Radiant"),"")</f>
        <v/>
      </c>
    </row>
    <row r="2623" spans="20:21" x14ac:dyDescent="0.3">
      <c r="T2623" t="str">
        <f>IF(ISERROR(MATCH('Analysis backend'!$M$1,E2623:N2623,0)),"",'Analysis backend'!$L$1)</f>
        <v/>
      </c>
      <c r="U2623" t="str">
        <f>IF(T2623='Analysis backend'!$L$1,IF(ISERROR(MATCH('Analysis backend'!$M$1,E2623:I2623,0)),"Dire","Radiant"),"")</f>
        <v/>
      </c>
    </row>
    <row r="2624" spans="20:21" x14ac:dyDescent="0.3">
      <c r="T2624" t="str">
        <f>IF(ISERROR(MATCH('Analysis backend'!$M$1,E2624:N2624,0)),"",'Analysis backend'!$L$1)</f>
        <v/>
      </c>
      <c r="U2624" t="str">
        <f>IF(T2624='Analysis backend'!$L$1,IF(ISERROR(MATCH('Analysis backend'!$M$1,E2624:I2624,0)),"Dire","Radiant"),"")</f>
        <v/>
      </c>
    </row>
    <row r="2625" spans="20:21" x14ac:dyDescent="0.3">
      <c r="T2625" t="str">
        <f>IF(ISERROR(MATCH('Analysis backend'!$M$1,E2625:N2625,0)),"",'Analysis backend'!$L$1)</f>
        <v/>
      </c>
      <c r="U2625" t="str">
        <f>IF(T2625='Analysis backend'!$L$1,IF(ISERROR(MATCH('Analysis backend'!$M$1,E2625:I2625,0)),"Dire","Radiant"),"")</f>
        <v/>
      </c>
    </row>
    <row r="2626" spans="20:21" x14ac:dyDescent="0.3">
      <c r="T2626" t="str">
        <f>IF(ISERROR(MATCH('Analysis backend'!$M$1,E2626:N2626,0)),"",'Analysis backend'!$L$1)</f>
        <v/>
      </c>
      <c r="U2626" t="str">
        <f>IF(T2626='Analysis backend'!$L$1,IF(ISERROR(MATCH('Analysis backend'!$M$1,E2626:I2626,0)),"Dire","Radiant"),"")</f>
        <v/>
      </c>
    </row>
    <row r="2627" spans="20:21" x14ac:dyDescent="0.3">
      <c r="T2627" t="str">
        <f>IF(ISERROR(MATCH('Analysis backend'!$M$1,E2627:N2627,0)),"",'Analysis backend'!$L$1)</f>
        <v/>
      </c>
      <c r="U2627" t="str">
        <f>IF(T2627='Analysis backend'!$L$1,IF(ISERROR(MATCH('Analysis backend'!$M$1,E2627:I2627,0)),"Dire","Radiant"),"")</f>
        <v/>
      </c>
    </row>
    <row r="2628" spans="20:21" x14ac:dyDescent="0.3">
      <c r="T2628" t="str">
        <f>IF(ISERROR(MATCH('Analysis backend'!$M$1,E2628:N2628,0)),"",'Analysis backend'!$L$1)</f>
        <v/>
      </c>
      <c r="U2628" t="str">
        <f>IF(T2628='Analysis backend'!$L$1,IF(ISERROR(MATCH('Analysis backend'!$M$1,E2628:I2628,0)),"Dire","Radiant"),"")</f>
        <v/>
      </c>
    </row>
    <row r="2629" spans="20:21" x14ac:dyDescent="0.3">
      <c r="T2629" t="str">
        <f>IF(ISERROR(MATCH('Analysis backend'!$M$1,E2629:N2629,0)),"",'Analysis backend'!$L$1)</f>
        <v/>
      </c>
      <c r="U2629" t="str">
        <f>IF(T2629='Analysis backend'!$L$1,IF(ISERROR(MATCH('Analysis backend'!$M$1,E2629:I2629,0)),"Dire","Radiant"),"")</f>
        <v/>
      </c>
    </row>
    <row r="2630" spans="20:21" x14ac:dyDescent="0.3">
      <c r="T2630" t="str">
        <f>IF(ISERROR(MATCH('Analysis backend'!$M$1,E2630:N2630,0)),"",'Analysis backend'!$L$1)</f>
        <v/>
      </c>
      <c r="U2630" t="str">
        <f>IF(T2630='Analysis backend'!$L$1,IF(ISERROR(MATCH('Analysis backend'!$M$1,E2630:I2630,0)),"Dire","Radiant"),"")</f>
        <v/>
      </c>
    </row>
    <row r="2631" spans="20:21" x14ac:dyDescent="0.3">
      <c r="T2631" t="str">
        <f>IF(ISERROR(MATCH('Analysis backend'!$M$1,E2631:N2631,0)),"",'Analysis backend'!$L$1)</f>
        <v/>
      </c>
      <c r="U2631" t="str">
        <f>IF(T2631='Analysis backend'!$L$1,IF(ISERROR(MATCH('Analysis backend'!$M$1,E2631:I2631,0)),"Dire","Radiant"),"")</f>
        <v/>
      </c>
    </row>
    <row r="2632" spans="20:21" x14ac:dyDescent="0.3">
      <c r="T2632" t="str">
        <f>IF(ISERROR(MATCH('Analysis backend'!$M$1,E2632:N2632,0)),"",'Analysis backend'!$L$1)</f>
        <v/>
      </c>
      <c r="U2632" t="str">
        <f>IF(T2632='Analysis backend'!$L$1,IF(ISERROR(MATCH('Analysis backend'!$M$1,E2632:I2632,0)),"Dire","Radiant"),"")</f>
        <v/>
      </c>
    </row>
    <row r="2633" spans="20:21" x14ac:dyDescent="0.3">
      <c r="T2633" t="str">
        <f>IF(ISERROR(MATCH('Analysis backend'!$M$1,E2633:N2633,0)),"",'Analysis backend'!$L$1)</f>
        <v/>
      </c>
      <c r="U2633" t="str">
        <f>IF(T2633='Analysis backend'!$L$1,IF(ISERROR(MATCH('Analysis backend'!$M$1,E2633:I2633,0)),"Dire","Radiant"),"")</f>
        <v/>
      </c>
    </row>
    <row r="2634" spans="20:21" x14ac:dyDescent="0.3">
      <c r="T2634" t="str">
        <f>IF(ISERROR(MATCH('Analysis backend'!$M$1,E2634:N2634,0)),"",'Analysis backend'!$L$1)</f>
        <v/>
      </c>
      <c r="U2634" t="str">
        <f>IF(T2634='Analysis backend'!$L$1,IF(ISERROR(MATCH('Analysis backend'!$M$1,E2634:I2634,0)),"Dire","Radiant"),"")</f>
        <v/>
      </c>
    </row>
    <row r="2635" spans="20:21" x14ac:dyDescent="0.3">
      <c r="T2635" t="str">
        <f>IF(ISERROR(MATCH('Analysis backend'!$M$1,E2635:N2635,0)),"",'Analysis backend'!$L$1)</f>
        <v/>
      </c>
      <c r="U2635" t="str">
        <f>IF(T2635='Analysis backend'!$L$1,IF(ISERROR(MATCH('Analysis backend'!$M$1,E2635:I2635,0)),"Dire","Radiant"),"")</f>
        <v/>
      </c>
    </row>
    <row r="2636" spans="20:21" x14ac:dyDescent="0.3">
      <c r="T2636" t="str">
        <f>IF(ISERROR(MATCH('Analysis backend'!$M$1,E2636:N2636,0)),"",'Analysis backend'!$L$1)</f>
        <v/>
      </c>
      <c r="U2636" t="str">
        <f>IF(T2636='Analysis backend'!$L$1,IF(ISERROR(MATCH('Analysis backend'!$M$1,E2636:I2636,0)),"Dire","Radiant"),"")</f>
        <v/>
      </c>
    </row>
    <row r="2637" spans="20:21" x14ac:dyDescent="0.3">
      <c r="T2637" t="str">
        <f>IF(ISERROR(MATCH('Analysis backend'!$M$1,E2637:N2637,0)),"",'Analysis backend'!$L$1)</f>
        <v/>
      </c>
      <c r="U2637" t="str">
        <f>IF(T2637='Analysis backend'!$L$1,IF(ISERROR(MATCH('Analysis backend'!$M$1,E2637:I2637,0)),"Dire","Radiant"),"")</f>
        <v/>
      </c>
    </row>
    <row r="2638" spans="20:21" x14ac:dyDescent="0.3">
      <c r="T2638" t="str">
        <f>IF(ISERROR(MATCH('Analysis backend'!$M$1,E2638:N2638,0)),"",'Analysis backend'!$L$1)</f>
        <v/>
      </c>
      <c r="U2638" t="str">
        <f>IF(T2638='Analysis backend'!$L$1,IF(ISERROR(MATCH('Analysis backend'!$M$1,E2638:I2638,0)),"Dire","Radiant"),"")</f>
        <v/>
      </c>
    </row>
    <row r="2639" spans="20:21" x14ac:dyDescent="0.3">
      <c r="T2639" t="str">
        <f>IF(ISERROR(MATCH('Analysis backend'!$M$1,E2639:N2639,0)),"",'Analysis backend'!$L$1)</f>
        <v/>
      </c>
      <c r="U2639" t="str">
        <f>IF(T2639='Analysis backend'!$L$1,IF(ISERROR(MATCH('Analysis backend'!$M$1,E2639:I2639,0)),"Dire","Radiant"),"")</f>
        <v/>
      </c>
    </row>
    <row r="2640" spans="20:21" x14ac:dyDescent="0.3">
      <c r="T2640" t="str">
        <f>IF(ISERROR(MATCH('Analysis backend'!$M$1,E2640:N2640,0)),"",'Analysis backend'!$L$1)</f>
        <v/>
      </c>
      <c r="U2640" t="str">
        <f>IF(T2640='Analysis backend'!$L$1,IF(ISERROR(MATCH('Analysis backend'!$M$1,E2640:I2640,0)),"Dire","Radiant"),"")</f>
        <v/>
      </c>
    </row>
    <row r="2641" spans="20:21" x14ac:dyDescent="0.3">
      <c r="T2641" t="str">
        <f>IF(ISERROR(MATCH('Analysis backend'!$M$1,E2641:N2641,0)),"",'Analysis backend'!$L$1)</f>
        <v/>
      </c>
      <c r="U2641" t="str">
        <f>IF(T2641='Analysis backend'!$L$1,IF(ISERROR(MATCH('Analysis backend'!$M$1,E2641:I2641,0)),"Dire","Radiant"),"")</f>
        <v/>
      </c>
    </row>
    <row r="2642" spans="20:21" x14ac:dyDescent="0.3">
      <c r="T2642" t="str">
        <f>IF(ISERROR(MATCH('Analysis backend'!$M$1,E2642:N2642,0)),"",'Analysis backend'!$L$1)</f>
        <v/>
      </c>
      <c r="U2642" t="str">
        <f>IF(T2642='Analysis backend'!$L$1,IF(ISERROR(MATCH('Analysis backend'!$M$1,E2642:I2642,0)),"Dire","Radiant"),"")</f>
        <v/>
      </c>
    </row>
    <row r="2643" spans="20:21" x14ac:dyDescent="0.3">
      <c r="T2643" t="str">
        <f>IF(ISERROR(MATCH('Analysis backend'!$M$1,E2643:N2643,0)),"",'Analysis backend'!$L$1)</f>
        <v/>
      </c>
      <c r="U2643" t="str">
        <f>IF(T2643='Analysis backend'!$L$1,IF(ISERROR(MATCH('Analysis backend'!$M$1,E2643:I2643,0)),"Dire","Radiant"),"")</f>
        <v/>
      </c>
    </row>
    <row r="2644" spans="20:21" x14ac:dyDescent="0.3">
      <c r="T2644" t="str">
        <f>IF(ISERROR(MATCH('Analysis backend'!$M$1,E2644:N2644,0)),"",'Analysis backend'!$L$1)</f>
        <v/>
      </c>
      <c r="U2644" t="str">
        <f>IF(T2644='Analysis backend'!$L$1,IF(ISERROR(MATCH('Analysis backend'!$M$1,E2644:I2644,0)),"Dire","Radiant"),"")</f>
        <v/>
      </c>
    </row>
    <row r="2645" spans="20:21" x14ac:dyDescent="0.3">
      <c r="T2645" t="str">
        <f>IF(ISERROR(MATCH('Analysis backend'!$M$1,E2645:N2645,0)),"",'Analysis backend'!$L$1)</f>
        <v/>
      </c>
      <c r="U2645" t="str">
        <f>IF(T2645='Analysis backend'!$L$1,IF(ISERROR(MATCH('Analysis backend'!$M$1,E2645:I2645,0)),"Dire","Radiant"),"")</f>
        <v/>
      </c>
    </row>
    <row r="2646" spans="20:21" x14ac:dyDescent="0.3">
      <c r="T2646" t="str">
        <f>IF(ISERROR(MATCH('Analysis backend'!$M$1,E2646:N2646,0)),"",'Analysis backend'!$L$1)</f>
        <v/>
      </c>
      <c r="U2646" t="str">
        <f>IF(T2646='Analysis backend'!$L$1,IF(ISERROR(MATCH('Analysis backend'!$M$1,E2646:I2646,0)),"Dire","Radiant"),"")</f>
        <v/>
      </c>
    </row>
    <row r="2647" spans="20:21" x14ac:dyDescent="0.3">
      <c r="T2647" t="str">
        <f>IF(ISERROR(MATCH('Analysis backend'!$M$1,E2647:N2647,0)),"",'Analysis backend'!$L$1)</f>
        <v/>
      </c>
      <c r="U2647" t="str">
        <f>IF(T2647='Analysis backend'!$L$1,IF(ISERROR(MATCH('Analysis backend'!$M$1,E2647:I2647,0)),"Dire","Radiant"),"")</f>
        <v/>
      </c>
    </row>
    <row r="2648" spans="20:21" x14ac:dyDescent="0.3">
      <c r="T2648" t="str">
        <f>IF(ISERROR(MATCH('Analysis backend'!$M$1,E2648:N2648,0)),"",'Analysis backend'!$L$1)</f>
        <v/>
      </c>
      <c r="U2648" t="str">
        <f>IF(T2648='Analysis backend'!$L$1,IF(ISERROR(MATCH('Analysis backend'!$M$1,E2648:I2648,0)),"Dire","Radiant"),"")</f>
        <v/>
      </c>
    </row>
    <row r="2649" spans="20:21" x14ac:dyDescent="0.3">
      <c r="T2649" t="str">
        <f>IF(ISERROR(MATCH('Analysis backend'!$M$1,E2649:N2649,0)),"",'Analysis backend'!$L$1)</f>
        <v/>
      </c>
      <c r="U2649" t="str">
        <f>IF(T2649='Analysis backend'!$L$1,IF(ISERROR(MATCH('Analysis backend'!$M$1,E2649:I2649,0)),"Dire","Radiant"),"")</f>
        <v/>
      </c>
    </row>
    <row r="2650" spans="20:21" x14ac:dyDescent="0.3">
      <c r="T2650" t="str">
        <f>IF(ISERROR(MATCH('Analysis backend'!$M$1,E2650:N2650,0)),"",'Analysis backend'!$L$1)</f>
        <v/>
      </c>
      <c r="U2650" t="str">
        <f>IF(T2650='Analysis backend'!$L$1,IF(ISERROR(MATCH('Analysis backend'!$M$1,E2650:I2650,0)),"Dire","Radiant"),"")</f>
        <v/>
      </c>
    </row>
    <row r="2651" spans="20:21" x14ac:dyDescent="0.3">
      <c r="T2651" t="str">
        <f>IF(ISERROR(MATCH('Analysis backend'!$M$1,E2651:N2651,0)),"",'Analysis backend'!$L$1)</f>
        <v/>
      </c>
      <c r="U2651" t="str">
        <f>IF(T2651='Analysis backend'!$L$1,IF(ISERROR(MATCH('Analysis backend'!$M$1,E2651:I2651,0)),"Dire","Radiant"),"")</f>
        <v/>
      </c>
    </row>
    <row r="2652" spans="20:21" x14ac:dyDescent="0.3">
      <c r="T2652" t="str">
        <f>IF(ISERROR(MATCH('Analysis backend'!$M$1,E2652:N2652,0)),"",'Analysis backend'!$L$1)</f>
        <v/>
      </c>
      <c r="U2652" t="str">
        <f>IF(T2652='Analysis backend'!$L$1,IF(ISERROR(MATCH('Analysis backend'!$M$1,E2652:I2652,0)),"Dire","Radiant"),"")</f>
        <v/>
      </c>
    </row>
    <row r="2653" spans="20:21" x14ac:dyDescent="0.3">
      <c r="T2653" t="str">
        <f>IF(ISERROR(MATCH('Analysis backend'!$M$1,E2653:N2653,0)),"",'Analysis backend'!$L$1)</f>
        <v/>
      </c>
      <c r="U2653" t="str">
        <f>IF(T2653='Analysis backend'!$L$1,IF(ISERROR(MATCH('Analysis backend'!$M$1,E2653:I2653,0)),"Dire","Radiant"),"")</f>
        <v/>
      </c>
    </row>
    <row r="2654" spans="20:21" x14ac:dyDescent="0.3">
      <c r="T2654" t="str">
        <f>IF(ISERROR(MATCH('Analysis backend'!$M$1,E2654:N2654,0)),"",'Analysis backend'!$L$1)</f>
        <v/>
      </c>
      <c r="U2654" t="str">
        <f>IF(T2654='Analysis backend'!$L$1,IF(ISERROR(MATCH('Analysis backend'!$M$1,E2654:I2654,0)),"Dire","Radiant"),"")</f>
        <v/>
      </c>
    </row>
    <row r="2655" spans="20:21" x14ac:dyDescent="0.3">
      <c r="T2655" t="str">
        <f>IF(ISERROR(MATCH('Analysis backend'!$M$1,E2655:N2655,0)),"",'Analysis backend'!$L$1)</f>
        <v/>
      </c>
      <c r="U2655" t="str">
        <f>IF(T2655='Analysis backend'!$L$1,IF(ISERROR(MATCH('Analysis backend'!$M$1,E2655:I2655,0)),"Dire","Radiant"),"")</f>
        <v/>
      </c>
    </row>
    <row r="2656" spans="20:21" x14ac:dyDescent="0.3">
      <c r="T2656" t="str">
        <f>IF(ISERROR(MATCH('Analysis backend'!$M$1,E2656:N2656,0)),"",'Analysis backend'!$L$1)</f>
        <v/>
      </c>
      <c r="U2656" t="str">
        <f>IF(T2656='Analysis backend'!$L$1,IF(ISERROR(MATCH('Analysis backend'!$M$1,E2656:I2656,0)),"Dire","Radiant"),"")</f>
        <v/>
      </c>
    </row>
    <row r="2657" spans="20:21" x14ac:dyDescent="0.3">
      <c r="T2657" t="str">
        <f>IF(ISERROR(MATCH('Analysis backend'!$M$1,E2657:N2657,0)),"",'Analysis backend'!$L$1)</f>
        <v/>
      </c>
      <c r="U2657" t="str">
        <f>IF(T2657='Analysis backend'!$L$1,IF(ISERROR(MATCH('Analysis backend'!$M$1,E2657:I2657,0)),"Dire","Radiant"),"")</f>
        <v/>
      </c>
    </row>
    <row r="2658" spans="20:21" x14ac:dyDescent="0.3">
      <c r="T2658" t="str">
        <f>IF(ISERROR(MATCH('Analysis backend'!$M$1,E2658:N2658,0)),"",'Analysis backend'!$L$1)</f>
        <v/>
      </c>
      <c r="U2658" t="str">
        <f>IF(T2658='Analysis backend'!$L$1,IF(ISERROR(MATCH('Analysis backend'!$M$1,E2658:I2658,0)),"Dire","Radiant"),"")</f>
        <v/>
      </c>
    </row>
    <row r="2659" spans="20:21" x14ac:dyDescent="0.3">
      <c r="T2659" t="str">
        <f>IF(ISERROR(MATCH('Analysis backend'!$M$1,E2659:N2659,0)),"",'Analysis backend'!$L$1)</f>
        <v/>
      </c>
      <c r="U2659" t="str">
        <f>IF(T2659='Analysis backend'!$L$1,IF(ISERROR(MATCH('Analysis backend'!$M$1,E2659:I2659,0)),"Dire","Radiant"),"")</f>
        <v/>
      </c>
    </row>
    <row r="2660" spans="20:21" x14ac:dyDescent="0.3">
      <c r="T2660" t="str">
        <f>IF(ISERROR(MATCH('Analysis backend'!$M$1,E2660:N2660,0)),"",'Analysis backend'!$L$1)</f>
        <v/>
      </c>
      <c r="U2660" t="str">
        <f>IF(T2660='Analysis backend'!$L$1,IF(ISERROR(MATCH('Analysis backend'!$M$1,E2660:I2660,0)),"Dire","Radiant"),"")</f>
        <v/>
      </c>
    </row>
    <row r="2661" spans="20:21" x14ac:dyDescent="0.3">
      <c r="T2661" t="str">
        <f>IF(ISERROR(MATCH('Analysis backend'!$M$1,E2661:N2661,0)),"",'Analysis backend'!$L$1)</f>
        <v/>
      </c>
      <c r="U2661" t="str">
        <f>IF(T2661='Analysis backend'!$L$1,IF(ISERROR(MATCH('Analysis backend'!$M$1,E2661:I2661,0)),"Dire","Radiant"),"")</f>
        <v/>
      </c>
    </row>
    <row r="2662" spans="20:21" x14ac:dyDescent="0.3">
      <c r="T2662" t="str">
        <f>IF(ISERROR(MATCH('Analysis backend'!$M$1,E2662:N2662,0)),"",'Analysis backend'!$L$1)</f>
        <v/>
      </c>
      <c r="U2662" t="str">
        <f>IF(T2662='Analysis backend'!$L$1,IF(ISERROR(MATCH('Analysis backend'!$M$1,E2662:I2662,0)),"Dire","Radiant"),"")</f>
        <v/>
      </c>
    </row>
    <row r="2663" spans="20:21" x14ac:dyDescent="0.3">
      <c r="T2663" t="str">
        <f>IF(ISERROR(MATCH('Analysis backend'!$M$1,E2663:N2663,0)),"",'Analysis backend'!$L$1)</f>
        <v/>
      </c>
      <c r="U2663" t="str">
        <f>IF(T2663='Analysis backend'!$L$1,IF(ISERROR(MATCH('Analysis backend'!$M$1,E2663:I2663,0)),"Dire","Radiant"),"")</f>
        <v/>
      </c>
    </row>
    <row r="2664" spans="20:21" x14ac:dyDescent="0.3">
      <c r="T2664" t="str">
        <f>IF(ISERROR(MATCH('Analysis backend'!$M$1,E2664:N2664,0)),"",'Analysis backend'!$L$1)</f>
        <v/>
      </c>
      <c r="U2664" t="str">
        <f>IF(T2664='Analysis backend'!$L$1,IF(ISERROR(MATCH('Analysis backend'!$M$1,E2664:I2664,0)),"Dire","Radiant"),"")</f>
        <v/>
      </c>
    </row>
    <row r="2665" spans="20:21" x14ac:dyDescent="0.3">
      <c r="T2665" t="str">
        <f>IF(ISERROR(MATCH('Analysis backend'!$M$1,E2665:N2665,0)),"",'Analysis backend'!$L$1)</f>
        <v/>
      </c>
      <c r="U2665" t="str">
        <f>IF(T2665='Analysis backend'!$L$1,IF(ISERROR(MATCH('Analysis backend'!$M$1,E2665:I2665,0)),"Dire","Radiant"),"")</f>
        <v/>
      </c>
    </row>
    <row r="2666" spans="20:21" x14ac:dyDescent="0.3">
      <c r="T2666" t="str">
        <f>IF(ISERROR(MATCH('Analysis backend'!$M$1,E2666:N2666,0)),"",'Analysis backend'!$L$1)</f>
        <v/>
      </c>
      <c r="U2666" t="str">
        <f>IF(T2666='Analysis backend'!$L$1,IF(ISERROR(MATCH('Analysis backend'!$M$1,E2666:I2666,0)),"Dire","Radiant"),"")</f>
        <v/>
      </c>
    </row>
    <row r="2667" spans="20:21" x14ac:dyDescent="0.3">
      <c r="T2667" t="str">
        <f>IF(ISERROR(MATCH('Analysis backend'!$M$1,E2667:N2667,0)),"",'Analysis backend'!$L$1)</f>
        <v/>
      </c>
      <c r="U2667" t="str">
        <f>IF(T2667='Analysis backend'!$L$1,IF(ISERROR(MATCH('Analysis backend'!$M$1,E2667:I2667,0)),"Dire","Radiant"),"")</f>
        <v/>
      </c>
    </row>
    <row r="2668" spans="20:21" x14ac:dyDescent="0.3">
      <c r="T2668" t="str">
        <f>IF(ISERROR(MATCH('Analysis backend'!$M$1,E2668:N2668,0)),"",'Analysis backend'!$L$1)</f>
        <v/>
      </c>
      <c r="U2668" t="str">
        <f>IF(T2668='Analysis backend'!$L$1,IF(ISERROR(MATCH('Analysis backend'!$M$1,E2668:I2668,0)),"Dire","Radiant"),"")</f>
        <v/>
      </c>
    </row>
    <row r="2669" spans="20:21" x14ac:dyDescent="0.3">
      <c r="T2669" t="str">
        <f>IF(ISERROR(MATCH('Analysis backend'!$M$1,E2669:N2669,0)),"",'Analysis backend'!$L$1)</f>
        <v/>
      </c>
      <c r="U2669" t="str">
        <f>IF(T2669='Analysis backend'!$L$1,IF(ISERROR(MATCH('Analysis backend'!$M$1,E2669:I2669,0)),"Dire","Radiant"),"")</f>
        <v/>
      </c>
    </row>
    <row r="2670" spans="20:21" x14ac:dyDescent="0.3">
      <c r="T2670" t="str">
        <f>IF(ISERROR(MATCH('Analysis backend'!$M$1,E2670:N2670,0)),"",'Analysis backend'!$L$1)</f>
        <v/>
      </c>
      <c r="U2670" t="str">
        <f>IF(T2670='Analysis backend'!$L$1,IF(ISERROR(MATCH('Analysis backend'!$M$1,E2670:I2670,0)),"Dire","Radiant"),"")</f>
        <v/>
      </c>
    </row>
    <row r="2671" spans="20:21" x14ac:dyDescent="0.3">
      <c r="T2671" t="str">
        <f>IF(ISERROR(MATCH('Analysis backend'!$M$1,E2671:N2671,0)),"",'Analysis backend'!$L$1)</f>
        <v/>
      </c>
      <c r="U2671" t="str">
        <f>IF(T2671='Analysis backend'!$L$1,IF(ISERROR(MATCH('Analysis backend'!$M$1,E2671:I2671,0)),"Dire","Radiant"),"")</f>
        <v/>
      </c>
    </row>
    <row r="2672" spans="20:21" x14ac:dyDescent="0.3">
      <c r="T2672" t="str">
        <f>IF(ISERROR(MATCH('Analysis backend'!$M$1,E2672:N2672,0)),"",'Analysis backend'!$L$1)</f>
        <v/>
      </c>
      <c r="U2672" t="str">
        <f>IF(T2672='Analysis backend'!$L$1,IF(ISERROR(MATCH('Analysis backend'!$M$1,E2672:I2672,0)),"Dire","Radiant"),"")</f>
        <v/>
      </c>
    </row>
    <row r="2673" spans="20:21" x14ac:dyDescent="0.3">
      <c r="T2673" t="str">
        <f>IF(ISERROR(MATCH('Analysis backend'!$M$1,E2673:N2673,0)),"",'Analysis backend'!$L$1)</f>
        <v/>
      </c>
      <c r="U2673" t="str">
        <f>IF(T2673='Analysis backend'!$L$1,IF(ISERROR(MATCH('Analysis backend'!$M$1,E2673:I2673,0)),"Dire","Radiant"),"")</f>
        <v/>
      </c>
    </row>
    <row r="2674" spans="20:21" x14ac:dyDescent="0.3">
      <c r="T2674" t="str">
        <f>IF(ISERROR(MATCH('Analysis backend'!$M$1,E2674:N2674,0)),"",'Analysis backend'!$L$1)</f>
        <v/>
      </c>
      <c r="U2674" t="str">
        <f>IF(T2674='Analysis backend'!$L$1,IF(ISERROR(MATCH('Analysis backend'!$M$1,E2674:I2674,0)),"Dire","Radiant"),"")</f>
        <v/>
      </c>
    </row>
    <row r="2675" spans="20:21" x14ac:dyDescent="0.3">
      <c r="T2675" t="str">
        <f>IF(ISERROR(MATCH('Analysis backend'!$M$1,E2675:N2675,0)),"",'Analysis backend'!$L$1)</f>
        <v/>
      </c>
      <c r="U2675" t="str">
        <f>IF(T2675='Analysis backend'!$L$1,IF(ISERROR(MATCH('Analysis backend'!$M$1,E2675:I2675,0)),"Dire","Radiant"),"")</f>
        <v/>
      </c>
    </row>
    <row r="2676" spans="20:21" x14ac:dyDescent="0.3">
      <c r="T2676" t="str">
        <f>IF(ISERROR(MATCH('Analysis backend'!$M$1,E2676:N2676,0)),"",'Analysis backend'!$L$1)</f>
        <v/>
      </c>
      <c r="U2676" t="str">
        <f>IF(T2676='Analysis backend'!$L$1,IF(ISERROR(MATCH('Analysis backend'!$M$1,E2676:I2676,0)),"Dire","Radiant"),"")</f>
        <v/>
      </c>
    </row>
    <row r="2677" spans="20:21" x14ac:dyDescent="0.3">
      <c r="T2677" t="str">
        <f>IF(ISERROR(MATCH('Analysis backend'!$M$1,E2677:N2677,0)),"",'Analysis backend'!$L$1)</f>
        <v/>
      </c>
      <c r="U2677" t="str">
        <f>IF(T2677='Analysis backend'!$L$1,IF(ISERROR(MATCH('Analysis backend'!$M$1,E2677:I2677,0)),"Dire","Radiant"),"")</f>
        <v/>
      </c>
    </row>
    <row r="2678" spans="20:21" x14ac:dyDescent="0.3">
      <c r="T2678" t="str">
        <f>IF(ISERROR(MATCH('Analysis backend'!$M$1,E2678:N2678,0)),"",'Analysis backend'!$L$1)</f>
        <v/>
      </c>
      <c r="U2678" t="str">
        <f>IF(T2678='Analysis backend'!$L$1,IF(ISERROR(MATCH('Analysis backend'!$M$1,E2678:I2678,0)),"Dire","Radiant"),"")</f>
        <v/>
      </c>
    </row>
    <row r="2679" spans="20:21" x14ac:dyDescent="0.3">
      <c r="T2679" t="str">
        <f>IF(ISERROR(MATCH('Analysis backend'!$M$1,E2679:N2679,0)),"",'Analysis backend'!$L$1)</f>
        <v/>
      </c>
      <c r="U2679" t="str">
        <f>IF(T2679='Analysis backend'!$L$1,IF(ISERROR(MATCH('Analysis backend'!$M$1,E2679:I2679,0)),"Dire","Radiant"),"")</f>
        <v/>
      </c>
    </row>
    <row r="2680" spans="20:21" x14ac:dyDescent="0.3">
      <c r="T2680" t="str">
        <f>IF(ISERROR(MATCH('Analysis backend'!$M$1,E2680:N2680,0)),"",'Analysis backend'!$L$1)</f>
        <v/>
      </c>
      <c r="U2680" t="str">
        <f>IF(T2680='Analysis backend'!$L$1,IF(ISERROR(MATCH('Analysis backend'!$M$1,E2680:I2680,0)),"Dire","Radiant"),"")</f>
        <v/>
      </c>
    </row>
    <row r="2681" spans="20:21" x14ac:dyDescent="0.3">
      <c r="T2681" t="str">
        <f>IF(ISERROR(MATCH('Analysis backend'!$M$1,E2681:N2681,0)),"",'Analysis backend'!$L$1)</f>
        <v/>
      </c>
      <c r="U2681" t="str">
        <f>IF(T2681='Analysis backend'!$L$1,IF(ISERROR(MATCH('Analysis backend'!$M$1,E2681:I2681,0)),"Dire","Radiant"),"")</f>
        <v/>
      </c>
    </row>
    <row r="2682" spans="20:21" x14ac:dyDescent="0.3">
      <c r="T2682" t="str">
        <f>IF(ISERROR(MATCH('Analysis backend'!$M$1,E2682:N2682,0)),"",'Analysis backend'!$L$1)</f>
        <v/>
      </c>
      <c r="U2682" t="str">
        <f>IF(T2682='Analysis backend'!$L$1,IF(ISERROR(MATCH('Analysis backend'!$M$1,E2682:I2682,0)),"Dire","Radiant"),"")</f>
        <v/>
      </c>
    </row>
    <row r="2683" spans="20:21" x14ac:dyDescent="0.3">
      <c r="T2683" t="str">
        <f>IF(ISERROR(MATCH('Analysis backend'!$M$1,E2683:N2683,0)),"",'Analysis backend'!$L$1)</f>
        <v/>
      </c>
      <c r="U2683" t="str">
        <f>IF(T2683='Analysis backend'!$L$1,IF(ISERROR(MATCH('Analysis backend'!$M$1,E2683:I2683,0)),"Dire","Radiant"),"")</f>
        <v/>
      </c>
    </row>
    <row r="2684" spans="20:21" x14ac:dyDescent="0.3">
      <c r="T2684" t="str">
        <f>IF(ISERROR(MATCH('Analysis backend'!$M$1,E2684:N2684,0)),"",'Analysis backend'!$L$1)</f>
        <v/>
      </c>
      <c r="U2684" t="str">
        <f>IF(T2684='Analysis backend'!$L$1,IF(ISERROR(MATCH('Analysis backend'!$M$1,E2684:I2684,0)),"Dire","Radiant"),"")</f>
        <v/>
      </c>
    </row>
    <row r="2685" spans="20:21" x14ac:dyDescent="0.3">
      <c r="T2685" t="str">
        <f>IF(ISERROR(MATCH('Analysis backend'!$M$1,E2685:N2685,0)),"",'Analysis backend'!$L$1)</f>
        <v/>
      </c>
      <c r="U2685" t="str">
        <f>IF(T2685='Analysis backend'!$L$1,IF(ISERROR(MATCH('Analysis backend'!$M$1,E2685:I2685,0)),"Dire","Radiant"),"")</f>
        <v/>
      </c>
    </row>
    <row r="2686" spans="20:21" x14ac:dyDescent="0.3">
      <c r="T2686" t="str">
        <f>IF(ISERROR(MATCH('Analysis backend'!$M$1,E2686:N2686,0)),"",'Analysis backend'!$L$1)</f>
        <v/>
      </c>
      <c r="U2686" t="str">
        <f>IF(T2686='Analysis backend'!$L$1,IF(ISERROR(MATCH('Analysis backend'!$M$1,E2686:I2686,0)),"Dire","Radiant"),"")</f>
        <v/>
      </c>
    </row>
    <row r="2687" spans="20:21" x14ac:dyDescent="0.3">
      <c r="T2687" t="str">
        <f>IF(ISERROR(MATCH('Analysis backend'!$M$1,E2687:N2687,0)),"",'Analysis backend'!$L$1)</f>
        <v/>
      </c>
      <c r="U2687" t="str">
        <f>IF(T2687='Analysis backend'!$L$1,IF(ISERROR(MATCH('Analysis backend'!$M$1,E2687:I2687,0)),"Dire","Radiant"),"")</f>
        <v/>
      </c>
    </row>
    <row r="2688" spans="20:21" x14ac:dyDescent="0.3">
      <c r="T2688" t="str">
        <f>IF(ISERROR(MATCH('Analysis backend'!$M$1,E2688:N2688,0)),"",'Analysis backend'!$L$1)</f>
        <v/>
      </c>
      <c r="U2688" t="str">
        <f>IF(T2688='Analysis backend'!$L$1,IF(ISERROR(MATCH('Analysis backend'!$M$1,E2688:I2688,0)),"Dire","Radiant"),"")</f>
        <v/>
      </c>
    </row>
    <row r="2689" spans="20:21" x14ac:dyDescent="0.3">
      <c r="T2689" t="str">
        <f>IF(ISERROR(MATCH('Analysis backend'!$M$1,E2689:N2689,0)),"",'Analysis backend'!$L$1)</f>
        <v/>
      </c>
      <c r="U2689" t="str">
        <f>IF(T2689='Analysis backend'!$L$1,IF(ISERROR(MATCH('Analysis backend'!$M$1,E2689:I2689,0)),"Dire","Radiant"),"")</f>
        <v/>
      </c>
    </row>
    <row r="2690" spans="20:21" x14ac:dyDescent="0.3">
      <c r="T2690" t="str">
        <f>IF(ISERROR(MATCH('Analysis backend'!$M$1,E2690:N2690,0)),"",'Analysis backend'!$L$1)</f>
        <v/>
      </c>
      <c r="U2690" t="str">
        <f>IF(T2690='Analysis backend'!$L$1,IF(ISERROR(MATCH('Analysis backend'!$M$1,E2690:I2690,0)),"Dire","Radiant"),"")</f>
        <v/>
      </c>
    </row>
    <row r="2691" spans="20:21" x14ac:dyDescent="0.3">
      <c r="T2691" t="str">
        <f>IF(ISERROR(MATCH('Analysis backend'!$M$1,E2691:N2691,0)),"",'Analysis backend'!$L$1)</f>
        <v/>
      </c>
      <c r="U2691" t="str">
        <f>IF(T2691='Analysis backend'!$L$1,IF(ISERROR(MATCH('Analysis backend'!$M$1,E2691:I2691,0)),"Dire","Radiant"),"")</f>
        <v/>
      </c>
    </row>
    <row r="2692" spans="20:21" x14ac:dyDescent="0.3">
      <c r="T2692" t="str">
        <f>IF(ISERROR(MATCH('Analysis backend'!$M$1,E2692:N2692,0)),"",'Analysis backend'!$L$1)</f>
        <v/>
      </c>
      <c r="U2692" t="str">
        <f>IF(T2692='Analysis backend'!$L$1,IF(ISERROR(MATCH('Analysis backend'!$M$1,E2692:I2692,0)),"Dire","Radiant"),"")</f>
        <v/>
      </c>
    </row>
    <row r="2693" spans="20:21" x14ac:dyDescent="0.3">
      <c r="T2693" t="str">
        <f>IF(ISERROR(MATCH('Analysis backend'!$M$1,E2693:N2693,0)),"",'Analysis backend'!$L$1)</f>
        <v/>
      </c>
      <c r="U2693" t="str">
        <f>IF(T2693='Analysis backend'!$L$1,IF(ISERROR(MATCH('Analysis backend'!$M$1,E2693:I2693,0)),"Dire","Radiant"),"")</f>
        <v/>
      </c>
    </row>
    <row r="2694" spans="20:21" x14ac:dyDescent="0.3">
      <c r="T2694" t="str">
        <f>IF(ISERROR(MATCH('Analysis backend'!$M$1,E2694:N2694,0)),"",'Analysis backend'!$L$1)</f>
        <v/>
      </c>
      <c r="U2694" t="str">
        <f>IF(T2694='Analysis backend'!$L$1,IF(ISERROR(MATCH('Analysis backend'!$M$1,E2694:I2694,0)),"Dire","Radiant"),"")</f>
        <v/>
      </c>
    </row>
    <row r="2695" spans="20:21" x14ac:dyDescent="0.3">
      <c r="T2695" t="str">
        <f>IF(ISERROR(MATCH('Analysis backend'!$M$1,E2695:N2695,0)),"",'Analysis backend'!$L$1)</f>
        <v/>
      </c>
      <c r="U2695" t="str">
        <f>IF(T2695='Analysis backend'!$L$1,IF(ISERROR(MATCH('Analysis backend'!$M$1,E2695:I2695,0)),"Dire","Radiant"),"")</f>
        <v/>
      </c>
    </row>
    <row r="2696" spans="20:21" x14ac:dyDescent="0.3">
      <c r="T2696" t="str">
        <f>IF(ISERROR(MATCH('Analysis backend'!$M$1,E2696:N2696,0)),"",'Analysis backend'!$L$1)</f>
        <v/>
      </c>
      <c r="U2696" t="str">
        <f>IF(T2696='Analysis backend'!$L$1,IF(ISERROR(MATCH('Analysis backend'!$M$1,E2696:I2696,0)),"Dire","Radiant"),"")</f>
        <v/>
      </c>
    </row>
    <row r="2697" spans="20:21" x14ac:dyDescent="0.3">
      <c r="T2697" t="str">
        <f>IF(ISERROR(MATCH('Analysis backend'!$M$1,E2697:N2697,0)),"",'Analysis backend'!$L$1)</f>
        <v/>
      </c>
      <c r="U2697" t="str">
        <f>IF(T2697='Analysis backend'!$L$1,IF(ISERROR(MATCH('Analysis backend'!$M$1,E2697:I2697,0)),"Dire","Radiant"),"")</f>
        <v/>
      </c>
    </row>
    <row r="2698" spans="20:21" x14ac:dyDescent="0.3">
      <c r="T2698" t="str">
        <f>IF(ISERROR(MATCH('Analysis backend'!$M$1,E2698:N2698,0)),"",'Analysis backend'!$L$1)</f>
        <v/>
      </c>
      <c r="U2698" t="str">
        <f>IF(T2698='Analysis backend'!$L$1,IF(ISERROR(MATCH('Analysis backend'!$M$1,E2698:I2698,0)),"Dire","Radiant"),"")</f>
        <v/>
      </c>
    </row>
    <row r="2699" spans="20:21" x14ac:dyDescent="0.3">
      <c r="T2699" t="str">
        <f>IF(ISERROR(MATCH('Analysis backend'!$M$1,E2699:N2699,0)),"",'Analysis backend'!$L$1)</f>
        <v/>
      </c>
      <c r="U2699" t="str">
        <f>IF(T2699='Analysis backend'!$L$1,IF(ISERROR(MATCH('Analysis backend'!$M$1,E2699:I2699,0)),"Dire","Radiant"),"")</f>
        <v/>
      </c>
    </row>
    <row r="2700" spans="20:21" x14ac:dyDescent="0.3">
      <c r="T2700" t="str">
        <f>IF(ISERROR(MATCH('Analysis backend'!$M$1,E2700:N2700,0)),"",'Analysis backend'!$L$1)</f>
        <v/>
      </c>
      <c r="U2700" t="str">
        <f>IF(T2700='Analysis backend'!$L$1,IF(ISERROR(MATCH('Analysis backend'!$M$1,E2700:I2700,0)),"Dire","Radiant"),"")</f>
        <v/>
      </c>
    </row>
    <row r="2701" spans="20:21" x14ac:dyDescent="0.3">
      <c r="T2701" t="str">
        <f>IF(ISERROR(MATCH('Analysis backend'!$M$1,E2701:N2701,0)),"",'Analysis backend'!$L$1)</f>
        <v/>
      </c>
      <c r="U2701" t="str">
        <f>IF(T2701='Analysis backend'!$L$1,IF(ISERROR(MATCH('Analysis backend'!$M$1,E2701:I2701,0)),"Dire","Radiant"),"")</f>
        <v/>
      </c>
    </row>
    <row r="2702" spans="20:21" x14ac:dyDescent="0.3">
      <c r="T2702" t="str">
        <f>IF(ISERROR(MATCH('Analysis backend'!$M$1,E2702:N2702,0)),"",'Analysis backend'!$L$1)</f>
        <v/>
      </c>
      <c r="U2702" t="str">
        <f>IF(T2702='Analysis backend'!$L$1,IF(ISERROR(MATCH('Analysis backend'!$M$1,E2702:I2702,0)),"Dire","Radiant"),"")</f>
        <v/>
      </c>
    </row>
    <row r="2703" spans="20:21" x14ac:dyDescent="0.3">
      <c r="T2703" t="str">
        <f>IF(ISERROR(MATCH('Analysis backend'!$M$1,E2703:N2703,0)),"",'Analysis backend'!$L$1)</f>
        <v/>
      </c>
      <c r="U2703" t="str">
        <f>IF(T2703='Analysis backend'!$L$1,IF(ISERROR(MATCH('Analysis backend'!$M$1,E2703:I2703,0)),"Dire","Radiant"),"")</f>
        <v/>
      </c>
    </row>
    <row r="2704" spans="20:21" x14ac:dyDescent="0.3">
      <c r="T2704" t="str">
        <f>IF(ISERROR(MATCH('Analysis backend'!$M$1,E2704:N2704,0)),"",'Analysis backend'!$L$1)</f>
        <v/>
      </c>
      <c r="U2704" t="str">
        <f>IF(T2704='Analysis backend'!$L$1,IF(ISERROR(MATCH('Analysis backend'!$M$1,E2704:I2704,0)),"Dire","Radiant"),"")</f>
        <v/>
      </c>
    </row>
    <row r="2705" spans="20:21" x14ac:dyDescent="0.3">
      <c r="T2705" t="str">
        <f>IF(ISERROR(MATCH('Analysis backend'!$M$1,E2705:N2705,0)),"",'Analysis backend'!$L$1)</f>
        <v/>
      </c>
      <c r="U2705" t="str">
        <f>IF(T2705='Analysis backend'!$L$1,IF(ISERROR(MATCH('Analysis backend'!$M$1,E2705:I2705,0)),"Dire","Radiant"),"")</f>
        <v/>
      </c>
    </row>
    <row r="2706" spans="20:21" x14ac:dyDescent="0.3">
      <c r="T2706" t="str">
        <f>IF(ISERROR(MATCH('Analysis backend'!$M$1,E2706:N2706,0)),"",'Analysis backend'!$L$1)</f>
        <v/>
      </c>
      <c r="U2706" t="str">
        <f>IF(T2706='Analysis backend'!$L$1,IF(ISERROR(MATCH('Analysis backend'!$M$1,E2706:I2706,0)),"Dire","Radiant"),"")</f>
        <v/>
      </c>
    </row>
    <row r="2707" spans="20:21" x14ac:dyDescent="0.3">
      <c r="T2707" t="str">
        <f>IF(ISERROR(MATCH('Analysis backend'!$M$1,E2707:N2707,0)),"",'Analysis backend'!$L$1)</f>
        <v/>
      </c>
      <c r="U2707" t="str">
        <f>IF(T2707='Analysis backend'!$L$1,IF(ISERROR(MATCH('Analysis backend'!$M$1,E2707:I2707,0)),"Dire","Radiant"),"")</f>
        <v/>
      </c>
    </row>
    <row r="2708" spans="20:21" x14ac:dyDescent="0.3">
      <c r="T2708" t="str">
        <f>IF(ISERROR(MATCH('Analysis backend'!$M$1,E2708:N2708,0)),"",'Analysis backend'!$L$1)</f>
        <v/>
      </c>
      <c r="U2708" t="str">
        <f>IF(T2708='Analysis backend'!$L$1,IF(ISERROR(MATCH('Analysis backend'!$M$1,E2708:I2708,0)),"Dire","Radiant"),"")</f>
        <v/>
      </c>
    </row>
    <row r="2709" spans="20:21" x14ac:dyDescent="0.3">
      <c r="T2709" t="str">
        <f>IF(ISERROR(MATCH('Analysis backend'!$M$1,E2709:N2709,0)),"",'Analysis backend'!$L$1)</f>
        <v/>
      </c>
      <c r="U2709" t="str">
        <f>IF(T2709='Analysis backend'!$L$1,IF(ISERROR(MATCH('Analysis backend'!$M$1,E2709:I2709,0)),"Dire","Radiant"),"")</f>
        <v/>
      </c>
    </row>
    <row r="2710" spans="20:21" x14ac:dyDescent="0.3">
      <c r="T2710" t="str">
        <f>IF(ISERROR(MATCH('Analysis backend'!$M$1,E2710:N2710,0)),"",'Analysis backend'!$L$1)</f>
        <v/>
      </c>
      <c r="U2710" t="str">
        <f>IF(T2710='Analysis backend'!$L$1,IF(ISERROR(MATCH('Analysis backend'!$M$1,E2710:I2710,0)),"Dire","Radiant"),"")</f>
        <v/>
      </c>
    </row>
    <row r="2711" spans="20:21" x14ac:dyDescent="0.3">
      <c r="T2711" t="str">
        <f>IF(ISERROR(MATCH('Analysis backend'!$M$1,E2711:N2711,0)),"",'Analysis backend'!$L$1)</f>
        <v/>
      </c>
      <c r="U2711" t="str">
        <f>IF(T2711='Analysis backend'!$L$1,IF(ISERROR(MATCH('Analysis backend'!$M$1,E2711:I2711,0)),"Dire","Radiant"),"")</f>
        <v/>
      </c>
    </row>
    <row r="2712" spans="20:21" x14ac:dyDescent="0.3">
      <c r="T2712" t="str">
        <f>IF(ISERROR(MATCH('Analysis backend'!$M$1,E2712:N2712,0)),"",'Analysis backend'!$L$1)</f>
        <v/>
      </c>
      <c r="U2712" t="str">
        <f>IF(T2712='Analysis backend'!$L$1,IF(ISERROR(MATCH('Analysis backend'!$M$1,E2712:I2712,0)),"Dire","Radiant"),"")</f>
        <v/>
      </c>
    </row>
    <row r="2713" spans="20:21" x14ac:dyDescent="0.3">
      <c r="T2713" t="str">
        <f>IF(ISERROR(MATCH('Analysis backend'!$M$1,E2713:N2713,0)),"",'Analysis backend'!$L$1)</f>
        <v/>
      </c>
      <c r="U2713" t="str">
        <f>IF(T2713='Analysis backend'!$L$1,IF(ISERROR(MATCH('Analysis backend'!$M$1,E2713:I2713,0)),"Dire","Radiant"),"")</f>
        <v/>
      </c>
    </row>
    <row r="2714" spans="20:21" x14ac:dyDescent="0.3">
      <c r="T2714" t="str">
        <f>IF(ISERROR(MATCH('Analysis backend'!$M$1,E2714:N2714,0)),"",'Analysis backend'!$L$1)</f>
        <v/>
      </c>
      <c r="U2714" t="str">
        <f>IF(T2714='Analysis backend'!$L$1,IF(ISERROR(MATCH('Analysis backend'!$M$1,E2714:I2714,0)),"Dire","Radiant"),"")</f>
        <v/>
      </c>
    </row>
    <row r="2715" spans="20:21" x14ac:dyDescent="0.3">
      <c r="T2715" t="str">
        <f>IF(ISERROR(MATCH('Analysis backend'!$M$1,E2715:N2715,0)),"",'Analysis backend'!$L$1)</f>
        <v/>
      </c>
      <c r="U2715" t="str">
        <f>IF(T2715='Analysis backend'!$L$1,IF(ISERROR(MATCH('Analysis backend'!$M$1,E2715:I2715,0)),"Dire","Radiant"),"")</f>
        <v/>
      </c>
    </row>
    <row r="2716" spans="20:21" x14ac:dyDescent="0.3">
      <c r="T2716" t="str">
        <f>IF(ISERROR(MATCH('Analysis backend'!$M$1,E2716:N2716,0)),"",'Analysis backend'!$L$1)</f>
        <v/>
      </c>
      <c r="U2716" t="str">
        <f>IF(T2716='Analysis backend'!$L$1,IF(ISERROR(MATCH('Analysis backend'!$M$1,E2716:I2716,0)),"Dire","Radiant"),"")</f>
        <v/>
      </c>
    </row>
    <row r="2717" spans="20:21" x14ac:dyDescent="0.3">
      <c r="T2717" t="str">
        <f>IF(ISERROR(MATCH('Analysis backend'!$M$1,E2717:N2717,0)),"",'Analysis backend'!$L$1)</f>
        <v/>
      </c>
      <c r="U2717" t="str">
        <f>IF(T2717='Analysis backend'!$L$1,IF(ISERROR(MATCH('Analysis backend'!$M$1,E2717:I2717,0)),"Dire","Radiant"),"")</f>
        <v/>
      </c>
    </row>
    <row r="2718" spans="20:21" x14ac:dyDescent="0.3">
      <c r="T2718" t="str">
        <f>IF(ISERROR(MATCH('Analysis backend'!$M$1,E2718:N2718,0)),"",'Analysis backend'!$L$1)</f>
        <v/>
      </c>
      <c r="U2718" t="str">
        <f>IF(T2718='Analysis backend'!$L$1,IF(ISERROR(MATCH('Analysis backend'!$M$1,E2718:I2718,0)),"Dire","Radiant"),"")</f>
        <v/>
      </c>
    </row>
    <row r="2719" spans="20:21" x14ac:dyDescent="0.3">
      <c r="T2719" t="str">
        <f>IF(ISERROR(MATCH('Analysis backend'!$M$1,E2719:N2719,0)),"",'Analysis backend'!$L$1)</f>
        <v/>
      </c>
      <c r="U2719" t="str">
        <f>IF(T2719='Analysis backend'!$L$1,IF(ISERROR(MATCH('Analysis backend'!$M$1,E2719:I2719,0)),"Dire","Radiant"),"")</f>
        <v/>
      </c>
    </row>
    <row r="2720" spans="20:21" x14ac:dyDescent="0.3">
      <c r="T2720" t="str">
        <f>IF(ISERROR(MATCH('Analysis backend'!$M$1,E2720:N2720,0)),"",'Analysis backend'!$L$1)</f>
        <v/>
      </c>
      <c r="U2720" t="str">
        <f>IF(T2720='Analysis backend'!$L$1,IF(ISERROR(MATCH('Analysis backend'!$M$1,E2720:I2720,0)),"Dire","Radiant"),"")</f>
        <v/>
      </c>
    </row>
    <row r="2721" spans="20:21" x14ac:dyDescent="0.3">
      <c r="T2721" t="str">
        <f>IF(ISERROR(MATCH('Analysis backend'!$M$1,E2721:N2721,0)),"",'Analysis backend'!$L$1)</f>
        <v/>
      </c>
      <c r="U2721" t="str">
        <f>IF(T2721='Analysis backend'!$L$1,IF(ISERROR(MATCH('Analysis backend'!$M$1,E2721:I2721,0)),"Dire","Radiant"),"")</f>
        <v/>
      </c>
    </row>
    <row r="2722" spans="20:21" x14ac:dyDescent="0.3">
      <c r="T2722" t="str">
        <f>IF(ISERROR(MATCH('Analysis backend'!$M$1,E2722:N2722,0)),"",'Analysis backend'!$L$1)</f>
        <v/>
      </c>
      <c r="U2722" t="str">
        <f>IF(T2722='Analysis backend'!$L$1,IF(ISERROR(MATCH('Analysis backend'!$M$1,E2722:I2722,0)),"Dire","Radiant"),"")</f>
        <v/>
      </c>
    </row>
    <row r="2723" spans="20:21" x14ac:dyDescent="0.3">
      <c r="T2723" t="str">
        <f>IF(ISERROR(MATCH('Analysis backend'!$M$1,E2723:N2723,0)),"",'Analysis backend'!$L$1)</f>
        <v/>
      </c>
      <c r="U2723" t="str">
        <f>IF(T2723='Analysis backend'!$L$1,IF(ISERROR(MATCH('Analysis backend'!$M$1,E2723:I2723,0)),"Dire","Radiant"),"")</f>
        <v/>
      </c>
    </row>
    <row r="2724" spans="20:21" x14ac:dyDescent="0.3">
      <c r="T2724" t="str">
        <f>IF(ISERROR(MATCH('Analysis backend'!$M$1,E2724:N2724,0)),"",'Analysis backend'!$L$1)</f>
        <v/>
      </c>
      <c r="U2724" t="str">
        <f>IF(T2724='Analysis backend'!$L$1,IF(ISERROR(MATCH('Analysis backend'!$M$1,E2724:I2724,0)),"Dire","Radiant"),"")</f>
        <v/>
      </c>
    </row>
    <row r="2725" spans="20:21" x14ac:dyDescent="0.3">
      <c r="T2725" t="str">
        <f>IF(ISERROR(MATCH('Analysis backend'!$M$1,E2725:N2725,0)),"",'Analysis backend'!$L$1)</f>
        <v/>
      </c>
      <c r="U2725" t="str">
        <f>IF(T2725='Analysis backend'!$L$1,IF(ISERROR(MATCH('Analysis backend'!$M$1,E2725:I2725,0)),"Dire","Radiant"),"")</f>
        <v/>
      </c>
    </row>
    <row r="2726" spans="20:21" x14ac:dyDescent="0.3">
      <c r="T2726" t="str">
        <f>IF(ISERROR(MATCH('Analysis backend'!$M$1,E2726:N2726,0)),"",'Analysis backend'!$L$1)</f>
        <v/>
      </c>
      <c r="U2726" t="str">
        <f>IF(T2726='Analysis backend'!$L$1,IF(ISERROR(MATCH('Analysis backend'!$M$1,E2726:I2726,0)),"Dire","Radiant"),"")</f>
        <v/>
      </c>
    </row>
    <row r="2727" spans="20:21" x14ac:dyDescent="0.3">
      <c r="T2727" t="str">
        <f>IF(ISERROR(MATCH('Analysis backend'!$M$1,E2727:N2727,0)),"",'Analysis backend'!$L$1)</f>
        <v/>
      </c>
      <c r="U2727" t="str">
        <f>IF(T2727='Analysis backend'!$L$1,IF(ISERROR(MATCH('Analysis backend'!$M$1,E2727:I2727,0)),"Dire","Radiant"),"")</f>
        <v/>
      </c>
    </row>
    <row r="2728" spans="20:21" x14ac:dyDescent="0.3">
      <c r="T2728" t="str">
        <f>IF(ISERROR(MATCH('Analysis backend'!$M$1,E2728:N2728,0)),"",'Analysis backend'!$L$1)</f>
        <v/>
      </c>
      <c r="U2728" t="str">
        <f>IF(T2728='Analysis backend'!$L$1,IF(ISERROR(MATCH('Analysis backend'!$M$1,E2728:I2728,0)),"Dire","Radiant"),"")</f>
        <v/>
      </c>
    </row>
    <row r="2729" spans="20:21" x14ac:dyDescent="0.3">
      <c r="T2729" t="str">
        <f>IF(ISERROR(MATCH('Analysis backend'!$M$1,E2729:N2729,0)),"",'Analysis backend'!$L$1)</f>
        <v/>
      </c>
      <c r="U2729" t="str">
        <f>IF(T2729='Analysis backend'!$L$1,IF(ISERROR(MATCH('Analysis backend'!$M$1,E2729:I2729,0)),"Dire","Radiant"),"")</f>
        <v/>
      </c>
    </row>
    <row r="2730" spans="20:21" x14ac:dyDescent="0.3">
      <c r="T2730" t="str">
        <f>IF(ISERROR(MATCH('Analysis backend'!$M$1,E2730:N2730,0)),"",'Analysis backend'!$L$1)</f>
        <v/>
      </c>
      <c r="U2730" t="str">
        <f>IF(T2730='Analysis backend'!$L$1,IF(ISERROR(MATCH('Analysis backend'!$M$1,E2730:I2730,0)),"Dire","Radiant"),"")</f>
        <v/>
      </c>
    </row>
    <row r="2731" spans="20:21" x14ac:dyDescent="0.3">
      <c r="T2731" t="str">
        <f>IF(ISERROR(MATCH('Analysis backend'!$M$1,E2731:N2731,0)),"",'Analysis backend'!$L$1)</f>
        <v/>
      </c>
      <c r="U2731" t="str">
        <f>IF(T2731='Analysis backend'!$L$1,IF(ISERROR(MATCH('Analysis backend'!$M$1,E2731:I2731,0)),"Dire","Radiant"),"")</f>
        <v/>
      </c>
    </row>
    <row r="2732" spans="20:21" x14ac:dyDescent="0.3">
      <c r="T2732" t="str">
        <f>IF(ISERROR(MATCH('Analysis backend'!$M$1,E2732:N2732,0)),"",'Analysis backend'!$L$1)</f>
        <v/>
      </c>
      <c r="U2732" t="str">
        <f>IF(T2732='Analysis backend'!$L$1,IF(ISERROR(MATCH('Analysis backend'!$M$1,E2732:I2732,0)),"Dire","Radiant"),"")</f>
        <v/>
      </c>
    </row>
    <row r="2733" spans="20:21" x14ac:dyDescent="0.3">
      <c r="T2733" t="str">
        <f>IF(ISERROR(MATCH('Analysis backend'!$M$1,E2733:N2733,0)),"",'Analysis backend'!$L$1)</f>
        <v/>
      </c>
      <c r="U2733" t="str">
        <f>IF(T2733='Analysis backend'!$L$1,IF(ISERROR(MATCH('Analysis backend'!$M$1,E2733:I2733,0)),"Dire","Radiant"),"")</f>
        <v/>
      </c>
    </row>
    <row r="2734" spans="20:21" x14ac:dyDescent="0.3">
      <c r="T2734" t="str">
        <f>IF(ISERROR(MATCH('Analysis backend'!$M$1,E2734:N2734,0)),"",'Analysis backend'!$L$1)</f>
        <v/>
      </c>
      <c r="U2734" t="str">
        <f>IF(T2734='Analysis backend'!$L$1,IF(ISERROR(MATCH('Analysis backend'!$M$1,E2734:I2734,0)),"Dire","Radiant"),"")</f>
        <v/>
      </c>
    </row>
    <row r="2735" spans="20:21" x14ac:dyDescent="0.3">
      <c r="T2735" t="str">
        <f>IF(ISERROR(MATCH('Analysis backend'!$M$1,E2735:N2735,0)),"",'Analysis backend'!$L$1)</f>
        <v/>
      </c>
      <c r="U2735" t="str">
        <f>IF(T2735='Analysis backend'!$L$1,IF(ISERROR(MATCH('Analysis backend'!$M$1,E2735:I2735,0)),"Dire","Radiant"),"")</f>
        <v/>
      </c>
    </row>
    <row r="2736" spans="20:21" x14ac:dyDescent="0.3">
      <c r="T2736" t="str">
        <f>IF(ISERROR(MATCH('Analysis backend'!$M$1,E2736:N2736,0)),"",'Analysis backend'!$L$1)</f>
        <v/>
      </c>
      <c r="U2736" t="str">
        <f>IF(T2736='Analysis backend'!$L$1,IF(ISERROR(MATCH('Analysis backend'!$M$1,E2736:I2736,0)),"Dire","Radiant"),"")</f>
        <v/>
      </c>
    </row>
    <row r="2737" spans="20:21" x14ac:dyDescent="0.3">
      <c r="T2737" t="str">
        <f>IF(ISERROR(MATCH('Analysis backend'!$M$1,E2737:N2737,0)),"",'Analysis backend'!$L$1)</f>
        <v/>
      </c>
      <c r="U2737" t="str">
        <f>IF(T2737='Analysis backend'!$L$1,IF(ISERROR(MATCH('Analysis backend'!$M$1,E2737:I2737,0)),"Dire","Radiant"),"")</f>
        <v/>
      </c>
    </row>
    <row r="2738" spans="20:21" x14ac:dyDescent="0.3">
      <c r="T2738" t="str">
        <f>IF(ISERROR(MATCH('Analysis backend'!$M$1,E2738:N2738,0)),"",'Analysis backend'!$L$1)</f>
        <v/>
      </c>
      <c r="U2738" t="str">
        <f>IF(T2738='Analysis backend'!$L$1,IF(ISERROR(MATCH('Analysis backend'!$M$1,E2738:I2738,0)),"Dire","Radiant"),"")</f>
        <v/>
      </c>
    </row>
    <row r="2739" spans="20:21" x14ac:dyDescent="0.3">
      <c r="T2739" t="str">
        <f>IF(ISERROR(MATCH('Analysis backend'!$M$1,E2739:N2739,0)),"",'Analysis backend'!$L$1)</f>
        <v/>
      </c>
      <c r="U2739" t="str">
        <f>IF(T2739='Analysis backend'!$L$1,IF(ISERROR(MATCH('Analysis backend'!$M$1,E2739:I2739,0)),"Dire","Radiant"),"")</f>
        <v/>
      </c>
    </row>
    <row r="2740" spans="20:21" x14ac:dyDescent="0.3">
      <c r="T2740" t="str">
        <f>IF(ISERROR(MATCH('Analysis backend'!$M$1,E2740:N2740,0)),"",'Analysis backend'!$L$1)</f>
        <v/>
      </c>
      <c r="U2740" t="str">
        <f>IF(T2740='Analysis backend'!$L$1,IF(ISERROR(MATCH('Analysis backend'!$M$1,E2740:I2740,0)),"Dire","Radiant"),"")</f>
        <v/>
      </c>
    </row>
    <row r="2741" spans="20:21" x14ac:dyDescent="0.3">
      <c r="T2741" t="str">
        <f>IF(ISERROR(MATCH('Analysis backend'!$M$1,E2741:N2741,0)),"",'Analysis backend'!$L$1)</f>
        <v/>
      </c>
      <c r="U2741" t="str">
        <f>IF(T2741='Analysis backend'!$L$1,IF(ISERROR(MATCH('Analysis backend'!$M$1,E2741:I2741,0)),"Dire","Radiant"),"")</f>
        <v/>
      </c>
    </row>
    <row r="2742" spans="20:21" x14ac:dyDescent="0.3">
      <c r="T2742" t="str">
        <f>IF(ISERROR(MATCH('Analysis backend'!$M$1,E2742:N2742,0)),"",'Analysis backend'!$L$1)</f>
        <v/>
      </c>
      <c r="U2742" t="str">
        <f>IF(T2742='Analysis backend'!$L$1,IF(ISERROR(MATCH('Analysis backend'!$M$1,E2742:I2742,0)),"Dire","Radiant"),"")</f>
        <v/>
      </c>
    </row>
    <row r="2743" spans="20:21" x14ac:dyDescent="0.3">
      <c r="T2743" t="str">
        <f>IF(ISERROR(MATCH('Analysis backend'!$M$1,E2743:N2743,0)),"",'Analysis backend'!$L$1)</f>
        <v/>
      </c>
      <c r="U2743" t="str">
        <f>IF(T2743='Analysis backend'!$L$1,IF(ISERROR(MATCH('Analysis backend'!$M$1,E2743:I2743,0)),"Dire","Radiant"),"")</f>
        <v/>
      </c>
    </row>
    <row r="2744" spans="20:21" x14ac:dyDescent="0.3">
      <c r="T2744" t="str">
        <f>IF(ISERROR(MATCH('Analysis backend'!$M$1,E2744:N2744,0)),"",'Analysis backend'!$L$1)</f>
        <v/>
      </c>
      <c r="U2744" t="str">
        <f>IF(T2744='Analysis backend'!$L$1,IF(ISERROR(MATCH('Analysis backend'!$M$1,E2744:I2744,0)),"Dire","Radiant"),"")</f>
        <v/>
      </c>
    </row>
    <row r="2745" spans="20:21" x14ac:dyDescent="0.3">
      <c r="T2745" t="str">
        <f>IF(ISERROR(MATCH('Analysis backend'!$M$1,E2745:N2745,0)),"",'Analysis backend'!$L$1)</f>
        <v/>
      </c>
      <c r="U2745" t="str">
        <f>IF(T2745='Analysis backend'!$L$1,IF(ISERROR(MATCH('Analysis backend'!$M$1,E2745:I2745,0)),"Dire","Radiant"),"")</f>
        <v/>
      </c>
    </row>
    <row r="2746" spans="20:21" x14ac:dyDescent="0.3">
      <c r="T2746" t="str">
        <f>IF(ISERROR(MATCH('Analysis backend'!$M$1,E2746:N2746,0)),"",'Analysis backend'!$L$1)</f>
        <v/>
      </c>
      <c r="U2746" t="str">
        <f>IF(T2746='Analysis backend'!$L$1,IF(ISERROR(MATCH('Analysis backend'!$M$1,E2746:I2746,0)),"Dire","Radiant"),"")</f>
        <v/>
      </c>
    </row>
    <row r="2747" spans="20:21" x14ac:dyDescent="0.3">
      <c r="T2747" t="str">
        <f>IF(ISERROR(MATCH('Analysis backend'!$M$1,E2747:N2747,0)),"",'Analysis backend'!$L$1)</f>
        <v/>
      </c>
      <c r="U2747" t="str">
        <f>IF(T2747='Analysis backend'!$L$1,IF(ISERROR(MATCH('Analysis backend'!$M$1,E2747:I2747,0)),"Dire","Radiant"),"")</f>
        <v/>
      </c>
    </row>
    <row r="2748" spans="20:21" x14ac:dyDescent="0.3">
      <c r="T2748" t="str">
        <f>IF(ISERROR(MATCH('Analysis backend'!$M$1,E2748:N2748,0)),"",'Analysis backend'!$L$1)</f>
        <v/>
      </c>
      <c r="U2748" t="str">
        <f>IF(T2748='Analysis backend'!$L$1,IF(ISERROR(MATCH('Analysis backend'!$M$1,E2748:I2748,0)),"Dire","Radiant"),"")</f>
        <v/>
      </c>
    </row>
    <row r="2749" spans="20:21" x14ac:dyDescent="0.3">
      <c r="T2749" t="str">
        <f>IF(ISERROR(MATCH('Analysis backend'!$M$1,E2749:N2749,0)),"",'Analysis backend'!$L$1)</f>
        <v/>
      </c>
      <c r="U2749" t="str">
        <f>IF(T2749='Analysis backend'!$L$1,IF(ISERROR(MATCH('Analysis backend'!$M$1,E2749:I2749,0)),"Dire","Radiant"),"")</f>
        <v/>
      </c>
    </row>
    <row r="2750" spans="20:21" x14ac:dyDescent="0.3">
      <c r="T2750" t="str">
        <f>IF(ISERROR(MATCH('Analysis backend'!$M$1,E2750:N2750,0)),"",'Analysis backend'!$L$1)</f>
        <v/>
      </c>
      <c r="U2750" t="str">
        <f>IF(T2750='Analysis backend'!$L$1,IF(ISERROR(MATCH('Analysis backend'!$M$1,E2750:I2750,0)),"Dire","Radiant"),"")</f>
        <v/>
      </c>
    </row>
    <row r="2751" spans="20:21" x14ac:dyDescent="0.3">
      <c r="T2751" t="str">
        <f>IF(ISERROR(MATCH('Analysis backend'!$M$1,E2751:N2751,0)),"",'Analysis backend'!$L$1)</f>
        <v/>
      </c>
      <c r="U2751" t="str">
        <f>IF(T2751='Analysis backend'!$L$1,IF(ISERROR(MATCH('Analysis backend'!$M$1,E2751:I2751,0)),"Dire","Radiant"),"")</f>
        <v/>
      </c>
    </row>
    <row r="2752" spans="20:21" x14ac:dyDescent="0.3">
      <c r="T2752" t="str">
        <f>IF(ISERROR(MATCH('Analysis backend'!$M$1,E2752:N2752,0)),"",'Analysis backend'!$L$1)</f>
        <v/>
      </c>
      <c r="U2752" t="str">
        <f>IF(T2752='Analysis backend'!$L$1,IF(ISERROR(MATCH('Analysis backend'!$M$1,E2752:I2752,0)),"Dire","Radiant"),"")</f>
        <v/>
      </c>
    </row>
    <row r="2753" spans="20:21" x14ac:dyDescent="0.3">
      <c r="T2753" t="str">
        <f>IF(ISERROR(MATCH('Analysis backend'!$M$1,E2753:N2753,0)),"",'Analysis backend'!$L$1)</f>
        <v/>
      </c>
      <c r="U2753" t="str">
        <f>IF(T2753='Analysis backend'!$L$1,IF(ISERROR(MATCH('Analysis backend'!$M$1,E2753:I2753,0)),"Dire","Radiant"),"")</f>
        <v/>
      </c>
    </row>
    <row r="2754" spans="20:21" x14ac:dyDescent="0.3">
      <c r="T2754" t="str">
        <f>IF(ISERROR(MATCH('Analysis backend'!$M$1,E2754:N2754,0)),"",'Analysis backend'!$L$1)</f>
        <v/>
      </c>
      <c r="U2754" t="str">
        <f>IF(T2754='Analysis backend'!$L$1,IF(ISERROR(MATCH('Analysis backend'!$M$1,E2754:I2754,0)),"Dire","Radiant"),"")</f>
        <v/>
      </c>
    </row>
    <row r="2755" spans="20:21" x14ac:dyDescent="0.3">
      <c r="T2755" t="str">
        <f>IF(ISERROR(MATCH('Analysis backend'!$M$1,E2755:N2755,0)),"",'Analysis backend'!$L$1)</f>
        <v/>
      </c>
      <c r="U2755" t="str">
        <f>IF(T2755='Analysis backend'!$L$1,IF(ISERROR(MATCH('Analysis backend'!$M$1,E2755:I2755,0)),"Dire","Radiant"),"")</f>
        <v/>
      </c>
    </row>
    <row r="2756" spans="20:21" x14ac:dyDescent="0.3">
      <c r="T2756" t="str">
        <f>IF(ISERROR(MATCH('Analysis backend'!$M$1,E2756:N2756,0)),"",'Analysis backend'!$L$1)</f>
        <v/>
      </c>
      <c r="U2756" t="str">
        <f>IF(T2756='Analysis backend'!$L$1,IF(ISERROR(MATCH('Analysis backend'!$M$1,E2756:I2756,0)),"Dire","Radiant"),"")</f>
        <v/>
      </c>
    </row>
    <row r="2757" spans="20:21" x14ac:dyDescent="0.3">
      <c r="T2757" t="str">
        <f>IF(ISERROR(MATCH('Analysis backend'!$M$1,E2757:N2757,0)),"",'Analysis backend'!$L$1)</f>
        <v/>
      </c>
      <c r="U2757" t="str">
        <f>IF(T2757='Analysis backend'!$L$1,IF(ISERROR(MATCH('Analysis backend'!$M$1,E2757:I2757,0)),"Dire","Radiant"),"")</f>
        <v/>
      </c>
    </row>
    <row r="2758" spans="20:21" x14ac:dyDescent="0.3">
      <c r="T2758" t="str">
        <f>IF(ISERROR(MATCH('Analysis backend'!$M$1,E2758:N2758,0)),"",'Analysis backend'!$L$1)</f>
        <v/>
      </c>
      <c r="U2758" t="str">
        <f>IF(T2758='Analysis backend'!$L$1,IF(ISERROR(MATCH('Analysis backend'!$M$1,E2758:I2758,0)),"Dire","Radiant"),"")</f>
        <v/>
      </c>
    </row>
    <row r="2759" spans="20:21" x14ac:dyDescent="0.3">
      <c r="T2759" t="str">
        <f>IF(ISERROR(MATCH('Analysis backend'!$M$1,E2759:N2759,0)),"",'Analysis backend'!$L$1)</f>
        <v/>
      </c>
      <c r="U2759" t="str">
        <f>IF(T2759='Analysis backend'!$L$1,IF(ISERROR(MATCH('Analysis backend'!$M$1,E2759:I2759,0)),"Dire","Radiant"),"")</f>
        <v/>
      </c>
    </row>
    <row r="2760" spans="20:21" x14ac:dyDescent="0.3">
      <c r="T2760" t="str">
        <f>IF(ISERROR(MATCH('Analysis backend'!$M$1,E2760:N2760,0)),"",'Analysis backend'!$L$1)</f>
        <v/>
      </c>
      <c r="U2760" t="str">
        <f>IF(T2760='Analysis backend'!$L$1,IF(ISERROR(MATCH('Analysis backend'!$M$1,E2760:I2760,0)),"Dire","Radiant"),"")</f>
        <v/>
      </c>
    </row>
    <row r="2761" spans="20:21" x14ac:dyDescent="0.3">
      <c r="T2761" t="str">
        <f>IF(ISERROR(MATCH('Analysis backend'!$M$1,E2761:N2761,0)),"",'Analysis backend'!$L$1)</f>
        <v/>
      </c>
      <c r="U2761" t="str">
        <f>IF(T2761='Analysis backend'!$L$1,IF(ISERROR(MATCH('Analysis backend'!$M$1,E2761:I2761,0)),"Dire","Radiant"),"")</f>
        <v/>
      </c>
    </row>
    <row r="2762" spans="20:21" x14ac:dyDescent="0.3">
      <c r="T2762" t="str">
        <f>IF(ISERROR(MATCH('Analysis backend'!$M$1,E2762:N2762,0)),"",'Analysis backend'!$L$1)</f>
        <v/>
      </c>
      <c r="U2762" t="str">
        <f>IF(T2762='Analysis backend'!$L$1,IF(ISERROR(MATCH('Analysis backend'!$M$1,E2762:I2762,0)),"Dire","Radiant"),"")</f>
        <v/>
      </c>
    </row>
    <row r="2763" spans="20:21" x14ac:dyDescent="0.3">
      <c r="T2763" t="str">
        <f>IF(ISERROR(MATCH('Analysis backend'!$M$1,E2763:N2763,0)),"",'Analysis backend'!$L$1)</f>
        <v/>
      </c>
      <c r="U2763" t="str">
        <f>IF(T2763='Analysis backend'!$L$1,IF(ISERROR(MATCH('Analysis backend'!$M$1,E2763:I2763,0)),"Dire","Radiant"),"")</f>
        <v/>
      </c>
    </row>
    <row r="2764" spans="20:21" x14ac:dyDescent="0.3">
      <c r="T2764" t="str">
        <f>IF(ISERROR(MATCH('Analysis backend'!$M$1,E2764:N2764,0)),"",'Analysis backend'!$L$1)</f>
        <v/>
      </c>
      <c r="U2764" t="str">
        <f>IF(T2764='Analysis backend'!$L$1,IF(ISERROR(MATCH('Analysis backend'!$M$1,E2764:I2764,0)),"Dire","Radiant"),"")</f>
        <v/>
      </c>
    </row>
    <row r="2765" spans="20:21" x14ac:dyDescent="0.3">
      <c r="T2765" t="str">
        <f>IF(ISERROR(MATCH('Analysis backend'!$M$1,E2765:N2765,0)),"",'Analysis backend'!$L$1)</f>
        <v/>
      </c>
      <c r="U2765" t="str">
        <f>IF(T2765='Analysis backend'!$L$1,IF(ISERROR(MATCH('Analysis backend'!$M$1,E2765:I2765,0)),"Dire","Radiant"),"")</f>
        <v/>
      </c>
    </row>
    <row r="2766" spans="20:21" x14ac:dyDescent="0.3">
      <c r="T2766" t="str">
        <f>IF(ISERROR(MATCH('Analysis backend'!$M$1,E2766:N2766,0)),"",'Analysis backend'!$L$1)</f>
        <v/>
      </c>
      <c r="U2766" t="str">
        <f>IF(T2766='Analysis backend'!$L$1,IF(ISERROR(MATCH('Analysis backend'!$M$1,E2766:I2766,0)),"Dire","Radiant"),"")</f>
        <v/>
      </c>
    </row>
    <row r="2767" spans="20:21" x14ac:dyDescent="0.3">
      <c r="T2767" t="str">
        <f>IF(ISERROR(MATCH('Analysis backend'!$M$1,E2767:N2767,0)),"",'Analysis backend'!$L$1)</f>
        <v/>
      </c>
      <c r="U2767" t="str">
        <f>IF(T2767='Analysis backend'!$L$1,IF(ISERROR(MATCH('Analysis backend'!$M$1,E2767:I2767,0)),"Dire","Radiant"),"")</f>
        <v/>
      </c>
    </row>
    <row r="2768" spans="20:21" x14ac:dyDescent="0.3">
      <c r="T2768" t="str">
        <f>IF(ISERROR(MATCH('Analysis backend'!$M$1,E2768:N2768,0)),"",'Analysis backend'!$L$1)</f>
        <v/>
      </c>
      <c r="U2768" t="str">
        <f>IF(T2768='Analysis backend'!$L$1,IF(ISERROR(MATCH('Analysis backend'!$M$1,E2768:I2768,0)),"Dire","Radiant"),"")</f>
        <v/>
      </c>
    </row>
    <row r="2769" spans="20:21" x14ac:dyDescent="0.3">
      <c r="T2769" t="str">
        <f>IF(ISERROR(MATCH('Analysis backend'!$M$1,E2769:N2769,0)),"",'Analysis backend'!$L$1)</f>
        <v/>
      </c>
      <c r="U2769" t="str">
        <f>IF(T2769='Analysis backend'!$L$1,IF(ISERROR(MATCH('Analysis backend'!$M$1,E2769:I2769,0)),"Dire","Radiant"),"")</f>
        <v/>
      </c>
    </row>
    <row r="2770" spans="20:21" x14ac:dyDescent="0.3">
      <c r="T2770" t="str">
        <f>IF(ISERROR(MATCH('Analysis backend'!$M$1,E2770:N2770,0)),"",'Analysis backend'!$L$1)</f>
        <v/>
      </c>
      <c r="U2770" t="str">
        <f>IF(T2770='Analysis backend'!$L$1,IF(ISERROR(MATCH('Analysis backend'!$M$1,E2770:I2770,0)),"Dire","Radiant"),"")</f>
        <v/>
      </c>
    </row>
    <row r="2771" spans="20:21" x14ac:dyDescent="0.3">
      <c r="T2771" t="str">
        <f>IF(ISERROR(MATCH('Analysis backend'!$M$1,E2771:N2771,0)),"",'Analysis backend'!$L$1)</f>
        <v/>
      </c>
      <c r="U2771" t="str">
        <f>IF(T2771='Analysis backend'!$L$1,IF(ISERROR(MATCH('Analysis backend'!$M$1,E2771:I2771,0)),"Dire","Radiant"),"")</f>
        <v/>
      </c>
    </row>
    <row r="2772" spans="20:21" x14ac:dyDescent="0.3">
      <c r="T2772" t="str">
        <f>IF(ISERROR(MATCH('Analysis backend'!$M$1,E2772:N2772,0)),"",'Analysis backend'!$L$1)</f>
        <v/>
      </c>
      <c r="U2772" t="str">
        <f>IF(T2772='Analysis backend'!$L$1,IF(ISERROR(MATCH('Analysis backend'!$M$1,E2772:I2772,0)),"Dire","Radiant"),"")</f>
        <v/>
      </c>
    </row>
    <row r="2773" spans="20:21" x14ac:dyDescent="0.3">
      <c r="T2773" t="str">
        <f>IF(ISERROR(MATCH('Analysis backend'!$M$1,E2773:N2773,0)),"",'Analysis backend'!$L$1)</f>
        <v/>
      </c>
      <c r="U2773" t="str">
        <f>IF(T2773='Analysis backend'!$L$1,IF(ISERROR(MATCH('Analysis backend'!$M$1,E2773:I2773,0)),"Dire","Radiant"),"")</f>
        <v/>
      </c>
    </row>
    <row r="2774" spans="20:21" x14ac:dyDescent="0.3">
      <c r="T2774" t="str">
        <f>IF(ISERROR(MATCH('Analysis backend'!$M$1,E2774:N2774,0)),"",'Analysis backend'!$L$1)</f>
        <v/>
      </c>
      <c r="U2774" t="str">
        <f>IF(T2774='Analysis backend'!$L$1,IF(ISERROR(MATCH('Analysis backend'!$M$1,E2774:I2774,0)),"Dire","Radiant"),"")</f>
        <v/>
      </c>
    </row>
    <row r="2775" spans="20:21" x14ac:dyDescent="0.3">
      <c r="T2775" t="str">
        <f>IF(ISERROR(MATCH('Analysis backend'!$M$1,E2775:N2775,0)),"",'Analysis backend'!$L$1)</f>
        <v/>
      </c>
      <c r="U2775" t="str">
        <f>IF(T2775='Analysis backend'!$L$1,IF(ISERROR(MATCH('Analysis backend'!$M$1,E2775:I2775,0)),"Dire","Radiant"),"")</f>
        <v/>
      </c>
    </row>
    <row r="2776" spans="20:21" x14ac:dyDescent="0.3">
      <c r="T2776" t="str">
        <f>IF(ISERROR(MATCH('Analysis backend'!$M$1,E2776:N2776,0)),"",'Analysis backend'!$L$1)</f>
        <v/>
      </c>
      <c r="U2776" t="str">
        <f>IF(T2776='Analysis backend'!$L$1,IF(ISERROR(MATCH('Analysis backend'!$M$1,E2776:I2776,0)),"Dire","Radiant"),"")</f>
        <v/>
      </c>
    </row>
    <row r="2777" spans="20:21" x14ac:dyDescent="0.3">
      <c r="T2777" t="str">
        <f>IF(ISERROR(MATCH('Analysis backend'!$M$1,E2777:N2777,0)),"",'Analysis backend'!$L$1)</f>
        <v/>
      </c>
      <c r="U2777" t="str">
        <f>IF(T2777='Analysis backend'!$L$1,IF(ISERROR(MATCH('Analysis backend'!$M$1,E2777:I2777,0)),"Dire","Radiant"),"")</f>
        <v/>
      </c>
    </row>
    <row r="2778" spans="20:21" x14ac:dyDescent="0.3">
      <c r="T2778" t="str">
        <f>IF(ISERROR(MATCH('Analysis backend'!$M$1,E2778:N2778,0)),"",'Analysis backend'!$L$1)</f>
        <v/>
      </c>
      <c r="U2778" t="str">
        <f>IF(T2778='Analysis backend'!$L$1,IF(ISERROR(MATCH('Analysis backend'!$M$1,E2778:I2778,0)),"Dire","Radiant"),"")</f>
        <v/>
      </c>
    </row>
    <row r="2779" spans="20:21" x14ac:dyDescent="0.3">
      <c r="T2779" t="str">
        <f>IF(ISERROR(MATCH('Analysis backend'!$M$1,E2779:N2779,0)),"",'Analysis backend'!$L$1)</f>
        <v/>
      </c>
      <c r="U2779" t="str">
        <f>IF(T2779='Analysis backend'!$L$1,IF(ISERROR(MATCH('Analysis backend'!$M$1,E2779:I2779,0)),"Dire","Radiant"),"")</f>
        <v/>
      </c>
    </row>
    <row r="2780" spans="20:21" x14ac:dyDescent="0.3">
      <c r="T2780" t="str">
        <f>IF(ISERROR(MATCH('Analysis backend'!$M$1,E2780:N2780,0)),"",'Analysis backend'!$L$1)</f>
        <v/>
      </c>
      <c r="U2780" t="str">
        <f>IF(T2780='Analysis backend'!$L$1,IF(ISERROR(MATCH('Analysis backend'!$M$1,E2780:I2780,0)),"Dire","Radiant"),"")</f>
        <v/>
      </c>
    </row>
    <row r="2781" spans="20:21" x14ac:dyDescent="0.3">
      <c r="T2781" t="str">
        <f>IF(ISERROR(MATCH('Analysis backend'!$M$1,E2781:N2781,0)),"",'Analysis backend'!$L$1)</f>
        <v/>
      </c>
      <c r="U2781" t="str">
        <f>IF(T2781='Analysis backend'!$L$1,IF(ISERROR(MATCH('Analysis backend'!$M$1,E2781:I2781,0)),"Dire","Radiant"),"")</f>
        <v/>
      </c>
    </row>
    <row r="2782" spans="20:21" x14ac:dyDescent="0.3">
      <c r="T2782" t="str">
        <f>IF(ISERROR(MATCH('Analysis backend'!$M$1,E2782:N2782,0)),"",'Analysis backend'!$L$1)</f>
        <v/>
      </c>
      <c r="U2782" t="str">
        <f>IF(T2782='Analysis backend'!$L$1,IF(ISERROR(MATCH('Analysis backend'!$M$1,E2782:I2782,0)),"Dire","Radiant"),"")</f>
        <v/>
      </c>
    </row>
    <row r="2783" spans="20:21" x14ac:dyDescent="0.3">
      <c r="T2783" t="str">
        <f>IF(ISERROR(MATCH('Analysis backend'!$M$1,E2783:N2783,0)),"",'Analysis backend'!$L$1)</f>
        <v/>
      </c>
      <c r="U2783" t="str">
        <f>IF(T2783='Analysis backend'!$L$1,IF(ISERROR(MATCH('Analysis backend'!$M$1,E2783:I2783,0)),"Dire","Radiant"),"")</f>
        <v/>
      </c>
    </row>
    <row r="2784" spans="20:21" x14ac:dyDescent="0.3">
      <c r="T2784" t="str">
        <f>IF(ISERROR(MATCH('Analysis backend'!$M$1,E2784:N2784,0)),"",'Analysis backend'!$L$1)</f>
        <v/>
      </c>
      <c r="U2784" t="str">
        <f>IF(T2784='Analysis backend'!$L$1,IF(ISERROR(MATCH('Analysis backend'!$M$1,E2784:I2784,0)),"Dire","Radiant"),"")</f>
        <v/>
      </c>
    </row>
    <row r="2785" spans="20:21" x14ac:dyDescent="0.3">
      <c r="T2785" t="str">
        <f>IF(ISERROR(MATCH('Analysis backend'!$M$1,E2785:N2785,0)),"",'Analysis backend'!$L$1)</f>
        <v/>
      </c>
      <c r="U2785" t="str">
        <f>IF(T2785='Analysis backend'!$L$1,IF(ISERROR(MATCH('Analysis backend'!$M$1,E2785:I2785,0)),"Dire","Radiant"),"")</f>
        <v/>
      </c>
    </row>
    <row r="2786" spans="20:21" x14ac:dyDescent="0.3">
      <c r="T2786" t="str">
        <f>IF(ISERROR(MATCH('Analysis backend'!$M$1,E2786:N2786,0)),"",'Analysis backend'!$L$1)</f>
        <v/>
      </c>
      <c r="U2786" t="str">
        <f>IF(T2786='Analysis backend'!$L$1,IF(ISERROR(MATCH('Analysis backend'!$M$1,E2786:I2786,0)),"Dire","Radiant"),"")</f>
        <v/>
      </c>
    </row>
    <row r="2787" spans="20:21" x14ac:dyDescent="0.3">
      <c r="T2787" t="str">
        <f>IF(ISERROR(MATCH('Analysis backend'!$M$1,E2787:N2787,0)),"",'Analysis backend'!$L$1)</f>
        <v/>
      </c>
      <c r="U2787" t="str">
        <f>IF(T2787='Analysis backend'!$L$1,IF(ISERROR(MATCH('Analysis backend'!$M$1,E2787:I2787,0)),"Dire","Radiant"),"")</f>
        <v/>
      </c>
    </row>
    <row r="2788" spans="20:21" x14ac:dyDescent="0.3">
      <c r="T2788" t="str">
        <f>IF(ISERROR(MATCH('Analysis backend'!$M$1,E2788:N2788,0)),"",'Analysis backend'!$L$1)</f>
        <v/>
      </c>
      <c r="U2788" t="str">
        <f>IF(T2788='Analysis backend'!$L$1,IF(ISERROR(MATCH('Analysis backend'!$M$1,E2788:I2788,0)),"Dire","Radiant"),"")</f>
        <v/>
      </c>
    </row>
    <row r="2789" spans="20:21" x14ac:dyDescent="0.3">
      <c r="T2789" t="str">
        <f>IF(ISERROR(MATCH('Analysis backend'!$M$1,E2789:N2789,0)),"",'Analysis backend'!$L$1)</f>
        <v/>
      </c>
      <c r="U2789" t="str">
        <f>IF(T2789='Analysis backend'!$L$1,IF(ISERROR(MATCH('Analysis backend'!$M$1,E2789:I2789,0)),"Dire","Radiant"),"")</f>
        <v/>
      </c>
    </row>
    <row r="2790" spans="20:21" x14ac:dyDescent="0.3">
      <c r="T2790" t="str">
        <f>IF(ISERROR(MATCH('Analysis backend'!$M$1,E2790:N2790,0)),"",'Analysis backend'!$L$1)</f>
        <v/>
      </c>
      <c r="U2790" t="str">
        <f>IF(T2790='Analysis backend'!$L$1,IF(ISERROR(MATCH('Analysis backend'!$M$1,E2790:I2790,0)),"Dire","Radiant"),"")</f>
        <v/>
      </c>
    </row>
    <row r="2791" spans="20:21" x14ac:dyDescent="0.3">
      <c r="T2791" t="str">
        <f>IF(ISERROR(MATCH('Analysis backend'!$M$1,E2791:N2791,0)),"",'Analysis backend'!$L$1)</f>
        <v/>
      </c>
      <c r="U2791" t="str">
        <f>IF(T2791='Analysis backend'!$L$1,IF(ISERROR(MATCH('Analysis backend'!$M$1,E2791:I2791,0)),"Dire","Radiant"),"")</f>
        <v/>
      </c>
    </row>
    <row r="2792" spans="20:21" x14ac:dyDescent="0.3">
      <c r="T2792" t="str">
        <f>IF(ISERROR(MATCH('Analysis backend'!$M$1,E2792:N2792,0)),"",'Analysis backend'!$L$1)</f>
        <v/>
      </c>
      <c r="U2792" t="str">
        <f>IF(T2792='Analysis backend'!$L$1,IF(ISERROR(MATCH('Analysis backend'!$M$1,E2792:I2792,0)),"Dire","Radiant"),"")</f>
        <v/>
      </c>
    </row>
    <row r="2793" spans="20:21" x14ac:dyDescent="0.3">
      <c r="T2793" t="str">
        <f>IF(ISERROR(MATCH('Analysis backend'!$M$1,E2793:N2793,0)),"",'Analysis backend'!$L$1)</f>
        <v/>
      </c>
      <c r="U2793" t="str">
        <f>IF(T2793='Analysis backend'!$L$1,IF(ISERROR(MATCH('Analysis backend'!$M$1,E2793:I2793,0)),"Dire","Radiant"),"")</f>
        <v/>
      </c>
    </row>
    <row r="2794" spans="20:21" x14ac:dyDescent="0.3">
      <c r="T2794" t="str">
        <f>IF(ISERROR(MATCH('Analysis backend'!$M$1,E2794:N2794,0)),"",'Analysis backend'!$L$1)</f>
        <v/>
      </c>
      <c r="U2794" t="str">
        <f>IF(T2794='Analysis backend'!$L$1,IF(ISERROR(MATCH('Analysis backend'!$M$1,E2794:I2794,0)),"Dire","Radiant"),"")</f>
        <v/>
      </c>
    </row>
    <row r="2795" spans="20:21" x14ac:dyDescent="0.3">
      <c r="T2795" t="str">
        <f>IF(ISERROR(MATCH('Analysis backend'!$M$1,E2795:N2795,0)),"",'Analysis backend'!$L$1)</f>
        <v/>
      </c>
      <c r="U2795" t="str">
        <f>IF(T2795='Analysis backend'!$L$1,IF(ISERROR(MATCH('Analysis backend'!$M$1,E2795:I2795,0)),"Dire","Radiant"),"")</f>
        <v/>
      </c>
    </row>
    <row r="2796" spans="20:21" x14ac:dyDescent="0.3">
      <c r="T2796" t="str">
        <f>IF(ISERROR(MATCH('Analysis backend'!$M$1,E2796:N2796,0)),"",'Analysis backend'!$L$1)</f>
        <v/>
      </c>
      <c r="U2796" t="str">
        <f>IF(T2796='Analysis backend'!$L$1,IF(ISERROR(MATCH('Analysis backend'!$M$1,E2796:I2796,0)),"Dire","Radiant"),"")</f>
        <v/>
      </c>
    </row>
    <row r="2797" spans="20:21" x14ac:dyDescent="0.3">
      <c r="T2797" t="str">
        <f>IF(ISERROR(MATCH('Analysis backend'!$M$1,E2797:N2797,0)),"",'Analysis backend'!$L$1)</f>
        <v/>
      </c>
      <c r="U2797" t="str">
        <f>IF(T2797='Analysis backend'!$L$1,IF(ISERROR(MATCH('Analysis backend'!$M$1,E2797:I2797,0)),"Dire","Radiant"),"")</f>
        <v/>
      </c>
    </row>
    <row r="2798" spans="20:21" x14ac:dyDescent="0.3">
      <c r="T2798" t="str">
        <f>IF(ISERROR(MATCH('Analysis backend'!$M$1,E2798:N2798,0)),"",'Analysis backend'!$L$1)</f>
        <v/>
      </c>
      <c r="U2798" t="str">
        <f>IF(T2798='Analysis backend'!$L$1,IF(ISERROR(MATCH('Analysis backend'!$M$1,E2798:I2798,0)),"Dire","Radiant"),"")</f>
        <v/>
      </c>
    </row>
    <row r="2799" spans="20:21" x14ac:dyDescent="0.3">
      <c r="T2799" t="str">
        <f>IF(ISERROR(MATCH('Analysis backend'!$M$1,E2799:N2799,0)),"",'Analysis backend'!$L$1)</f>
        <v/>
      </c>
      <c r="U2799" t="str">
        <f>IF(T2799='Analysis backend'!$L$1,IF(ISERROR(MATCH('Analysis backend'!$M$1,E2799:I2799,0)),"Dire","Radiant"),"")</f>
        <v/>
      </c>
    </row>
    <row r="2800" spans="20:21" x14ac:dyDescent="0.3">
      <c r="T2800" t="str">
        <f>IF(ISERROR(MATCH('Analysis backend'!$M$1,E2800:N2800,0)),"",'Analysis backend'!$L$1)</f>
        <v/>
      </c>
      <c r="U2800" t="str">
        <f>IF(T2800='Analysis backend'!$L$1,IF(ISERROR(MATCH('Analysis backend'!$M$1,E2800:I2800,0)),"Dire","Radiant"),"")</f>
        <v/>
      </c>
    </row>
    <row r="2801" spans="20:21" x14ac:dyDescent="0.3">
      <c r="T2801" t="str">
        <f>IF(ISERROR(MATCH('Analysis backend'!$M$1,E2801:N2801,0)),"",'Analysis backend'!$L$1)</f>
        <v/>
      </c>
      <c r="U2801" t="str">
        <f>IF(T2801='Analysis backend'!$L$1,IF(ISERROR(MATCH('Analysis backend'!$M$1,E2801:I2801,0)),"Dire","Radiant"),"")</f>
        <v/>
      </c>
    </row>
    <row r="2802" spans="20:21" x14ac:dyDescent="0.3">
      <c r="T2802" t="str">
        <f>IF(ISERROR(MATCH('Analysis backend'!$M$1,E2802:N2802,0)),"",'Analysis backend'!$L$1)</f>
        <v/>
      </c>
      <c r="U2802" t="str">
        <f>IF(T2802='Analysis backend'!$L$1,IF(ISERROR(MATCH('Analysis backend'!$M$1,E2802:I2802,0)),"Dire","Radiant"),"")</f>
        <v/>
      </c>
    </row>
    <row r="2803" spans="20:21" x14ac:dyDescent="0.3">
      <c r="T2803" t="str">
        <f>IF(ISERROR(MATCH('Analysis backend'!$M$1,E2803:N2803,0)),"",'Analysis backend'!$L$1)</f>
        <v/>
      </c>
      <c r="U2803" t="str">
        <f>IF(T2803='Analysis backend'!$L$1,IF(ISERROR(MATCH('Analysis backend'!$M$1,E2803:I2803,0)),"Dire","Radiant"),"")</f>
        <v/>
      </c>
    </row>
    <row r="2804" spans="20:21" x14ac:dyDescent="0.3">
      <c r="T2804" t="str">
        <f>IF(ISERROR(MATCH('Analysis backend'!$M$1,E2804:N2804,0)),"",'Analysis backend'!$L$1)</f>
        <v/>
      </c>
      <c r="U2804" t="str">
        <f>IF(T2804='Analysis backend'!$L$1,IF(ISERROR(MATCH('Analysis backend'!$M$1,E2804:I2804,0)),"Dire","Radiant"),"")</f>
        <v/>
      </c>
    </row>
    <row r="2805" spans="20:21" x14ac:dyDescent="0.3">
      <c r="T2805" t="str">
        <f>IF(ISERROR(MATCH('Analysis backend'!$M$1,E2805:N2805,0)),"",'Analysis backend'!$L$1)</f>
        <v/>
      </c>
      <c r="U2805" t="str">
        <f>IF(T2805='Analysis backend'!$L$1,IF(ISERROR(MATCH('Analysis backend'!$M$1,E2805:I2805,0)),"Dire","Radiant"),"")</f>
        <v/>
      </c>
    </row>
    <row r="2806" spans="20:21" x14ac:dyDescent="0.3">
      <c r="T2806" t="str">
        <f>IF(ISERROR(MATCH('Analysis backend'!$M$1,E2806:N2806,0)),"",'Analysis backend'!$L$1)</f>
        <v/>
      </c>
      <c r="U2806" t="str">
        <f>IF(T2806='Analysis backend'!$L$1,IF(ISERROR(MATCH('Analysis backend'!$M$1,E2806:I2806,0)),"Dire","Radiant"),"")</f>
        <v/>
      </c>
    </row>
    <row r="2807" spans="20:21" x14ac:dyDescent="0.3">
      <c r="T2807" t="str">
        <f>IF(ISERROR(MATCH('Analysis backend'!$M$1,E2807:N2807,0)),"",'Analysis backend'!$L$1)</f>
        <v/>
      </c>
      <c r="U2807" t="str">
        <f>IF(T2807='Analysis backend'!$L$1,IF(ISERROR(MATCH('Analysis backend'!$M$1,E2807:I2807,0)),"Dire","Radiant"),"")</f>
        <v/>
      </c>
    </row>
    <row r="2808" spans="20:21" x14ac:dyDescent="0.3">
      <c r="T2808" t="str">
        <f>IF(ISERROR(MATCH('Analysis backend'!$M$1,E2808:N2808,0)),"",'Analysis backend'!$L$1)</f>
        <v/>
      </c>
      <c r="U2808" t="str">
        <f>IF(T2808='Analysis backend'!$L$1,IF(ISERROR(MATCH('Analysis backend'!$M$1,E2808:I2808,0)),"Dire","Radiant"),"")</f>
        <v/>
      </c>
    </row>
    <row r="2809" spans="20:21" x14ac:dyDescent="0.3">
      <c r="T2809" t="str">
        <f>IF(ISERROR(MATCH('Analysis backend'!$M$1,E2809:N2809,0)),"",'Analysis backend'!$L$1)</f>
        <v/>
      </c>
      <c r="U2809" t="str">
        <f>IF(T2809='Analysis backend'!$L$1,IF(ISERROR(MATCH('Analysis backend'!$M$1,E2809:I2809,0)),"Dire","Radiant"),"")</f>
        <v/>
      </c>
    </row>
    <row r="2810" spans="20:21" x14ac:dyDescent="0.3">
      <c r="T2810" t="str">
        <f>IF(ISERROR(MATCH('Analysis backend'!$M$1,E2810:N2810,0)),"",'Analysis backend'!$L$1)</f>
        <v/>
      </c>
      <c r="U2810" t="str">
        <f>IF(T2810='Analysis backend'!$L$1,IF(ISERROR(MATCH('Analysis backend'!$M$1,E2810:I2810,0)),"Dire","Radiant"),"")</f>
        <v/>
      </c>
    </row>
    <row r="2811" spans="20:21" x14ac:dyDescent="0.3">
      <c r="T2811" t="str">
        <f>IF(ISERROR(MATCH('Analysis backend'!$M$1,E2811:N2811,0)),"",'Analysis backend'!$L$1)</f>
        <v/>
      </c>
      <c r="U2811" t="str">
        <f>IF(T2811='Analysis backend'!$L$1,IF(ISERROR(MATCH('Analysis backend'!$M$1,E2811:I2811,0)),"Dire","Radiant"),"")</f>
        <v/>
      </c>
    </row>
    <row r="2812" spans="20:21" x14ac:dyDescent="0.3">
      <c r="T2812" t="str">
        <f>IF(ISERROR(MATCH('Analysis backend'!$M$1,E2812:N2812,0)),"",'Analysis backend'!$L$1)</f>
        <v/>
      </c>
      <c r="U2812" t="str">
        <f>IF(T2812='Analysis backend'!$L$1,IF(ISERROR(MATCH('Analysis backend'!$M$1,E2812:I2812,0)),"Dire","Radiant"),"")</f>
        <v/>
      </c>
    </row>
    <row r="2813" spans="20:21" x14ac:dyDescent="0.3">
      <c r="T2813" t="str">
        <f>IF(ISERROR(MATCH('Analysis backend'!$M$1,E2813:N2813,0)),"",'Analysis backend'!$L$1)</f>
        <v/>
      </c>
      <c r="U2813" t="str">
        <f>IF(T2813='Analysis backend'!$L$1,IF(ISERROR(MATCH('Analysis backend'!$M$1,E2813:I2813,0)),"Dire","Radiant"),"")</f>
        <v/>
      </c>
    </row>
    <row r="2814" spans="20:21" x14ac:dyDescent="0.3">
      <c r="T2814" t="str">
        <f>IF(ISERROR(MATCH('Analysis backend'!$M$1,E2814:N2814,0)),"",'Analysis backend'!$L$1)</f>
        <v/>
      </c>
      <c r="U2814" t="str">
        <f>IF(T2814='Analysis backend'!$L$1,IF(ISERROR(MATCH('Analysis backend'!$M$1,E2814:I2814,0)),"Dire","Radiant"),"")</f>
        <v/>
      </c>
    </row>
    <row r="2815" spans="20:21" x14ac:dyDescent="0.3">
      <c r="T2815" t="str">
        <f>IF(ISERROR(MATCH('Analysis backend'!$M$1,E2815:N2815,0)),"",'Analysis backend'!$L$1)</f>
        <v/>
      </c>
      <c r="U2815" t="str">
        <f>IF(T2815='Analysis backend'!$L$1,IF(ISERROR(MATCH('Analysis backend'!$M$1,E2815:I2815,0)),"Dire","Radiant"),"")</f>
        <v/>
      </c>
    </row>
    <row r="2816" spans="20:21" x14ac:dyDescent="0.3">
      <c r="T2816" t="str">
        <f>IF(ISERROR(MATCH('Analysis backend'!$M$1,E2816:N2816,0)),"",'Analysis backend'!$L$1)</f>
        <v/>
      </c>
      <c r="U2816" t="str">
        <f>IF(T2816='Analysis backend'!$L$1,IF(ISERROR(MATCH('Analysis backend'!$M$1,E2816:I2816,0)),"Dire","Radiant"),"")</f>
        <v/>
      </c>
    </row>
    <row r="2817" spans="20:21" x14ac:dyDescent="0.3">
      <c r="T2817" t="str">
        <f>IF(ISERROR(MATCH('Analysis backend'!$M$1,E2817:N2817,0)),"",'Analysis backend'!$L$1)</f>
        <v/>
      </c>
      <c r="U2817" t="str">
        <f>IF(T2817='Analysis backend'!$L$1,IF(ISERROR(MATCH('Analysis backend'!$M$1,E2817:I2817,0)),"Dire","Radiant"),"")</f>
        <v/>
      </c>
    </row>
    <row r="2818" spans="20:21" x14ac:dyDescent="0.3">
      <c r="T2818" t="str">
        <f>IF(ISERROR(MATCH('Analysis backend'!$M$1,E2818:N2818,0)),"",'Analysis backend'!$L$1)</f>
        <v/>
      </c>
      <c r="U2818" t="str">
        <f>IF(T2818='Analysis backend'!$L$1,IF(ISERROR(MATCH('Analysis backend'!$M$1,E2818:I2818,0)),"Dire","Radiant"),"")</f>
        <v/>
      </c>
    </row>
    <row r="2819" spans="20:21" x14ac:dyDescent="0.3">
      <c r="T2819" t="str">
        <f>IF(ISERROR(MATCH('Analysis backend'!$M$1,E2819:N2819,0)),"",'Analysis backend'!$L$1)</f>
        <v/>
      </c>
      <c r="U2819" t="str">
        <f>IF(T2819='Analysis backend'!$L$1,IF(ISERROR(MATCH('Analysis backend'!$M$1,E2819:I2819,0)),"Dire","Radiant"),"")</f>
        <v/>
      </c>
    </row>
    <row r="2820" spans="20:21" x14ac:dyDescent="0.3">
      <c r="T2820" t="str">
        <f>IF(ISERROR(MATCH('Analysis backend'!$M$1,E2820:N2820,0)),"",'Analysis backend'!$L$1)</f>
        <v/>
      </c>
      <c r="U2820" t="str">
        <f>IF(T2820='Analysis backend'!$L$1,IF(ISERROR(MATCH('Analysis backend'!$M$1,E2820:I2820,0)),"Dire","Radiant"),"")</f>
        <v/>
      </c>
    </row>
    <row r="2821" spans="20:21" x14ac:dyDescent="0.3">
      <c r="T2821" t="str">
        <f>IF(ISERROR(MATCH('Analysis backend'!$M$1,E2821:N2821,0)),"",'Analysis backend'!$L$1)</f>
        <v/>
      </c>
      <c r="U2821" t="str">
        <f>IF(T2821='Analysis backend'!$L$1,IF(ISERROR(MATCH('Analysis backend'!$M$1,E2821:I2821,0)),"Dire","Radiant"),"")</f>
        <v/>
      </c>
    </row>
    <row r="2822" spans="20:21" x14ac:dyDescent="0.3">
      <c r="T2822" t="str">
        <f>IF(ISERROR(MATCH('Analysis backend'!$M$1,E2822:N2822,0)),"",'Analysis backend'!$L$1)</f>
        <v/>
      </c>
      <c r="U2822" t="str">
        <f>IF(T2822='Analysis backend'!$L$1,IF(ISERROR(MATCH('Analysis backend'!$M$1,E2822:I2822,0)),"Dire","Radiant"),"")</f>
        <v/>
      </c>
    </row>
    <row r="2823" spans="20:21" x14ac:dyDescent="0.3">
      <c r="T2823" t="str">
        <f>IF(ISERROR(MATCH('Analysis backend'!$M$1,E2823:N2823,0)),"",'Analysis backend'!$L$1)</f>
        <v/>
      </c>
      <c r="U2823" t="str">
        <f>IF(T2823='Analysis backend'!$L$1,IF(ISERROR(MATCH('Analysis backend'!$M$1,E2823:I2823,0)),"Dire","Radiant"),"")</f>
        <v/>
      </c>
    </row>
    <row r="2824" spans="20:21" x14ac:dyDescent="0.3">
      <c r="T2824" t="str">
        <f>IF(ISERROR(MATCH('Analysis backend'!$M$1,E2824:N2824,0)),"",'Analysis backend'!$L$1)</f>
        <v/>
      </c>
      <c r="U2824" t="str">
        <f>IF(T2824='Analysis backend'!$L$1,IF(ISERROR(MATCH('Analysis backend'!$M$1,E2824:I2824,0)),"Dire","Radiant"),"")</f>
        <v/>
      </c>
    </row>
    <row r="2825" spans="20:21" x14ac:dyDescent="0.3">
      <c r="T2825" t="str">
        <f>IF(ISERROR(MATCH('Analysis backend'!$M$1,E2825:N2825,0)),"",'Analysis backend'!$L$1)</f>
        <v/>
      </c>
      <c r="U2825" t="str">
        <f>IF(T2825='Analysis backend'!$L$1,IF(ISERROR(MATCH('Analysis backend'!$M$1,E2825:I2825,0)),"Dire","Radiant"),"")</f>
        <v/>
      </c>
    </row>
    <row r="2826" spans="20:21" x14ac:dyDescent="0.3">
      <c r="T2826" t="str">
        <f>IF(ISERROR(MATCH('Analysis backend'!$M$1,E2826:N2826,0)),"",'Analysis backend'!$L$1)</f>
        <v/>
      </c>
      <c r="U2826" t="str">
        <f>IF(T2826='Analysis backend'!$L$1,IF(ISERROR(MATCH('Analysis backend'!$M$1,E2826:I2826,0)),"Dire","Radiant"),"")</f>
        <v/>
      </c>
    </row>
    <row r="2827" spans="20:21" x14ac:dyDescent="0.3">
      <c r="T2827" t="str">
        <f>IF(ISERROR(MATCH('Analysis backend'!$M$1,E2827:N2827,0)),"",'Analysis backend'!$L$1)</f>
        <v/>
      </c>
      <c r="U2827" t="str">
        <f>IF(T2827='Analysis backend'!$L$1,IF(ISERROR(MATCH('Analysis backend'!$M$1,E2827:I2827,0)),"Dire","Radiant"),"")</f>
        <v/>
      </c>
    </row>
    <row r="2828" spans="20:21" x14ac:dyDescent="0.3">
      <c r="T2828" t="str">
        <f>IF(ISERROR(MATCH('Analysis backend'!$M$1,E2828:N2828,0)),"",'Analysis backend'!$L$1)</f>
        <v/>
      </c>
      <c r="U2828" t="str">
        <f>IF(T2828='Analysis backend'!$L$1,IF(ISERROR(MATCH('Analysis backend'!$M$1,E2828:I2828,0)),"Dire","Radiant"),"")</f>
        <v/>
      </c>
    </row>
    <row r="2829" spans="20:21" x14ac:dyDescent="0.3">
      <c r="T2829" t="str">
        <f>IF(ISERROR(MATCH('Analysis backend'!$M$1,E2829:N2829,0)),"",'Analysis backend'!$L$1)</f>
        <v/>
      </c>
      <c r="U2829" t="str">
        <f>IF(T2829='Analysis backend'!$L$1,IF(ISERROR(MATCH('Analysis backend'!$M$1,E2829:I2829,0)),"Dire","Radiant"),"")</f>
        <v/>
      </c>
    </row>
    <row r="2830" spans="20:21" x14ac:dyDescent="0.3">
      <c r="T2830" t="str">
        <f>IF(ISERROR(MATCH('Analysis backend'!$M$1,E2830:N2830,0)),"",'Analysis backend'!$L$1)</f>
        <v/>
      </c>
      <c r="U2830" t="str">
        <f>IF(T2830='Analysis backend'!$L$1,IF(ISERROR(MATCH('Analysis backend'!$M$1,E2830:I2830,0)),"Dire","Radiant"),"")</f>
        <v/>
      </c>
    </row>
    <row r="2831" spans="20:21" x14ac:dyDescent="0.3">
      <c r="T2831" t="str">
        <f>IF(ISERROR(MATCH('Analysis backend'!$M$1,E2831:N2831,0)),"",'Analysis backend'!$L$1)</f>
        <v/>
      </c>
      <c r="U2831" t="str">
        <f>IF(T2831='Analysis backend'!$L$1,IF(ISERROR(MATCH('Analysis backend'!$M$1,E2831:I2831,0)),"Dire","Radiant"),"")</f>
        <v/>
      </c>
    </row>
    <row r="2832" spans="20:21" x14ac:dyDescent="0.3">
      <c r="T2832" t="str">
        <f>IF(ISERROR(MATCH('Analysis backend'!$M$1,E2832:N2832,0)),"",'Analysis backend'!$L$1)</f>
        <v/>
      </c>
      <c r="U2832" t="str">
        <f>IF(T2832='Analysis backend'!$L$1,IF(ISERROR(MATCH('Analysis backend'!$M$1,E2832:I2832,0)),"Dire","Radiant"),"")</f>
        <v/>
      </c>
    </row>
    <row r="2833" spans="20:21" x14ac:dyDescent="0.3">
      <c r="T2833" t="str">
        <f>IF(ISERROR(MATCH('Analysis backend'!$M$1,E2833:N2833,0)),"",'Analysis backend'!$L$1)</f>
        <v/>
      </c>
      <c r="U2833" t="str">
        <f>IF(T2833='Analysis backend'!$L$1,IF(ISERROR(MATCH('Analysis backend'!$M$1,E2833:I2833,0)),"Dire","Radiant"),"")</f>
        <v/>
      </c>
    </row>
    <row r="2834" spans="20:21" x14ac:dyDescent="0.3">
      <c r="T2834" t="str">
        <f>IF(ISERROR(MATCH('Analysis backend'!$M$1,E2834:N2834,0)),"",'Analysis backend'!$L$1)</f>
        <v/>
      </c>
      <c r="U2834" t="str">
        <f>IF(T2834='Analysis backend'!$L$1,IF(ISERROR(MATCH('Analysis backend'!$M$1,E2834:I2834,0)),"Dire","Radiant"),"")</f>
        <v/>
      </c>
    </row>
    <row r="2835" spans="20:21" x14ac:dyDescent="0.3">
      <c r="T2835" t="str">
        <f>IF(ISERROR(MATCH('Analysis backend'!$M$1,E2835:N2835,0)),"",'Analysis backend'!$L$1)</f>
        <v/>
      </c>
      <c r="U2835" t="str">
        <f>IF(T2835='Analysis backend'!$L$1,IF(ISERROR(MATCH('Analysis backend'!$M$1,E2835:I2835,0)),"Dire","Radiant"),"")</f>
        <v/>
      </c>
    </row>
    <row r="2836" spans="20:21" x14ac:dyDescent="0.3">
      <c r="T2836" t="str">
        <f>IF(ISERROR(MATCH('Analysis backend'!$M$1,E2836:N2836,0)),"",'Analysis backend'!$L$1)</f>
        <v/>
      </c>
      <c r="U2836" t="str">
        <f>IF(T2836='Analysis backend'!$L$1,IF(ISERROR(MATCH('Analysis backend'!$M$1,E2836:I2836,0)),"Dire","Radiant"),"")</f>
        <v/>
      </c>
    </row>
    <row r="2837" spans="20:21" x14ac:dyDescent="0.3">
      <c r="T2837" t="str">
        <f>IF(ISERROR(MATCH('Analysis backend'!$M$1,E2837:N2837,0)),"",'Analysis backend'!$L$1)</f>
        <v/>
      </c>
      <c r="U2837" t="str">
        <f>IF(T2837='Analysis backend'!$L$1,IF(ISERROR(MATCH('Analysis backend'!$M$1,E2837:I2837,0)),"Dire","Radiant"),"")</f>
        <v/>
      </c>
    </row>
    <row r="2838" spans="20:21" x14ac:dyDescent="0.3">
      <c r="T2838" t="str">
        <f>IF(ISERROR(MATCH('Analysis backend'!$M$1,E2838:N2838,0)),"",'Analysis backend'!$L$1)</f>
        <v/>
      </c>
      <c r="U2838" t="str">
        <f>IF(T2838='Analysis backend'!$L$1,IF(ISERROR(MATCH('Analysis backend'!$M$1,E2838:I2838,0)),"Dire","Radiant"),"")</f>
        <v/>
      </c>
    </row>
    <row r="2839" spans="20:21" x14ac:dyDescent="0.3">
      <c r="T2839" t="str">
        <f>IF(ISERROR(MATCH('Analysis backend'!$M$1,E2839:N2839,0)),"",'Analysis backend'!$L$1)</f>
        <v/>
      </c>
      <c r="U2839" t="str">
        <f>IF(T2839='Analysis backend'!$L$1,IF(ISERROR(MATCH('Analysis backend'!$M$1,E2839:I2839,0)),"Dire","Radiant"),"")</f>
        <v/>
      </c>
    </row>
    <row r="2840" spans="20:21" x14ac:dyDescent="0.3">
      <c r="T2840" t="str">
        <f>IF(ISERROR(MATCH('Analysis backend'!$M$1,E2840:N2840,0)),"",'Analysis backend'!$L$1)</f>
        <v/>
      </c>
      <c r="U2840" t="str">
        <f>IF(T2840='Analysis backend'!$L$1,IF(ISERROR(MATCH('Analysis backend'!$M$1,E2840:I2840,0)),"Dire","Radiant"),"")</f>
        <v/>
      </c>
    </row>
    <row r="2841" spans="20:21" x14ac:dyDescent="0.3">
      <c r="T2841" t="str">
        <f>IF(ISERROR(MATCH('Analysis backend'!$M$1,E2841:N2841,0)),"",'Analysis backend'!$L$1)</f>
        <v/>
      </c>
      <c r="U2841" t="str">
        <f>IF(T2841='Analysis backend'!$L$1,IF(ISERROR(MATCH('Analysis backend'!$M$1,E2841:I2841,0)),"Dire","Radiant"),"")</f>
        <v/>
      </c>
    </row>
    <row r="2842" spans="20:21" x14ac:dyDescent="0.3">
      <c r="T2842" t="str">
        <f>IF(ISERROR(MATCH('Analysis backend'!$M$1,E2842:N2842,0)),"",'Analysis backend'!$L$1)</f>
        <v/>
      </c>
      <c r="U2842" t="str">
        <f>IF(T2842='Analysis backend'!$L$1,IF(ISERROR(MATCH('Analysis backend'!$M$1,E2842:I2842,0)),"Dire","Radiant"),"")</f>
        <v/>
      </c>
    </row>
    <row r="2843" spans="20:21" x14ac:dyDescent="0.3">
      <c r="T2843" t="str">
        <f>IF(ISERROR(MATCH('Analysis backend'!$M$1,E2843:N2843,0)),"",'Analysis backend'!$L$1)</f>
        <v/>
      </c>
      <c r="U2843" t="str">
        <f>IF(T2843='Analysis backend'!$L$1,IF(ISERROR(MATCH('Analysis backend'!$M$1,E2843:I2843,0)),"Dire","Radiant"),"")</f>
        <v/>
      </c>
    </row>
    <row r="2844" spans="20:21" x14ac:dyDescent="0.3">
      <c r="T2844" t="str">
        <f>IF(ISERROR(MATCH('Analysis backend'!$M$1,E2844:N2844,0)),"",'Analysis backend'!$L$1)</f>
        <v/>
      </c>
      <c r="U2844" t="str">
        <f>IF(T2844='Analysis backend'!$L$1,IF(ISERROR(MATCH('Analysis backend'!$M$1,E2844:I2844,0)),"Dire","Radiant"),"")</f>
        <v/>
      </c>
    </row>
    <row r="2845" spans="20:21" x14ac:dyDescent="0.3">
      <c r="T2845" t="str">
        <f>IF(ISERROR(MATCH('Analysis backend'!$M$1,E2845:N2845,0)),"",'Analysis backend'!$L$1)</f>
        <v/>
      </c>
      <c r="U2845" t="str">
        <f>IF(T2845='Analysis backend'!$L$1,IF(ISERROR(MATCH('Analysis backend'!$M$1,E2845:I2845,0)),"Dire","Radiant"),"")</f>
        <v/>
      </c>
    </row>
    <row r="2846" spans="20:21" x14ac:dyDescent="0.3">
      <c r="T2846" t="str">
        <f>IF(ISERROR(MATCH('Analysis backend'!$M$1,E2846:N2846,0)),"",'Analysis backend'!$L$1)</f>
        <v/>
      </c>
      <c r="U2846" t="str">
        <f>IF(T2846='Analysis backend'!$L$1,IF(ISERROR(MATCH('Analysis backend'!$M$1,E2846:I2846,0)),"Dire","Radiant"),"")</f>
        <v/>
      </c>
    </row>
    <row r="2847" spans="20:21" x14ac:dyDescent="0.3">
      <c r="T2847" t="str">
        <f>IF(ISERROR(MATCH('Analysis backend'!$M$1,E2847:N2847,0)),"",'Analysis backend'!$L$1)</f>
        <v/>
      </c>
      <c r="U2847" t="str">
        <f>IF(T2847='Analysis backend'!$L$1,IF(ISERROR(MATCH('Analysis backend'!$M$1,E2847:I2847,0)),"Dire","Radiant"),"")</f>
        <v/>
      </c>
    </row>
    <row r="2848" spans="20:21" x14ac:dyDescent="0.3">
      <c r="T2848" t="str">
        <f>IF(ISERROR(MATCH('Analysis backend'!$M$1,E2848:N2848,0)),"",'Analysis backend'!$L$1)</f>
        <v/>
      </c>
      <c r="U2848" t="str">
        <f>IF(T2848='Analysis backend'!$L$1,IF(ISERROR(MATCH('Analysis backend'!$M$1,E2848:I2848,0)),"Dire","Radiant"),"")</f>
        <v/>
      </c>
    </row>
    <row r="2849" spans="20:21" x14ac:dyDescent="0.3">
      <c r="T2849" t="str">
        <f>IF(ISERROR(MATCH('Analysis backend'!$M$1,E2849:N2849,0)),"",'Analysis backend'!$L$1)</f>
        <v/>
      </c>
      <c r="U2849" t="str">
        <f>IF(T2849='Analysis backend'!$L$1,IF(ISERROR(MATCH('Analysis backend'!$M$1,E2849:I2849,0)),"Dire","Radiant"),"")</f>
        <v/>
      </c>
    </row>
    <row r="2850" spans="20:21" x14ac:dyDescent="0.3">
      <c r="T2850" t="str">
        <f>IF(ISERROR(MATCH('Analysis backend'!$M$1,E2850:N2850,0)),"",'Analysis backend'!$L$1)</f>
        <v/>
      </c>
      <c r="U2850" t="str">
        <f>IF(T2850='Analysis backend'!$L$1,IF(ISERROR(MATCH('Analysis backend'!$M$1,E2850:I2850,0)),"Dire","Radiant"),"")</f>
        <v/>
      </c>
    </row>
    <row r="2851" spans="20:21" x14ac:dyDescent="0.3">
      <c r="T2851" t="str">
        <f>IF(ISERROR(MATCH('Analysis backend'!$M$1,E2851:N2851,0)),"",'Analysis backend'!$L$1)</f>
        <v/>
      </c>
      <c r="U2851" t="str">
        <f>IF(T2851='Analysis backend'!$L$1,IF(ISERROR(MATCH('Analysis backend'!$M$1,E2851:I2851,0)),"Dire","Radiant"),"")</f>
        <v/>
      </c>
    </row>
    <row r="2852" spans="20:21" x14ac:dyDescent="0.3">
      <c r="T2852" t="str">
        <f>IF(ISERROR(MATCH('Analysis backend'!$M$1,E2852:N2852,0)),"",'Analysis backend'!$L$1)</f>
        <v/>
      </c>
      <c r="U2852" t="str">
        <f>IF(T2852='Analysis backend'!$L$1,IF(ISERROR(MATCH('Analysis backend'!$M$1,E2852:I2852,0)),"Dire","Radiant"),"")</f>
        <v/>
      </c>
    </row>
    <row r="2853" spans="20:21" x14ac:dyDescent="0.3">
      <c r="T2853" t="str">
        <f>IF(ISERROR(MATCH('Analysis backend'!$M$1,E2853:N2853,0)),"",'Analysis backend'!$L$1)</f>
        <v/>
      </c>
      <c r="U2853" t="str">
        <f>IF(T2853='Analysis backend'!$L$1,IF(ISERROR(MATCH('Analysis backend'!$M$1,E2853:I2853,0)),"Dire","Radiant"),"")</f>
        <v/>
      </c>
    </row>
    <row r="2854" spans="20:21" x14ac:dyDescent="0.3">
      <c r="T2854" t="str">
        <f>IF(ISERROR(MATCH('Analysis backend'!$M$1,E2854:N2854,0)),"",'Analysis backend'!$L$1)</f>
        <v/>
      </c>
      <c r="U2854" t="str">
        <f>IF(T2854='Analysis backend'!$L$1,IF(ISERROR(MATCH('Analysis backend'!$M$1,E2854:I2854,0)),"Dire","Radiant"),"")</f>
        <v/>
      </c>
    </row>
    <row r="2855" spans="20:21" x14ac:dyDescent="0.3">
      <c r="T2855" t="str">
        <f>IF(ISERROR(MATCH('Analysis backend'!$M$1,E2855:N2855,0)),"",'Analysis backend'!$L$1)</f>
        <v/>
      </c>
      <c r="U2855" t="str">
        <f>IF(T2855='Analysis backend'!$L$1,IF(ISERROR(MATCH('Analysis backend'!$M$1,E2855:I2855,0)),"Dire","Radiant"),"")</f>
        <v/>
      </c>
    </row>
    <row r="2856" spans="20:21" x14ac:dyDescent="0.3">
      <c r="T2856" t="str">
        <f>IF(ISERROR(MATCH('Analysis backend'!$M$1,E2856:N2856,0)),"",'Analysis backend'!$L$1)</f>
        <v/>
      </c>
      <c r="U2856" t="str">
        <f>IF(T2856='Analysis backend'!$L$1,IF(ISERROR(MATCH('Analysis backend'!$M$1,E2856:I2856,0)),"Dire","Radiant"),"")</f>
        <v/>
      </c>
    </row>
    <row r="2857" spans="20:21" x14ac:dyDescent="0.3">
      <c r="T2857" t="str">
        <f>IF(ISERROR(MATCH('Analysis backend'!$M$1,E2857:N2857,0)),"",'Analysis backend'!$L$1)</f>
        <v/>
      </c>
      <c r="U2857" t="str">
        <f>IF(T2857='Analysis backend'!$L$1,IF(ISERROR(MATCH('Analysis backend'!$M$1,E2857:I2857,0)),"Dire","Radiant"),"")</f>
        <v/>
      </c>
    </row>
    <row r="2858" spans="20:21" x14ac:dyDescent="0.3">
      <c r="T2858" t="str">
        <f>IF(ISERROR(MATCH('Analysis backend'!$M$1,E2858:N2858,0)),"",'Analysis backend'!$L$1)</f>
        <v/>
      </c>
      <c r="U2858" t="str">
        <f>IF(T2858='Analysis backend'!$L$1,IF(ISERROR(MATCH('Analysis backend'!$M$1,E2858:I2858,0)),"Dire","Radiant"),"")</f>
        <v/>
      </c>
    </row>
    <row r="2859" spans="20:21" x14ac:dyDescent="0.3">
      <c r="T2859" t="str">
        <f>IF(ISERROR(MATCH('Analysis backend'!$M$1,E2859:N2859,0)),"",'Analysis backend'!$L$1)</f>
        <v/>
      </c>
      <c r="U2859" t="str">
        <f>IF(T2859='Analysis backend'!$L$1,IF(ISERROR(MATCH('Analysis backend'!$M$1,E2859:I2859,0)),"Dire","Radiant"),"")</f>
        <v/>
      </c>
    </row>
    <row r="2860" spans="20:21" x14ac:dyDescent="0.3">
      <c r="T2860" t="str">
        <f>IF(ISERROR(MATCH('Analysis backend'!$M$1,E2860:N2860,0)),"",'Analysis backend'!$L$1)</f>
        <v/>
      </c>
      <c r="U2860" t="str">
        <f>IF(T2860='Analysis backend'!$L$1,IF(ISERROR(MATCH('Analysis backend'!$M$1,E2860:I2860,0)),"Dire","Radiant"),"")</f>
        <v/>
      </c>
    </row>
    <row r="2861" spans="20:21" x14ac:dyDescent="0.3">
      <c r="T2861" t="str">
        <f>IF(ISERROR(MATCH('Analysis backend'!$M$1,E2861:N2861,0)),"",'Analysis backend'!$L$1)</f>
        <v/>
      </c>
      <c r="U2861" t="str">
        <f>IF(T2861='Analysis backend'!$L$1,IF(ISERROR(MATCH('Analysis backend'!$M$1,E2861:I2861,0)),"Dire","Radiant"),"")</f>
        <v/>
      </c>
    </row>
    <row r="2862" spans="20:21" x14ac:dyDescent="0.3">
      <c r="T2862" t="str">
        <f>IF(ISERROR(MATCH('Analysis backend'!$M$1,E2862:N2862,0)),"",'Analysis backend'!$L$1)</f>
        <v/>
      </c>
      <c r="U2862" t="str">
        <f>IF(T2862='Analysis backend'!$L$1,IF(ISERROR(MATCH('Analysis backend'!$M$1,E2862:I2862,0)),"Dire","Radiant"),"")</f>
        <v/>
      </c>
    </row>
    <row r="2863" spans="20:21" x14ac:dyDescent="0.3">
      <c r="T2863" t="str">
        <f>IF(ISERROR(MATCH('Analysis backend'!$M$1,E2863:N2863,0)),"",'Analysis backend'!$L$1)</f>
        <v/>
      </c>
      <c r="U2863" t="str">
        <f>IF(T2863='Analysis backend'!$L$1,IF(ISERROR(MATCH('Analysis backend'!$M$1,E2863:I2863,0)),"Dire","Radiant"),"")</f>
        <v/>
      </c>
    </row>
    <row r="2864" spans="20:21" x14ac:dyDescent="0.3">
      <c r="T2864" t="str">
        <f>IF(ISERROR(MATCH('Analysis backend'!$M$1,E2864:N2864,0)),"",'Analysis backend'!$L$1)</f>
        <v/>
      </c>
      <c r="U2864" t="str">
        <f>IF(T2864='Analysis backend'!$L$1,IF(ISERROR(MATCH('Analysis backend'!$M$1,E2864:I2864,0)),"Dire","Radiant"),"")</f>
        <v/>
      </c>
    </row>
    <row r="2865" spans="20:21" x14ac:dyDescent="0.3">
      <c r="T2865" t="str">
        <f>IF(ISERROR(MATCH('Analysis backend'!$M$1,E2865:N2865,0)),"",'Analysis backend'!$L$1)</f>
        <v/>
      </c>
      <c r="U2865" t="str">
        <f>IF(T2865='Analysis backend'!$L$1,IF(ISERROR(MATCH('Analysis backend'!$M$1,E2865:I2865,0)),"Dire","Radiant"),"")</f>
        <v/>
      </c>
    </row>
    <row r="2866" spans="20:21" x14ac:dyDescent="0.3">
      <c r="T2866" t="str">
        <f>IF(ISERROR(MATCH('Analysis backend'!$M$1,E2866:N2866,0)),"",'Analysis backend'!$L$1)</f>
        <v/>
      </c>
      <c r="U2866" t="str">
        <f>IF(T2866='Analysis backend'!$L$1,IF(ISERROR(MATCH('Analysis backend'!$M$1,E2866:I2866,0)),"Dire","Radiant"),"")</f>
        <v/>
      </c>
    </row>
    <row r="2867" spans="20:21" x14ac:dyDescent="0.3">
      <c r="T2867" t="str">
        <f>IF(ISERROR(MATCH('Analysis backend'!$M$1,E2867:N2867,0)),"",'Analysis backend'!$L$1)</f>
        <v/>
      </c>
      <c r="U2867" t="str">
        <f>IF(T2867='Analysis backend'!$L$1,IF(ISERROR(MATCH('Analysis backend'!$M$1,E2867:I2867,0)),"Dire","Radiant"),"")</f>
        <v/>
      </c>
    </row>
    <row r="2868" spans="20:21" x14ac:dyDescent="0.3">
      <c r="T2868" t="str">
        <f>IF(ISERROR(MATCH('Analysis backend'!$M$1,E2868:N2868,0)),"",'Analysis backend'!$L$1)</f>
        <v/>
      </c>
      <c r="U2868" t="str">
        <f>IF(T2868='Analysis backend'!$L$1,IF(ISERROR(MATCH('Analysis backend'!$M$1,E2868:I2868,0)),"Dire","Radiant"),"")</f>
        <v/>
      </c>
    </row>
    <row r="2869" spans="20:21" x14ac:dyDescent="0.3">
      <c r="T2869" t="str">
        <f>IF(ISERROR(MATCH('Analysis backend'!$M$1,E2869:N2869,0)),"",'Analysis backend'!$L$1)</f>
        <v/>
      </c>
      <c r="U2869" t="str">
        <f>IF(T2869='Analysis backend'!$L$1,IF(ISERROR(MATCH('Analysis backend'!$M$1,E2869:I2869,0)),"Dire","Radiant"),"")</f>
        <v/>
      </c>
    </row>
    <row r="2870" spans="20:21" x14ac:dyDescent="0.3">
      <c r="T2870" t="str">
        <f>IF(ISERROR(MATCH('Analysis backend'!$M$1,E2870:N2870,0)),"",'Analysis backend'!$L$1)</f>
        <v/>
      </c>
      <c r="U2870" t="str">
        <f>IF(T2870='Analysis backend'!$L$1,IF(ISERROR(MATCH('Analysis backend'!$M$1,E2870:I2870,0)),"Dire","Radiant"),"")</f>
        <v/>
      </c>
    </row>
    <row r="2871" spans="20:21" x14ac:dyDescent="0.3">
      <c r="T2871" t="str">
        <f>IF(ISERROR(MATCH('Analysis backend'!$M$1,E2871:N2871,0)),"",'Analysis backend'!$L$1)</f>
        <v/>
      </c>
      <c r="U2871" t="str">
        <f>IF(T2871='Analysis backend'!$L$1,IF(ISERROR(MATCH('Analysis backend'!$M$1,E2871:I2871,0)),"Dire","Radiant"),"")</f>
        <v/>
      </c>
    </row>
    <row r="2872" spans="20:21" x14ac:dyDescent="0.3">
      <c r="T2872" t="str">
        <f>IF(ISERROR(MATCH('Analysis backend'!$M$1,E2872:N2872,0)),"",'Analysis backend'!$L$1)</f>
        <v/>
      </c>
      <c r="U2872" t="str">
        <f>IF(T2872='Analysis backend'!$L$1,IF(ISERROR(MATCH('Analysis backend'!$M$1,E2872:I2872,0)),"Dire","Radiant"),"")</f>
        <v/>
      </c>
    </row>
    <row r="2873" spans="20:21" x14ac:dyDescent="0.3">
      <c r="T2873" t="str">
        <f>IF(ISERROR(MATCH('Analysis backend'!$M$1,E2873:N2873,0)),"",'Analysis backend'!$L$1)</f>
        <v/>
      </c>
      <c r="U2873" t="str">
        <f>IF(T2873='Analysis backend'!$L$1,IF(ISERROR(MATCH('Analysis backend'!$M$1,E2873:I2873,0)),"Dire","Radiant"),"")</f>
        <v/>
      </c>
    </row>
    <row r="2874" spans="20:21" x14ac:dyDescent="0.3">
      <c r="T2874" t="str">
        <f>IF(ISERROR(MATCH('Analysis backend'!$M$1,E2874:N2874,0)),"",'Analysis backend'!$L$1)</f>
        <v/>
      </c>
      <c r="U2874" t="str">
        <f>IF(T2874='Analysis backend'!$L$1,IF(ISERROR(MATCH('Analysis backend'!$M$1,E2874:I2874,0)),"Dire","Radiant"),"")</f>
        <v/>
      </c>
    </row>
    <row r="2875" spans="20:21" x14ac:dyDescent="0.3">
      <c r="T2875" t="str">
        <f>IF(ISERROR(MATCH('Analysis backend'!$M$1,E2875:N2875,0)),"",'Analysis backend'!$L$1)</f>
        <v/>
      </c>
      <c r="U2875" t="str">
        <f>IF(T2875='Analysis backend'!$L$1,IF(ISERROR(MATCH('Analysis backend'!$M$1,E2875:I2875,0)),"Dire","Radiant"),"")</f>
        <v/>
      </c>
    </row>
    <row r="2876" spans="20:21" x14ac:dyDescent="0.3">
      <c r="T2876" t="str">
        <f>IF(ISERROR(MATCH('Analysis backend'!$M$1,E2876:N2876,0)),"",'Analysis backend'!$L$1)</f>
        <v/>
      </c>
      <c r="U2876" t="str">
        <f>IF(T2876='Analysis backend'!$L$1,IF(ISERROR(MATCH('Analysis backend'!$M$1,E2876:I2876,0)),"Dire","Radiant"),"")</f>
        <v/>
      </c>
    </row>
    <row r="2877" spans="20:21" x14ac:dyDescent="0.3">
      <c r="T2877" t="str">
        <f>IF(ISERROR(MATCH('Analysis backend'!$M$1,E2877:N2877,0)),"",'Analysis backend'!$L$1)</f>
        <v/>
      </c>
      <c r="U2877" t="str">
        <f>IF(T2877='Analysis backend'!$L$1,IF(ISERROR(MATCH('Analysis backend'!$M$1,E2877:I2877,0)),"Dire","Radiant"),"")</f>
        <v/>
      </c>
    </row>
    <row r="2878" spans="20:21" x14ac:dyDescent="0.3">
      <c r="T2878" t="str">
        <f>IF(ISERROR(MATCH('Analysis backend'!$M$1,E2878:N2878,0)),"",'Analysis backend'!$L$1)</f>
        <v/>
      </c>
      <c r="U2878" t="str">
        <f>IF(T2878='Analysis backend'!$L$1,IF(ISERROR(MATCH('Analysis backend'!$M$1,E2878:I2878,0)),"Dire","Radiant"),"")</f>
        <v/>
      </c>
    </row>
    <row r="2879" spans="20:21" x14ac:dyDescent="0.3">
      <c r="T2879" t="str">
        <f>IF(ISERROR(MATCH('Analysis backend'!$M$1,E2879:N2879,0)),"",'Analysis backend'!$L$1)</f>
        <v/>
      </c>
      <c r="U2879" t="str">
        <f>IF(T2879='Analysis backend'!$L$1,IF(ISERROR(MATCH('Analysis backend'!$M$1,E2879:I2879,0)),"Dire","Radiant"),"")</f>
        <v/>
      </c>
    </row>
    <row r="2880" spans="20:21" x14ac:dyDescent="0.3">
      <c r="T2880" t="str">
        <f>IF(ISERROR(MATCH('Analysis backend'!$M$1,E2880:N2880,0)),"",'Analysis backend'!$L$1)</f>
        <v/>
      </c>
      <c r="U2880" t="str">
        <f>IF(T2880='Analysis backend'!$L$1,IF(ISERROR(MATCH('Analysis backend'!$M$1,E2880:I2880,0)),"Dire","Radiant"),"")</f>
        <v/>
      </c>
    </row>
    <row r="2881" spans="20:21" x14ac:dyDescent="0.3">
      <c r="T2881" t="str">
        <f>IF(ISERROR(MATCH('Analysis backend'!$M$1,E2881:N2881,0)),"",'Analysis backend'!$L$1)</f>
        <v/>
      </c>
      <c r="U2881" t="str">
        <f>IF(T2881='Analysis backend'!$L$1,IF(ISERROR(MATCH('Analysis backend'!$M$1,E2881:I2881,0)),"Dire","Radiant"),"")</f>
        <v/>
      </c>
    </row>
    <row r="2882" spans="20:21" x14ac:dyDescent="0.3">
      <c r="T2882" t="str">
        <f>IF(ISERROR(MATCH('Analysis backend'!$M$1,E2882:N2882,0)),"",'Analysis backend'!$L$1)</f>
        <v/>
      </c>
      <c r="U2882" t="str">
        <f>IF(T2882='Analysis backend'!$L$1,IF(ISERROR(MATCH('Analysis backend'!$M$1,E2882:I2882,0)),"Dire","Radiant"),"")</f>
        <v/>
      </c>
    </row>
    <row r="2883" spans="20:21" x14ac:dyDescent="0.3">
      <c r="T2883" t="str">
        <f>IF(ISERROR(MATCH('Analysis backend'!$M$1,E2883:N2883,0)),"",'Analysis backend'!$L$1)</f>
        <v/>
      </c>
      <c r="U2883" t="str">
        <f>IF(T2883='Analysis backend'!$L$1,IF(ISERROR(MATCH('Analysis backend'!$M$1,E2883:I2883,0)),"Dire","Radiant"),"")</f>
        <v/>
      </c>
    </row>
    <row r="2884" spans="20:21" x14ac:dyDescent="0.3">
      <c r="T2884" t="str">
        <f>IF(ISERROR(MATCH('Analysis backend'!$M$1,E2884:N2884,0)),"",'Analysis backend'!$L$1)</f>
        <v/>
      </c>
      <c r="U2884" t="str">
        <f>IF(T2884='Analysis backend'!$L$1,IF(ISERROR(MATCH('Analysis backend'!$M$1,E2884:I2884,0)),"Dire","Radiant"),"")</f>
        <v/>
      </c>
    </row>
    <row r="2885" spans="20:21" x14ac:dyDescent="0.3">
      <c r="T2885" t="str">
        <f>IF(ISERROR(MATCH('Analysis backend'!$M$1,E2885:N2885,0)),"",'Analysis backend'!$L$1)</f>
        <v/>
      </c>
      <c r="U2885" t="str">
        <f>IF(T2885='Analysis backend'!$L$1,IF(ISERROR(MATCH('Analysis backend'!$M$1,E2885:I2885,0)),"Dire","Radiant"),"")</f>
        <v/>
      </c>
    </row>
    <row r="2886" spans="20:21" x14ac:dyDescent="0.3">
      <c r="T2886" t="str">
        <f>IF(ISERROR(MATCH('Analysis backend'!$M$1,E2886:N2886,0)),"",'Analysis backend'!$L$1)</f>
        <v/>
      </c>
      <c r="U2886" t="str">
        <f>IF(T2886='Analysis backend'!$L$1,IF(ISERROR(MATCH('Analysis backend'!$M$1,E2886:I2886,0)),"Dire","Radiant"),"")</f>
        <v/>
      </c>
    </row>
    <row r="2887" spans="20:21" x14ac:dyDescent="0.3">
      <c r="T2887" t="str">
        <f>IF(ISERROR(MATCH('Analysis backend'!$M$1,E2887:N2887,0)),"",'Analysis backend'!$L$1)</f>
        <v/>
      </c>
      <c r="U2887" t="str">
        <f>IF(T2887='Analysis backend'!$L$1,IF(ISERROR(MATCH('Analysis backend'!$M$1,E2887:I2887,0)),"Dire","Radiant"),"")</f>
        <v/>
      </c>
    </row>
    <row r="2888" spans="20:21" x14ac:dyDescent="0.3">
      <c r="T2888" t="str">
        <f>IF(ISERROR(MATCH('Analysis backend'!$M$1,E2888:N2888,0)),"",'Analysis backend'!$L$1)</f>
        <v/>
      </c>
      <c r="U2888" t="str">
        <f>IF(T2888='Analysis backend'!$L$1,IF(ISERROR(MATCH('Analysis backend'!$M$1,E2888:I2888,0)),"Dire","Radiant"),"")</f>
        <v/>
      </c>
    </row>
    <row r="2889" spans="20:21" x14ac:dyDescent="0.3">
      <c r="T2889" t="str">
        <f>IF(ISERROR(MATCH('Analysis backend'!$M$1,E2889:N2889,0)),"",'Analysis backend'!$L$1)</f>
        <v/>
      </c>
      <c r="U2889" t="str">
        <f>IF(T2889='Analysis backend'!$L$1,IF(ISERROR(MATCH('Analysis backend'!$M$1,E2889:I2889,0)),"Dire","Radiant"),"")</f>
        <v/>
      </c>
    </row>
    <row r="2890" spans="20:21" x14ac:dyDescent="0.3">
      <c r="T2890" t="str">
        <f>IF(ISERROR(MATCH('Analysis backend'!$M$1,E2890:N2890,0)),"",'Analysis backend'!$L$1)</f>
        <v/>
      </c>
      <c r="U2890" t="str">
        <f>IF(T2890='Analysis backend'!$L$1,IF(ISERROR(MATCH('Analysis backend'!$M$1,E2890:I2890,0)),"Dire","Radiant"),"")</f>
        <v/>
      </c>
    </row>
    <row r="2891" spans="20:21" x14ac:dyDescent="0.3">
      <c r="T2891" t="str">
        <f>IF(ISERROR(MATCH('Analysis backend'!$M$1,E2891:N2891,0)),"",'Analysis backend'!$L$1)</f>
        <v/>
      </c>
      <c r="U2891" t="str">
        <f>IF(T2891='Analysis backend'!$L$1,IF(ISERROR(MATCH('Analysis backend'!$M$1,E2891:I2891,0)),"Dire","Radiant"),"")</f>
        <v/>
      </c>
    </row>
    <row r="2892" spans="20:21" x14ac:dyDescent="0.3">
      <c r="T2892" t="str">
        <f>IF(ISERROR(MATCH('Analysis backend'!$M$1,E2892:N2892,0)),"",'Analysis backend'!$L$1)</f>
        <v/>
      </c>
      <c r="U2892" t="str">
        <f>IF(T2892='Analysis backend'!$L$1,IF(ISERROR(MATCH('Analysis backend'!$M$1,E2892:I2892,0)),"Dire","Radiant"),"")</f>
        <v/>
      </c>
    </row>
    <row r="2893" spans="20:21" x14ac:dyDescent="0.3">
      <c r="T2893" t="str">
        <f>IF(ISERROR(MATCH('Analysis backend'!$M$1,E2893:N2893,0)),"",'Analysis backend'!$L$1)</f>
        <v/>
      </c>
      <c r="U2893" t="str">
        <f>IF(T2893='Analysis backend'!$L$1,IF(ISERROR(MATCH('Analysis backend'!$M$1,E2893:I2893,0)),"Dire","Radiant"),"")</f>
        <v/>
      </c>
    </row>
    <row r="2894" spans="20:21" x14ac:dyDescent="0.3">
      <c r="T2894" t="str">
        <f>IF(ISERROR(MATCH('Analysis backend'!$M$1,E2894:N2894,0)),"",'Analysis backend'!$L$1)</f>
        <v/>
      </c>
      <c r="U2894" t="str">
        <f>IF(T2894='Analysis backend'!$L$1,IF(ISERROR(MATCH('Analysis backend'!$M$1,E2894:I2894,0)),"Dire","Radiant"),"")</f>
        <v/>
      </c>
    </row>
    <row r="2895" spans="20:21" x14ac:dyDescent="0.3">
      <c r="T2895" t="str">
        <f>IF(ISERROR(MATCH('Analysis backend'!$M$1,E2895:N2895,0)),"",'Analysis backend'!$L$1)</f>
        <v/>
      </c>
      <c r="U2895" t="str">
        <f>IF(T2895='Analysis backend'!$L$1,IF(ISERROR(MATCH('Analysis backend'!$M$1,E2895:I2895,0)),"Dire","Radiant"),"")</f>
        <v/>
      </c>
    </row>
    <row r="2896" spans="20:21" x14ac:dyDescent="0.3">
      <c r="T2896" t="str">
        <f>IF(ISERROR(MATCH('Analysis backend'!$M$1,E2896:N2896,0)),"",'Analysis backend'!$L$1)</f>
        <v/>
      </c>
      <c r="U2896" t="str">
        <f>IF(T2896='Analysis backend'!$L$1,IF(ISERROR(MATCH('Analysis backend'!$M$1,E2896:I2896,0)),"Dire","Radiant"),"")</f>
        <v/>
      </c>
    </row>
    <row r="2897" spans="20:21" x14ac:dyDescent="0.3">
      <c r="T2897" t="str">
        <f>IF(ISERROR(MATCH('Analysis backend'!$M$1,E2897:N2897,0)),"",'Analysis backend'!$L$1)</f>
        <v/>
      </c>
      <c r="U2897" t="str">
        <f>IF(T2897='Analysis backend'!$L$1,IF(ISERROR(MATCH('Analysis backend'!$M$1,E2897:I2897,0)),"Dire","Radiant"),"")</f>
        <v/>
      </c>
    </row>
    <row r="2898" spans="20:21" x14ac:dyDescent="0.3">
      <c r="T2898" t="str">
        <f>IF(ISERROR(MATCH('Analysis backend'!$M$1,E2898:N2898,0)),"",'Analysis backend'!$L$1)</f>
        <v/>
      </c>
      <c r="U2898" t="str">
        <f>IF(T2898='Analysis backend'!$L$1,IF(ISERROR(MATCH('Analysis backend'!$M$1,E2898:I2898,0)),"Dire","Radiant"),"")</f>
        <v/>
      </c>
    </row>
    <row r="2899" spans="20:21" x14ac:dyDescent="0.3">
      <c r="T2899" t="str">
        <f>IF(ISERROR(MATCH('Analysis backend'!$M$1,E2899:N2899,0)),"",'Analysis backend'!$L$1)</f>
        <v/>
      </c>
      <c r="U2899" t="str">
        <f>IF(T2899='Analysis backend'!$L$1,IF(ISERROR(MATCH('Analysis backend'!$M$1,E2899:I2899,0)),"Dire","Radiant"),"")</f>
        <v/>
      </c>
    </row>
    <row r="2900" spans="20:21" x14ac:dyDescent="0.3">
      <c r="T2900" t="str">
        <f>IF(ISERROR(MATCH('Analysis backend'!$M$1,E2900:N2900,0)),"",'Analysis backend'!$L$1)</f>
        <v/>
      </c>
      <c r="U2900" t="str">
        <f>IF(T2900='Analysis backend'!$L$1,IF(ISERROR(MATCH('Analysis backend'!$M$1,E2900:I2900,0)),"Dire","Radiant"),"")</f>
        <v/>
      </c>
    </row>
    <row r="2901" spans="20:21" x14ac:dyDescent="0.3">
      <c r="T2901" t="str">
        <f>IF(ISERROR(MATCH('Analysis backend'!$M$1,E2901:N2901,0)),"",'Analysis backend'!$L$1)</f>
        <v/>
      </c>
      <c r="U2901" t="str">
        <f>IF(T2901='Analysis backend'!$L$1,IF(ISERROR(MATCH('Analysis backend'!$M$1,E2901:I2901,0)),"Dire","Radiant"),"")</f>
        <v/>
      </c>
    </row>
    <row r="2902" spans="20:21" x14ac:dyDescent="0.3">
      <c r="T2902" t="str">
        <f>IF(ISERROR(MATCH('Analysis backend'!$M$1,E2902:N2902,0)),"",'Analysis backend'!$L$1)</f>
        <v/>
      </c>
      <c r="U2902" t="str">
        <f>IF(T2902='Analysis backend'!$L$1,IF(ISERROR(MATCH('Analysis backend'!$M$1,E2902:I2902,0)),"Dire","Radiant"),"")</f>
        <v/>
      </c>
    </row>
    <row r="2903" spans="20:21" x14ac:dyDescent="0.3">
      <c r="T2903" t="str">
        <f>IF(ISERROR(MATCH('Analysis backend'!$M$1,E2903:N2903,0)),"",'Analysis backend'!$L$1)</f>
        <v/>
      </c>
      <c r="U2903" t="str">
        <f>IF(T2903='Analysis backend'!$L$1,IF(ISERROR(MATCH('Analysis backend'!$M$1,E2903:I2903,0)),"Dire","Radiant"),"")</f>
        <v/>
      </c>
    </row>
    <row r="2904" spans="20:21" x14ac:dyDescent="0.3">
      <c r="T2904" t="str">
        <f>IF(ISERROR(MATCH('Analysis backend'!$M$1,E2904:N2904,0)),"",'Analysis backend'!$L$1)</f>
        <v/>
      </c>
      <c r="U2904" t="str">
        <f>IF(T2904='Analysis backend'!$L$1,IF(ISERROR(MATCH('Analysis backend'!$M$1,E2904:I2904,0)),"Dire","Radiant"),"")</f>
        <v/>
      </c>
    </row>
    <row r="2905" spans="20:21" x14ac:dyDescent="0.3">
      <c r="T2905" t="str">
        <f>IF(ISERROR(MATCH('Analysis backend'!$M$1,E2905:N2905,0)),"",'Analysis backend'!$L$1)</f>
        <v/>
      </c>
      <c r="U2905" t="str">
        <f>IF(T2905='Analysis backend'!$L$1,IF(ISERROR(MATCH('Analysis backend'!$M$1,E2905:I2905,0)),"Dire","Radiant"),"")</f>
        <v/>
      </c>
    </row>
    <row r="2906" spans="20:21" x14ac:dyDescent="0.3">
      <c r="T2906" t="str">
        <f>IF(ISERROR(MATCH('Analysis backend'!$M$1,E2906:N2906,0)),"",'Analysis backend'!$L$1)</f>
        <v/>
      </c>
      <c r="U2906" t="str">
        <f>IF(T2906='Analysis backend'!$L$1,IF(ISERROR(MATCH('Analysis backend'!$M$1,E2906:I2906,0)),"Dire","Radiant"),"")</f>
        <v/>
      </c>
    </row>
    <row r="2907" spans="20:21" x14ac:dyDescent="0.3">
      <c r="T2907" t="str">
        <f>IF(ISERROR(MATCH('Analysis backend'!$M$1,E2907:N2907,0)),"",'Analysis backend'!$L$1)</f>
        <v/>
      </c>
      <c r="U2907" t="str">
        <f>IF(T2907='Analysis backend'!$L$1,IF(ISERROR(MATCH('Analysis backend'!$M$1,E2907:I2907,0)),"Dire","Radiant"),"")</f>
        <v/>
      </c>
    </row>
    <row r="2908" spans="20:21" x14ac:dyDescent="0.3">
      <c r="T2908" t="str">
        <f>IF(ISERROR(MATCH('Analysis backend'!$M$1,E2908:N2908,0)),"",'Analysis backend'!$L$1)</f>
        <v/>
      </c>
      <c r="U2908" t="str">
        <f>IF(T2908='Analysis backend'!$L$1,IF(ISERROR(MATCH('Analysis backend'!$M$1,E2908:I2908,0)),"Dire","Radiant"),"")</f>
        <v/>
      </c>
    </row>
    <row r="2909" spans="20:21" x14ac:dyDescent="0.3">
      <c r="T2909" t="str">
        <f>IF(ISERROR(MATCH('Analysis backend'!$M$1,E2909:N2909,0)),"",'Analysis backend'!$L$1)</f>
        <v/>
      </c>
      <c r="U2909" t="str">
        <f>IF(T2909='Analysis backend'!$L$1,IF(ISERROR(MATCH('Analysis backend'!$M$1,E2909:I2909,0)),"Dire","Radiant"),"")</f>
        <v/>
      </c>
    </row>
    <row r="2910" spans="20:21" x14ac:dyDescent="0.3">
      <c r="T2910" t="str">
        <f>IF(ISERROR(MATCH('Analysis backend'!$M$1,E2910:N2910,0)),"",'Analysis backend'!$L$1)</f>
        <v/>
      </c>
      <c r="U2910" t="str">
        <f>IF(T2910='Analysis backend'!$L$1,IF(ISERROR(MATCH('Analysis backend'!$M$1,E2910:I2910,0)),"Dire","Radiant"),"")</f>
        <v/>
      </c>
    </row>
    <row r="2911" spans="20:21" x14ac:dyDescent="0.3">
      <c r="T2911" t="str">
        <f>IF(ISERROR(MATCH('Analysis backend'!$M$1,E2911:N2911,0)),"",'Analysis backend'!$L$1)</f>
        <v/>
      </c>
      <c r="U2911" t="str">
        <f>IF(T2911='Analysis backend'!$L$1,IF(ISERROR(MATCH('Analysis backend'!$M$1,E2911:I2911,0)),"Dire","Radiant"),"")</f>
        <v/>
      </c>
    </row>
    <row r="2912" spans="20:21" x14ac:dyDescent="0.3">
      <c r="T2912" t="str">
        <f>IF(ISERROR(MATCH('Analysis backend'!$M$1,E2912:N2912,0)),"",'Analysis backend'!$L$1)</f>
        <v/>
      </c>
      <c r="U2912" t="str">
        <f>IF(T2912='Analysis backend'!$L$1,IF(ISERROR(MATCH('Analysis backend'!$M$1,E2912:I2912,0)),"Dire","Radiant"),"")</f>
        <v/>
      </c>
    </row>
    <row r="2913" spans="20:21" x14ac:dyDescent="0.3">
      <c r="T2913" t="str">
        <f>IF(ISERROR(MATCH('Analysis backend'!$M$1,E2913:N2913,0)),"",'Analysis backend'!$L$1)</f>
        <v/>
      </c>
      <c r="U2913" t="str">
        <f>IF(T2913='Analysis backend'!$L$1,IF(ISERROR(MATCH('Analysis backend'!$M$1,E2913:I2913,0)),"Dire","Radiant"),"")</f>
        <v/>
      </c>
    </row>
    <row r="2914" spans="20:21" x14ac:dyDescent="0.3">
      <c r="T2914" t="str">
        <f>IF(ISERROR(MATCH('Analysis backend'!$M$1,E2914:N2914,0)),"",'Analysis backend'!$L$1)</f>
        <v/>
      </c>
      <c r="U2914" t="str">
        <f>IF(T2914='Analysis backend'!$L$1,IF(ISERROR(MATCH('Analysis backend'!$M$1,E2914:I2914,0)),"Dire","Radiant"),"")</f>
        <v/>
      </c>
    </row>
    <row r="2915" spans="20:21" x14ac:dyDescent="0.3">
      <c r="T2915" t="str">
        <f>IF(ISERROR(MATCH('Analysis backend'!$M$1,E2915:N2915,0)),"",'Analysis backend'!$L$1)</f>
        <v/>
      </c>
      <c r="U2915" t="str">
        <f>IF(T2915='Analysis backend'!$L$1,IF(ISERROR(MATCH('Analysis backend'!$M$1,E2915:I2915,0)),"Dire","Radiant"),"")</f>
        <v/>
      </c>
    </row>
    <row r="2916" spans="20:21" x14ac:dyDescent="0.3">
      <c r="T2916" t="str">
        <f>IF(ISERROR(MATCH('Analysis backend'!$M$1,E2916:N2916,0)),"",'Analysis backend'!$L$1)</f>
        <v/>
      </c>
      <c r="U2916" t="str">
        <f>IF(T2916='Analysis backend'!$L$1,IF(ISERROR(MATCH('Analysis backend'!$M$1,E2916:I2916,0)),"Dire","Radiant"),"")</f>
        <v/>
      </c>
    </row>
    <row r="2917" spans="20:21" x14ac:dyDescent="0.3">
      <c r="T2917" t="str">
        <f>IF(ISERROR(MATCH('Analysis backend'!$M$1,E2917:N2917,0)),"",'Analysis backend'!$L$1)</f>
        <v/>
      </c>
      <c r="U2917" t="str">
        <f>IF(T2917='Analysis backend'!$L$1,IF(ISERROR(MATCH('Analysis backend'!$M$1,E2917:I2917,0)),"Dire","Radiant"),"")</f>
        <v/>
      </c>
    </row>
    <row r="2918" spans="20:21" x14ac:dyDescent="0.3">
      <c r="T2918" t="str">
        <f>IF(ISERROR(MATCH('Analysis backend'!$M$1,E2918:N2918,0)),"",'Analysis backend'!$L$1)</f>
        <v/>
      </c>
      <c r="U2918" t="str">
        <f>IF(T2918='Analysis backend'!$L$1,IF(ISERROR(MATCH('Analysis backend'!$M$1,E2918:I2918,0)),"Dire","Radiant"),"")</f>
        <v/>
      </c>
    </row>
    <row r="2919" spans="20:21" x14ac:dyDescent="0.3">
      <c r="T2919" t="str">
        <f>IF(ISERROR(MATCH('Analysis backend'!$M$1,E2919:N2919,0)),"",'Analysis backend'!$L$1)</f>
        <v/>
      </c>
      <c r="U2919" t="str">
        <f>IF(T2919='Analysis backend'!$L$1,IF(ISERROR(MATCH('Analysis backend'!$M$1,E2919:I2919,0)),"Dire","Radiant"),"")</f>
        <v/>
      </c>
    </row>
    <row r="2920" spans="20:21" x14ac:dyDescent="0.3">
      <c r="T2920" t="str">
        <f>IF(ISERROR(MATCH('Analysis backend'!$M$1,E2920:N2920,0)),"",'Analysis backend'!$L$1)</f>
        <v/>
      </c>
      <c r="U2920" t="str">
        <f>IF(T2920='Analysis backend'!$L$1,IF(ISERROR(MATCH('Analysis backend'!$M$1,E2920:I2920,0)),"Dire","Radiant"),"")</f>
        <v/>
      </c>
    </row>
    <row r="2921" spans="20:21" x14ac:dyDescent="0.3">
      <c r="T2921" t="str">
        <f>IF(ISERROR(MATCH('Analysis backend'!$M$1,E2921:N2921,0)),"",'Analysis backend'!$L$1)</f>
        <v/>
      </c>
      <c r="U2921" t="str">
        <f>IF(T2921='Analysis backend'!$L$1,IF(ISERROR(MATCH('Analysis backend'!$M$1,E2921:I2921,0)),"Dire","Radiant"),"")</f>
        <v/>
      </c>
    </row>
    <row r="2922" spans="20:21" x14ac:dyDescent="0.3">
      <c r="T2922" t="str">
        <f>IF(ISERROR(MATCH('Analysis backend'!$M$1,E2922:N2922,0)),"",'Analysis backend'!$L$1)</f>
        <v/>
      </c>
      <c r="U2922" t="str">
        <f>IF(T2922='Analysis backend'!$L$1,IF(ISERROR(MATCH('Analysis backend'!$M$1,E2922:I2922,0)),"Dire","Radiant"),"")</f>
        <v/>
      </c>
    </row>
    <row r="2923" spans="20:21" x14ac:dyDescent="0.3">
      <c r="T2923" t="str">
        <f>IF(ISERROR(MATCH('Analysis backend'!$M$1,E2923:N2923,0)),"",'Analysis backend'!$L$1)</f>
        <v/>
      </c>
      <c r="U2923" t="str">
        <f>IF(T2923='Analysis backend'!$L$1,IF(ISERROR(MATCH('Analysis backend'!$M$1,E2923:I2923,0)),"Dire","Radiant"),"")</f>
        <v/>
      </c>
    </row>
    <row r="2924" spans="20:21" x14ac:dyDescent="0.3">
      <c r="T2924" t="str">
        <f>IF(ISERROR(MATCH('Analysis backend'!$M$1,E2924:N2924,0)),"",'Analysis backend'!$L$1)</f>
        <v/>
      </c>
      <c r="U2924" t="str">
        <f>IF(T2924='Analysis backend'!$L$1,IF(ISERROR(MATCH('Analysis backend'!$M$1,E2924:I2924,0)),"Dire","Radiant"),"")</f>
        <v/>
      </c>
    </row>
    <row r="2925" spans="20:21" x14ac:dyDescent="0.3">
      <c r="T2925" t="str">
        <f>IF(ISERROR(MATCH('Analysis backend'!$M$1,E2925:N2925,0)),"",'Analysis backend'!$L$1)</f>
        <v/>
      </c>
      <c r="U2925" t="str">
        <f>IF(T2925='Analysis backend'!$L$1,IF(ISERROR(MATCH('Analysis backend'!$M$1,E2925:I2925,0)),"Dire","Radiant"),"")</f>
        <v/>
      </c>
    </row>
    <row r="2926" spans="20:21" x14ac:dyDescent="0.3">
      <c r="T2926" t="str">
        <f>IF(ISERROR(MATCH('Analysis backend'!$M$1,E2926:N2926,0)),"",'Analysis backend'!$L$1)</f>
        <v/>
      </c>
      <c r="U2926" t="str">
        <f>IF(T2926='Analysis backend'!$L$1,IF(ISERROR(MATCH('Analysis backend'!$M$1,E2926:I2926,0)),"Dire","Radiant"),"")</f>
        <v/>
      </c>
    </row>
    <row r="2927" spans="20:21" x14ac:dyDescent="0.3">
      <c r="T2927" t="str">
        <f>IF(ISERROR(MATCH('Analysis backend'!$M$1,E2927:N2927,0)),"",'Analysis backend'!$L$1)</f>
        <v/>
      </c>
      <c r="U2927" t="str">
        <f>IF(T2927='Analysis backend'!$L$1,IF(ISERROR(MATCH('Analysis backend'!$M$1,E2927:I2927,0)),"Dire","Radiant"),"")</f>
        <v/>
      </c>
    </row>
    <row r="2928" spans="20:21" x14ac:dyDescent="0.3">
      <c r="T2928" t="str">
        <f>IF(ISERROR(MATCH('Analysis backend'!$M$1,E2928:N2928,0)),"",'Analysis backend'!$L$1)</f>
        <v/>
      </c>
      <c r="U2928" t="str">
        <f>IF(T2928='Analysis backend'!$L$1,IF(ISERROR(MATCH('Analysis backend'!$M$1,E2928:I2928,0)),"Dire","Radiant"),"")</f>
        <v/>
      </c>
    </row>
    <row r="2929" spans="20:21" x14ac:dyDescent="0.3">
      <c r="T2929" t="str">
        <f>IF(ISERROR(MATCH('Analysis backend'!$M$1,E2929:N2929,0)),"",'Analysis backend'!$L$1)</f>
        <v/>
      </c>
      <c r="U2929" t="str">
        <f>IF(T2929='Analysis backend'!$L$1,IF(ISERROR(MATCH('Analysis backend'!$M$1,E2929:I2929,0)),"Dire","Radiant"),"")</f>
        <v/>
      </c>
    </row>
    <row r="2930" spans="20:21" x14ac:dyDescent="0.3">
      <c r="T2930" t="str">
        <f>IF(ISERROR(MATCH('Analysis backend'!$M$1,E2930:N2930,0)),"",'Analysis backend'!$L$1)</f>
        <v/>
      </c>
      <c r="U2930" t="str">
        <f>IF(T2930='Analysis backend'!$L$1,IF(ISERROR(MATCH('Analysis backend'!$M$1,E2930:I2930,0)),"Dire","Radiant"),"")</f>
        <v/>
      </c>
    </row>
    <row r="2931" spans="20:21" x14ac:dyDescent="0.3">
      <c r="T2931" t="str">
        <f>IF(ISERROR(MATCH('Analysis backend'!$M$1,E2931:N2931,0)),"",'Analysis backend'!$L$1)</f>
        <v/>
      </c>
      <c r="U2931" t="str">
        <f>IF(T2931='Analysis backend'!$L$1,IF(ISERROR(MATCH('Analysis backend'!$M$1,E2931:I2931,0)),"Dire","Radiant"),"")</f>
        <v/>
      </c>
    </row>
    <row r="2932" spans="20:21" x14ac:dyDescent="0.3">
      <c r="T2932" t="str">
        <f>IF(ISERROR(MATCH('Analysis backend'!$M$1,E2932:N2932,0)),"",'Analysis backend'!$L$1)</f>
        <v/>
      </c>
      <c r="U2932" t="str">
        <f>IF(T2932='Analysis backend'!$L$1,IF(ISERROR(MATCH('Analysis backend'!$M$1,E2932:I2932,0)),"Dire","Radiant"),"")</f>
        <v/>
      </c>
    </row>
    <row r="2933" spans="20:21" x14ac:dyDescent="0.3">
      <c r="T2933" t="str">
        <f>IF(ISERROR(MATCH('Analysis backend'!$M$1,E2933:N2933,0)),"",'Analysis backend'!$L$1)</f>
        <v/>
      </c>
      <c r="U2933" t="str">
        <f>IF(T2933='Analysis backend'!$L$1,IF(ISERROR(MATCH('Analysis backend'!$M$1,E2933:I2933,0)),"Dire","Radiant"),"")</f>
        <v/>
      </c>
    </row>
    <row r="2934" spans="20:21" x14ac:dyDescent="0.3">
      <c r="T2934" t="str">
        <f>IF(ISERROR(MATCH('Analysis backend'!$M$1,E2934:N2934,0)),"",'Analysis backend'!$L$1)</f>
        <v/>
      </c>
      <c r="U2934" t="str">
        <f>IF(T2934='Analysis backend'!$L$1,IF(ISERROR(MATCH('Analysis backend'!$M$1,E2934:I2934,0)),"Dire","Radiant"),"")</f>
        <v/>
      </c>
    </row>
    <row r="2935" spans="20:21" x14ac:dyDescent="0.3">
      <c r="T2935" t="str">
        <f>IF(ISERROR(MATCH('Analysis backend'!$M$1,E2935:N2935,0)),"",'Analysis backend'!$L$1)</f>
        <v/>
      </c>
      <c r="U2935" t="str">
        <f>IF(T2935='Analysis backend'!$L$1,IF(ISERROR(MATCH('Analysis backend'!$M$1,E2935:I2935,0)),"Dire","Radiant"),"")</f>
        <v/>
      </c>
    </row>
    <row r="2936" spans="20:21" x14ac:dyDescent="0.3">
      <c r="T2936" t="str">
        <f>IF(ISERROR(MATCH('Analysis backend'!$M$1,E2936:N2936,0)),"",'Analysis backend'!$L$1)</f>
        <v/>
      </c>
      <c r="U2936" t="str">
        <f>IF(T2936='Analysis backend'!$L$1,IF(ISERROR(MATCH('Analysis backend'!$M$1,E2936:I2936,0)),"Dire","Radiant"),"")</f>
        <v/>
      </c>
    </row>
    <row r="2937" spans="20:21" x14ac:dyDescent="0.3">
      <c r="T2937" t="str">
        <f>IF(ISERROR(MATCH('Analysis backend'!$M$1,E2937:N2937,0)),"",'Analysis backend'!$L$1)</f>
        <v/>
      </c>
      <c r="U2937" t="str">
        <f>IF(T2937='Analysis backend'!$L$1,IF(ISERROR(MATCH('Analysis backend'!$M$1,E2937:I2937,0)),"Dire","Radiant"),"")</f>
        <v/>
      </c>
    </row>
    <row r="2938" spans="20:21" x14ac:dyDescent="0.3">
      <c r="T2938" t="str">
        <f>IF(ISERROR(MATCH('Analysis backend'!$M$1,E2938:N2938,0)),"",'Analysis backend'!$L$1)</f>
        <v/>
      </c>
      <c r="U2938" t="str">
        <f>IF(T2938='Analysis backend'!$L$1,IF(ISERROR(MATCH('Analysis backend'!$M$1,E2938:I2938,0)),"Dire","Radiant"),"")</f>
        <v/>
      </c>
    </row>
    <row r="2939" spans="20:21" x14ac:dyDescent="0.3">
      <c r="T2939" t="str">
        <f>IF(ISERROR(MATCH('Analysis backend'!$M$1,E2939:N2939,0)),"",'Analysis backend'!$L$1)</f>
        <v/>
      </c>
      <c r="U2939" t="str">
        <f>IF(T2939='Analysis backend'!$L$1,IF(ISERROR(MATCH('Analysis backend'!$M$1,E2939:I2939,0)),"Dire","Radiant"),"")</f>
        <v/>
      </c>
    </row>
    <row r="2940" spans="20:21" x14ac:dyDescent="0.3">
      <c r="T2940" t="str">
        <f>IF(ISERROR(MATCH('Analysis backend'!$M$1,E2940:N2940,0)),"",'Analysis backend'!$L$1)</f>
        <v/>
      </c>
      <c r="U2940" t="str">
        <f>IF(T2940='Analysis backend'!$L$1,IF(ISERROR(MATCH('Analysis backend'!$M$1,E2940:I2940,0)),"Dire","Radiant"),"")</f>
        <v/>
      </c>
    </row>
    <row r="2941" spans="20:21" x14ac:dyDescent="0.3">
      <c r="T2941" t="str">
        <f>IF(ISERROR(MATCH('Analysis backend'!$M$1,E2941:N2941,0)),"",'Analysis backend'!$L$1)</f>
        <v/>
      </c>
      <c r="U2941" t="str">
        <f>IF(T2941='Analysis backend'!$L$1,IF(ISERROR(MATCH('Analysis backend'!$M$1,E2941:I2941,0)),"Dire","Radiant"),"")</f>
        <v/>
      </c>
    </row>
    <row r="2942" spans="20:21" x14ac:dyDescent="0.3">
      <c r="T2942" t="str">
        <f>IF(ISERROR(MATCH('Analysis backend'!$M$1,E2942:N2942,0)),"",'Analysis backend'!$L$1)</f>
        <v/>
      </c>
      <c r="U2942" t="str">
        <f>IF(T2942='Analysis backend'!$L$1,IF(ISERROR(MATCH('Analysis backend'!$M$1,E2942:I2942,0)),"Dire","Radiant"),"")</f>
        <v/>
      </c>
    </row>
    <row r="2943" spans="20:21" x14ac:dyDescent="0.3">
      <c r="T2943" t="str">
        <f>IF(ISERROR(MATCH('Analysis backend'!$M$1,E2943:N2943,0)),"",'Analysis backend'!$L$1)</f>
        <v/>
      </c>
      <c r="U2943" t="str">
        <f>IF(T2943='Analysis backend'!$L$1,IF(ISERROR(MATCH('Analysis backend'!$M$1,E2943:I2943,0)),"Dire","Radiant"),"")</f>
        <v/>
      </c>
    </row>
    <row r="2944" spans="20:21" x14ac:dyDescent="0.3">
      <c r="T2944" t="str">
        <f>IF(ISERROR(MATCH('Analysis backend'!$M$1,E2944:N2944,0)),"",'Analysis backend'!$L$1)</f>
        <v/>
      </c>
      <c r="U2944" t="str">
        <f>IF(T2944='Analysis backend'!$L$1,IF(ISERROR(MATCH('Analysis backend'!$M$1,E2944:I2944,0)),"Dire","Radiant"),"")</f>
        <v/>
      </c>
    </row>
    <row r="2945" spans="20:21" x14ac:dyDescent="0.3">
      <c r="T2945" t="str">
        <f>IF(ISERROR(MATCH('Analysis backend'!$M$1,E2945:N2945,0)),"",'Analysis backend'!$L$1)</f>
        <v/>
      </c>
      <c r="U2945" t="str">
        <f>IF(T2945='Analysis backend'!$L$1,IF(ISERROR(MATCH('Analysis backend'!$M$1,E2945:I2945,0)),"Dire","Radiant"),"")</f>
        <v/>
      </c>
    </row>
    <row r="2946" spans="20:21" x14ac:dyDescent="0.3">
      <c r="T2946" t="str">
        <f>IF(ISERROR(MATCH('Analysis backend'!$M$1,E2946:N2946,0)),"",'Analysis backend'!$L$1)</f>
        <v/>
      </c>
      <c r="U2946" t="str">
        <f>IF(T2946='Analysis backend'!$L$1,IF(ISERROR(MATCH('Analysis backend'!$M$1,E2946:I2946,0)),"Dire","Radiant"),"")</f>
        <v/>
      </c>
    </row>
    <row r="2947" spans="20:21" x14ac:dyDescent="0.3">
      <c r="T2947" t="str">
        <f>IF(ISERROR(MATCH('Analysis backend'!$M$1,E2947:N2947,0)),"",'Analysis backend'!$L$1)</f>
        <v/>
      </c>
      <c r="U2947" t="str">
        <f>IF(T2947='Analysis backend'!$L$1,IF(ISERROR(MATCH('Analysis backend'!$M$1,E2947:I2947,0)),"Dire","Radiant"),"")</f>
        <v/>
      </c>
    </row>
    <row r="2948" spans="20:21" x14ac:dyDescent="0.3">
      <c r="T2948" t="str">
        <f>IF(ISERROR(MATCH('Analysis backend'!$M$1,E2948:N2948,0)),"",'Analysis backend'!$L$1)</f>
        <v/>
      </c>
      <c r="U2948" t="str">
        <f>IF(T2948='Analysis backend'!$L$1,IF(ISERROR(MATCH('Analysis backend'!$M$1,E2948:I2948,0)),"Dire","Radiant"),"")</f>
        <v/>
      </c>
    </row>
    <row r="2949" spans="20:21" x14ac:dyDescent="0.3">
      <c r="T2949" t="str">
        <f>IF(ISERROR(MATCH('Analysis backend'!$M$1,E2949:N2949,0)),"",'Analysis backend'!$L$1)</f>
        <v/>
      </c>
      <c r="U2949" t="str">
        <f>IF(T2949='Analysis backend'!$L$1,IF(ISERROR(MATCH('Analysis backend'!$M$1,E2949:I2949,0)),"Dire","Radiant"),"")</f>
        <v/>
      </c>
    </row>
    <row r="2950" spans="20:21" x14ac:dyDescent="0.3">
      <c r="T2950" t="str">
        <f>IF(ISERROR(MATCH('Analysis backend'!$M$1,E2950:N2950,0)),"",'Analysis backend'!$L$1)</f>
        <v/>
      </c>
      <c r="U2950" t="str">
        <f>IF(T2950='Analysis backend'!$L$1,IF(ISERROR(MATCH('Analysis backend'!$M$1,E2950:I2950,0)),"Dire","Radiant"),"")</f>
        <v/>
      </c>
    </row>
    <row r="2951" spans="20:21" x14ac:dyDescent="0.3">
      <c r="T2951" t="str">
        <f>IF(ISERROR(MATCH('Analysis backend'!$M$1,E2951:N2951,0)),"",'Analysis backend'!$L$1)</f>
        <v/>
      </c>
      <c r="U2951" t="str">
        <f>IF(T2951='Analysis backend'!$L$1,IF(ISERROR(MATCH('Analysis backend'!$M$1,E2951:I2951,0)),"Dire","Radiant"),"")</f>
        <v/>
      </c>
    </row>
    <row r="2952" spans="20:21" x14ac:dyDescent="0.3">
      <c r="T2952" t="str">
        <f>IF(ISERROR(MATCH('Analysis backend'!$M$1,E2952:N2952,0)),"",'Analysis backend'!$L$1)</f>
        <v/>
      </c>
      <c r="U2952" t="str">
        <f>IF(T2952='Analysis backend'!$L$1,IF(ISERROR(MATCH('Analysis backend'!$M$1,E2952:I2952,0)),"Dire","Radiant"),"")</f>
        <v/>
      </c>
    </row>
    <row r="2953" spans="20:21" x14ac:dyDescent="0.3">
      <c r="T2953" t="str">
        <f>IF(ISERROR(MATCH('Analysis backend'!$M$1,E2953:N2953,0)),"",'Analysis backend'!$L$1)</f>
        <v/>
      </c>
      <c r="U2953" t="str">
        <f>IF(T2953='Analysis backend'!$L$1,IF(ISERROR(MATCH('Analysis backend'!$M$1,E2953:I2953,0)),"Dire","Radiant"),"")</f>
        <v/>
      </c>
    </row>
    <row r="2954" spans="20:21" x14ac:dyDescent="0.3">
      <c r="T2954" t="str">
        <f>IF(ISERROR(MATCH('Analysis backend'!$M$1,E2954:N2954,0)),"",'Analysis backend'!$L$1)</f>
        <v/>
      </c>
      <c r="U2954" t="str">
        <f>IF(T2954='Analysis backend'!$L$1,IF(ISERROR(MATCH('Analysis backend'!$M$1,E2954:I2954,0)),"Dire","Radiant"),"")</f>
        <v/>
      </c>
    </row>
    <row r="2955" spans="20:21" x14ac:dyDescent="0.3">
      <c r="T2955" t="str">
        <f>IF(ISERROR(MATCH('Analysis backend'!$M$1,E2955:N2955,0)),"",'Analysis backend'!$L$1)</f>
        <v/>
      </c>
      <c r="U2955" t="str">
        <f>IF(T2955='Analysis backend'!$L$1,IF(ISERROR(MATCH('Analysis backend'!$M$1,E2955:I2955,0)),"Dire","Radiant"),"")</f>
        <v/>
      </c>
    </row>
    <row r="2956" spans="20:21" x14ac:dyDescent="0.3">
      <c r="T2956" t="str">
        <f>IF(ISERROR(MATCH('Analysis backend'!$M$1,E2956:N2956,0)),"",'Analysis backend'!$L$1)</f>
        <v/>
      </c>
      <c r="U2956" t="str">
        <f>IF(T2956='Analysis backend'!$L$1,IF(ISERROR(MATCH('Analysis backend'!$M$1,E2956:I2956,0)),"Dire","Radiant"),"")</f>
        <v/>
      </c>
    </row>
    <row r="2957" spans="20:21" x14ac:dyDescent="0.3">
      <c r="T2957" t="str">
        <f>IF(ISERROR(MATCH('Analysis backend'!$M$1,E2957:N2957,0)),"",'Analysis backend'!$L$1)</f>
        <v/>
      </c>
      <c r="U2957" t="str">
        <f>IF(T2957='Analysis backend'!$L$1,IF(ISERROR(MATCH('Analysis backend'!$M$1,E2957:I2957,0)),"Dire","Radiant"),"")</f>
        <v/>
      </c>
    </row>
    <row r="2958" spans="20:21" x14ac:dyDescent="0.3">
      <c r="T2958" t="str">
        <f>IF(ISERROR(MATCH('Analysis backend'!$M$1,E2958:N2958,0)),"",'Analysis backend'!$L$1)</f>
        <v/>
      </c>
      <c r="U2958" t="str">
        <f>IF(T2958='Analysis backend'!$L$1,IF(ISERROR(MATCH('Analysis backend'!$M$1,E2958:I2958,0)),"Dire","Radiant"),"")</f>
        <v/>
      </c>
    </row>
    <row r="2959" spans="20:21" x14ac:dyDescent="0.3">
      <c r="T2959" t="str">
        <f>IF(ISERROR(MATCH('Analysis backend'!$M$1,E2959:N2959,0)),"",'Analysis backend'!$L$1)</f>
        <v/>
      </c>
      <c r="U2959" t="str">
        <f>IF(T2959='Analysis backend'!$L$1,IF(ISERROR(MATCH('Analysis backend'!$M$1,E2959:I2959,0)),"Dire","Radiant"),"")</f>
        <v/>
      </c>
    </row>
    <row r="2960" spans="20:21" x14ac:dyDescent="0.3">
      <c r="T2960" t="str">
        <f>IF(ISERROR(MATCH('Analysis backend'!$M$1,E2960:N2960,0)),"",'Analysis backend'!$L$1)</f>
        <v/>
      </c>
      <c r="U2960" t="str">
        <f>IF(T2960='Analysis backend'!$L$1,IF(ISERROR(MATCH('Analysis backend'!$M$1,E2960:I2960,0)),"Dire","Radiant"),"")</f>
        <v/>
      </c>
    </row>
    <row r="2961" spans="20:21" x14ac:dyDescent="0.3">
      <c r="T2961" t="str">
        <f>IF(ISERROR(MATCH('Analysis backend'!$M$1,E2961:N2961,0)),"",'Analysis backend'!$L$1)</f>
        <v/>
      </c>
      <c r="U2961" t="str">
        <f>IF(T2961='Analysis backend'!$L$1,IF(ISERROR(MATCH('Analysis backend'!$M$1,E2961:I2961,0)),"Dire","Radiant"),"")</f>
        <v/>
      </c>
    </row>
    <row r="2962" spans="20:21" x14ac:dyDescent="0.3">
      <c r="T2962" t="str">
        <f>IF(ISERROR(MATCH('Analysis backend'!$M$1,E2962:N2962,0)),"",'Analysis backend'!$L$1)</f>
        <v/>
      </c>
      <c r="U2962" t="str">
        <f>IF(T2962='Analysis backend'!$L$1,IF(ISERROR(MATCH('Analysis backend'!$M$1,E2962:I2962,0)),"Dire","Radiant"),"")</f>
        <v/>
      </c>
    </row>
    <row r="2963" spans="20:21" x14ac:dyDescent="0.3">
      <c r="T2963" t="str">
        <f>IF(ISERROR(MATCH('Analysis backend'!$M$1,E2963:N2963,0)),"",'Analysis backend'!$L$1)</f>
        <v/>
      </c>
      <c r="U2963" t="str">
        <f>IF(T2963='Analysis backend'!$L$1,IF(ISERROR(MATCH('Analysis backend'!$M$1,E2963:I2963,0)),"Dire","Radiant"),"")</f>
        <v/>
      </c>
    </row>
    <row r="2964" spans="20:21" x14ac:dyDescent="0.3">
      <c r="T2964" t="str">
        <f>IF(ISERROR(MATCH('Analysis backend'!$M$1,E2964:N2964,0)),"",'Analysis backend'!$L$1)</f>
        <v/>
      </c>
      <c r="U2964" t="str">
        <f>IF(T2964='Analysis backend'!$L$1,IF(ISERROR(MATCH('Analysis backend'!$M$1,E2964:I2964,0)),"Dire","Radiant"),"")</f>
        <v/>
      </c>
    </row>
    <row r="2965" spans="20:21" x14ac:dyDescent="0.3">
      <c r="T2965" t="str">
        <f>IF(ISERROR(MATCH('Analysis backend'!$M$1,E2965:N2965,0)),"",'Analysis backend'!$L$1)</f>
        <v/>
      </c>
      <c r="U2965" t="str">
        <f>IF(T2965='Analysis backend'!$L$1,IF(ISERROR(MATCH('Analysis backend'!$M$1,E2965:I2965,0)),"Dire","Radiant"),"")</f>
        <v/>
      </c>
    </row>
    <row r="2966" spans="20:21" x14ac:dyDescent="0.3">
      <c r="T2966" t="str">
        <f>IF(ISERROR(MATCH('Analysis backend'!$M$1,E2966:N2966,0)),"",'Analysis backend'!$L$1)</f>
        <v/>
      </c>
      <c r="U2966" t="str">
        <f>IF(T2966='Analysis backend'!$L$1,IF(ISERROR(MATCH('Analysis backend'!$M$1,E2966:I2966,0)),"Dire","Radiant"),"")</f>
        <v/>
      </c>
    </row>
    <row r="2967" spans="20:21" x14ac:dyDescent="0.3">
      <c r="T2967" t="str">
        <f>IF(ISERROR(MATCH('Analysis backend'!$M$1,E2967:N2967,0)),"",'Analysis backend'!$L$1)</f>
        <v/>
      </c>
      <c r="U2967" t="str">
        <f>IF(T2967='Analysis backend'!$L$1,IF(ISERROR(MATCH('Analysis backend'!$M$1,E2967:I2967,0)),"Dire","Radiant"),"")</f>
        <v/>
      </c>
    </row>
    <row r="2968" spans="20:21" x14ac:dyDescent="0.3">
      <c r="T2968" t="str">
        <f>IF(ISERROR(MATCH('Analysis backend'!$M$1,E2968:N2968,0)),"",'Analysis backend'!$L$1)</f>
        <v/>
      </c>
      <c r="U2968" t="str">
        <f>IF(T2968='Analysis backend'!$L$1,IF(ISERROR(MATCH('Analysis backend'!$M$1,E2968:I2968,0)),"Dire","Radiant"),"")</f>
        <v/>
      </c>
    </row>
    <row r="2969" spans="20:21" x14ac:dyDescent="0.3">
      <c r="T2969" t="str">
        <f>IF(ISERROR(MATCH('Analysis backend'!$M$1,E2969:N2969,0)),"",'Analysis backend'!$L$1)</f>
        <v/>
      </c>
      <c r="U2969" t="str">
        <f>IF(T2969='Analysis backend'!$L$1,IF(ISERROR(MATCH('Analysis backend'!$M$1,E2969:I2969,0)),"Dire","Radiant"),"")</f>
        <v/>
      </c>
    </row>
    <row r="2970" spans="20:21" x14ac:dyDescent="0.3">
      <c r="T2970" t="str">
        <f>IF(ISERROR(MATCH('Analysis backend'!$M$1,E2970:N2970,0)),"",'Analysis backend'!$L$1)</f>
        <v/>
      </c>
      <c r="U2970" t="str">
        <f>IF(T2970='Analysis backend'!$L$1,IF(ISERROR(MATCH('Analysis backend'!$M$1,E2970:I2970,0)),"Dire","Radiant"),"")</f>
        <v/>
      </c>
    </row>
    <row r="2971" spans="20:21" x14ac:dyDescent="0.3">
      <c r="T2971" t="str">
        <f>IF(ISERROR(MATCH('Analysis backend'!$M$1,E2971:N2971,0)),"",'Analysis backend'!$L$1)</f>
        <v/>
      </c>
      <c r="U2971" t="str">
        <f>IF(T2971='Analysis backend'!$L$1,IF(ISERROR(MATCH('Analysis backend'!$M$1,E2971:I2971,0)),"Dire","Radiant"),"")</f>
        <v/>
      </c>
    </row>
    <row r="2972" spans="20:21" x14ac:dyDescent="0.3">
      <c r="T2972" t="str">
        <f>IF(ISERROR(MATCH('Analysis backend'!$M$1,E2972:N2972,0)),"",'Analysis backend'!$L$1)</f>
        <v/>
      </c>
      <c r="U2972" t="str">
        <f>IF(T2972='Analysis backend'!$L$1,IF(ISERROR(MATCH('Analysis backend'!$M$1,E2972:I2972,0)),"Dire","Radiant"),"")</f>
        <v/>
      </c>
    </row>
    <row r="2973" spans="20:21" x14ac:dyDescent="0.3">
      <c r="T2973" t="str">
        <f>IF(ISERROR(MATCH('Analysis backend'!$M$1,E2973:N2973,0)),"",'Analysis backend'!$L$1)</f>
        <v/>
      </c>
      <c r="U2973" t="str">
        <f>IF(T2973='Analysis backend'!$L$1,IF(ISERROR(MATCH('Analysis backend'!$M$1,E2973:I2973,0)),"Dire","Radiant"),"")</f>
        <v/>
      </c>
    </row>
    <row r="2974" spans="20:21" x14ac:dyDescent="0.3">
      <c r="T2974" t="str">
        <f>IF(ISERROR(MATCH('Analysis backend'!$M$1,E2974:N2974,0)),"",'Analysis backend'!$L$1)</f>
        <v/>
      </c>
      <c r="U2974" t="str">
        <f>IF(T2974='Analysis backend'!$L$1,IF(ISERROR(MATCH('Analysis backend'!$M$1,E2974:I2974,0)),"Dire","Radiant"),"")</f>
        <v/>
      </c>
    </row>
    <row r="2975" spans="20:21" x14ac:dyDescent="0.3">
      <c r="T2975" t="str">
        <f>IF(ISERROR(MATCH('Analysis backend'!$M$1,E2975:N2975,0)),"",'Analysis backend'!$L$1)</f>
        <v/>
      </c>
      <c r="U2975" t="str">
        <f>IF(T2975='Analysis backend'!$L$1,IF(ISERROR(MATCH('Analysis backend'!$M$1,E2975:I2975,0)),"Dire","Radiant"),"")</f>
        <v/>
      </c>
    </row>
    <row r="2976" spans="20:21" x14ac:dyDescent="0.3">
      <c r="T2976" t="str">
        <f>IF(ISERROR(MATCH('Analysis backend'!$M$1,E2976:N2976,0)),"",'Analysis backend'!$L$1)</f>
        <v/>
      </c>
      <c r="U2976" t="str">
        <f>IF(T2976='Analysis backend'!$L$1,IF(ISERROR(MATCH('Analysis backend'!$M$1,E2976:I2976,0)),"Dire","Radiant"),"")</f>
        <v/>
      </c>
    </row>
    <row r="2977" spans="20:21" x14ac:dyDescent="0.3">
      <c r="T2977" t="str">
        <f>IF(ISERROR(MATCH('Analysis backend'!$M$1,E2977:N2977,0)),"",'Analysis backend'!$L$1)</f>
        <v/>
      </c>
      <c r="U2977" t="str">
        <f>IF(T2977='Analysis backend'!$L$1,IF(ISERROR(MATCH('Analysis backend'!$M$1,E2977:I2977,0)),"Dire","Radiant"),"")</f>
        <v/>
      </c>
    </row>
    <row r="2978" spans="20:21" x14ac:dyDescent="0.3">
      <c r="T2978" t="str">
        <f>IF(ISERROR(MATCH('Analysis backend'!$M$1,E2978:N2978,0)),"",'Analysis backend'!$L$1)</f>
        <v/>
      </c>
      <c r="U2978" t="str">
        <f>IF(T2978='Analysis backend'!$L$1,IF(ISERROR(MATCH('Analysis backend'!$M$1,E2978:I2978,0)),"Dire","Radiant"),"")</f>
        <v/>
      </c>
    </row>
    <row r="2979" spans="20:21" x14ac:dyDescent="0.3">
      <c r="T2979" t="str">
        <f>IF(ISERROR(MATCH('Analysis backend'!$M$1,E2979:N2979,0)),"",'Analysis backend'!$L$1)</f>
        <v/>
      </c>
      <c r="U2979" t="str">
        <f>IF(T2979='Analysis backend'!$L$1,IF(ISERROR(MATCH('Analysis backend'!$M$1,E2979:I2979,0)),"Dire","Radiant"),"")</f>
        <v/>
      </c>
    </row>
    <row r="2980" spans="20:21" x14ac:dyDescent="0.3">
      <c r="T2980" t="str">
        <f>IF(ISERROR(MATCH('Analysis backend'!$M$1,E2980:N2980,0)),"",'Analysis backend'!$L$1)</f>
        <v/>
      </c>
      <c r="U2980" t="str">
        <f>IF(T2980='Analysis backend'!$L$1,IF(ISERROR(MATCH('Analysis backend'!$M$1,E2980:I2980,0)),"Dire","Radiant"),"")</f>
        <v/>
      </c>
    </row>
    <row r="2981" spans="20:21" x14ac:dyDescent="0.3">
      <c r="T2981" t="str">
        <f>IF(ISERROR(MATCH('Analysis backend'!$M$1,E2981:N2981,0)),"",'Analysis backend'!$L$1)</f>
        <v/>
      </c>
      <c r="U2981" t="str">
        <f>IF(T2981='Analysis backend'!$L$1,IF(ISERROR(MATCH('Analysis backend'!$M$1,E2981:I2981,0)),"Dire","Radiant"),"")</f>
        <v/>
      </c>
    </row>
    <row r="2982" spans="20:21" x14ac:dyDescent="0.3">
      <c r="T2982" t="str">
        <f>IF(ISERROR(MATCH('Analysis backend'!$M$1,E2982:N2982,0)),"",'Analysis backend'!$L$1)</f>
        <v/>
      </c>
      <c r="U2982" t="str">
        <f>IF(T2982='Analysis backend'!$L$1,IF(ISERROR(MATCH('Analysis backend'!$M$1,E2982:I2982,0)),"Dire","Radiant"),"")</f>
        <v/>
      </c>
    </row>
    <row r="2983" spans="20:21" x14ac:dyDescent="0.3">
      <c r="T2983" t="str">
        <f>IF(ISERROR(MATCH('Analysis backend'!$M$1,E2983:N2983,0)),"",'Analysis backend'!$L$1)</f>
        <v/>
      </c>
      <c r="U2983" t="str">
        <f>IF(T2983='Analysis backend'!$L$1,IF(ISERROR(MATCH('Analysis backend'!$M$1,E2983:I2983,0)),"Dire","Radiant"),"")</f>
        <v/>
      </c>
    </row>
    <row r="2984" spans="20:21" x14ac:dyDescent="0.3">
      <c r="T2984" t="str">
        <f>IF(ISERROR(MATCH('Analysis backend'!$M$1,E2984:N2984,0)),"",'Analysis backend'!$L$1)</f>
        <v/>
      </c>
      <c r="U2984" t="str">
        <f>IF(T2984='Analysis backend'!$L$1,IF(ISERROR(MATCH('Analysis backend'!$M$1,E2984:I2984,0)),"Dire","Radiant"),"")</f>
        <v/>
      </c>
    </row>
    <row r="2985" spans="20:21" x14ac:dyDescent="0.3">
      <c r="T2985" t="str">
        <f>IF(ISERROR(MATCH('Analysis backend'!$M$1,E2985:N2985,0)),"",'Analysis backend'!$L$1)</f>
        <v/>
      </c>
      <c r="U2985" t="str">
        <f>IF(T2985='Analysis backend'!$L$1,IF(ISERROR(MATCH('Analysis backend'!$M$1,E2985:I2985,0)),"Dire","Radiant"),"")</f>
        <v/>
      </c>
    </row>
    <row r="2986" spans="20:21" x14ac:dyDescent="0.3">
      <c r="T2986" t="str">
        <f>IF(ISERROR(MATCH('Analysis backend'!$M$1,E2986:N2986,0)),"",'Analysis backend'!$L$1)</f>
        <v/>
      </c>
      <c r="U2986" t="str">
        <f>IF(T2986='Analysis backend'!$L$1,IF(ISERROR(MATCH('Analysis backend'!$M$1,E2986:I2986,0)),"Dire","Radiant"),"")</f>
        <v/>
      </c>
    </row>
    <row r="2987" spans="20:21" x14ac:dyDescent="0.3">
      <c r="T2987" t="str">
        <f>IF(ISERROR(MATCH('Analysis backend'!$M$1,E2987:N2987,0)),"",'Analysis backend'!$L$1)</f>
        <v/>
      </c>
      <c r="U2987" t="str">
        <f>IF(T2987='Analysis backend'!$L$1,IF(ISERROR(MATCH('Analysis backend'!$M$1,E2987:I2987,0)),"Dire","Radiant"),"")</f>
        <v/>
      </c>
    </row>
    <row r="2988" spans="20:21" x14ac:dyDescent="0.3">
      <c r="T2988" t="str">
        <f>IF(ISERROR(MATCH('Analysis backend'!$M$1,E2988:N2988,0)),"",'Analysis backend'!$L$1)</f>
        <v/>
      </c>
      <c r="U2988" t="str">
        <f>IF(T2988='Analysis backend'!$L$1,IF(ISERROR(MATCH('Analysis backend'!$M$1,E2988:I2988,0)),"Dire","Radiant"),"")</f>
        <v/>
      </c>
    </row>
    <row r="2989" spans="20:21" x14ac:dyDescent="0.3">
      <c r="T2989" t="str">
        <f>IF(ISERROR(MATCH('Analysis backend'!$M$1,E2989:N2989,0)),"",'Analysis backend'!$L$1)</f>
        <v/>
      </c>
      <c r="U2989" t="str">
        <f>IF(T2989='Analysis backend'!$L$1,IF(ISERROR(MATCH('Analysis backend'!$M$1,E2989:I2989,0)),"Dire","Radiant"),"")</f>
        <v/>
      </c>
    </row>
    <row r="2990" spans="20:21" x14ac:dyDescent="0.3">
      <c r="T2990" t="str">
        <f>IF(ISERROR(MATCH('Analysis backend'!$M$1,E2990:N2990,0)),"",'Analysis backend'!$L$1)</f>
        <v/>
      </c>
      <c r="U2990" t="str">
        <f>IF(T2990='Analysis backend'!$L$1,IF(ISERROR(MATCH('Analysis backend'!$M$1,E2990:I2990,0)),"Dire","Radiant"),"")</f>
        <v/>
      </c>
    </row>
    <row r="2991" spans="20:21" x14ac:dyDescent="0.3">
      <c r="T2991" t="str">
        <f>IF(ISERROR(MATCH('Analysis backend'!$M$1,E2991:N2991,0)),"",'Analysis backend'!$L$1)</f>
        <v/>
      </c>
      <c r="U2991" t="str">
        <f>IF(T2991='Analysis backend'!$L$1,IF(ISERROR(MATCH('Analysis backend'!$M$1,E2991:I2991,0)),"Dire","Radiant"),"")</f>
        <v/>
      </c>
    </row>
    <row r="2992" spans="20:21" x14ac:dyDescent="0.3">
      <c r="T2992" t="str">
        <f>IF(ISERROR(MATCH('Analysis backend'!$M$1,E2992:N2992,0)),"",'Analysis backend'!$L$1)</f>
        <v/>
      </c>
      <c r="U2992" t="str">
        <f>IF(T2992='Analysis backend'!$L$1,IF(ISERROR(MATCH('Analysis backend'!$M$1,E2992:I2992,0)),"Dire","Radiant"),"")</f>
        <v/>
      </c>
    </row>
    <row r="2993" spans="20:21" x14ac:dyDescent="0.3">
      <c r="T2993" t="str">
        <f>IF(ISERROR(MATCH('Analysis backend'!$M$1,E2993:N2993,0)),"",'Analysis backend'!$L$1)</f>
        <v/>
      </c>
      <c r="U2993" t="str">
        <f>IF(T2993='Analysis backend'!$L$1,IF(ISERROR(MATCH('Analysis backend'!$M$1,E2993:I2993,0)),"Dire","Radiant"),"")</f>
        <v/>
      </c>
    </row>
    <row r="2994" spans="20:21" x14ac:dyDescent="0.3">
      <c r="T2994" t="str">
        <f>IF(ISERROR(MATCH('Analysis backend'!$M$1,E2994:N2994,0)),"",'Analysis backend'!$L$1)</f>
        <v/>
      </c>
      <c r="U2994" t="str">
        <f>IF(T2994='Analysis backend'!$L$1,IF(ISERROR(MATCH('Analysis backend'!$M$1,E2994:I2994,0)),"Dire","Radiant"),"")</f>
        <v/>
      </c>
    </row>
    <row r="2995" spans="20:21" x14ac:dyDescent="0.3">
      <c r="T2995" t="str">
        <f>IF(ISERROR(MATCH('Analysis backend'!$M$1,E2995:N2995,0)),"",'Analysis backend'!$L$1)</f>
        <v/>
      </c>
      <c r="U2995" t="str">
        <f>IF(T2995='Analysis backend'!$L$1,IF(ISERROR(MATCH('Analysis backend'!$M$1,E2995:I2995,0)),"Dire","Radiant"),"")</f>
        <v/>
      </c>
    </row>
    <row r="2996" spans="20:21" x14ac:dyDescent="0.3">
      <c r="T2996" t="str">
        <f>IF(ISERROR(MATCH('Analysis backend'!$M$1,E2996:N2996,0)),"",'Analysis backend'!$L$1)</f>
        <v/>
      </c>
      <c r="U2996" t="str">
        <f>IF(T2996='Analysis backend'!$L$1,IF(ISERROR(MATCH('Analysis backend'!$M$1,E2996:I2996,0)),"Dire","Radiant"),"")</f>
        <v/>
      </c>
    </row>
    <row r="2997" spans="20:21" x14ac:dyDescent="0.3">
      <c r="T2997" t="str">
        <f>IF(ISERROR(MATCH('Analysis backend'!$M$1,E2997:N2997,0)),"",'Analysis backend'!$L$1)</f>
        <v/>
      </c>
      <c r="U2997" t="str">
        <f>IF(T2997='Analysis backend'!$L$1,IF(ISERROR(MATCH('Analysis backend'!$M$1,E2997:I2997,0)),"Dire","Radiant"),"")</f>
        <v/>
      </c>
    </row>
    <row r="2998" spans="20:21" x14ac:dyDescent="0.3">
      <c r="T2998" t="str">
        <f>IF(ISERROR(MATCH('Analysis backend'!$M$1,E2998:N2998,0)),"",'Analysis backend'!$L$1)</f>
        <v/>
      </c>
      <c r="U2998" t="str">
        <f>IF(T2998='Analysis backend'!$L$1,IF(ISERROR(MATCH('Analysis backend'!$M$1,E2998:I2998,0)),"Dire","Radiant"),"")</f>
        <v/>
      </c>
    </row>
    <row r="2999" spans="20:21" x14ac:dyDescent="0.3">
      <c r="T2999" t="str">
        <f>IF(ISERROR(MATCH('Analysis backend'!$M$1,E2999:N2999,0)),"",'Analysis backend'!$L$1)</f>
        <v/>
      </c>
      <c r="U2999" t="str">
        <f>IF(T2999='Analysis backend'!$L$1,IF(ISERROR(MATCH('Analysis backend'!$M$1,E2999:I2999,0)),"Dire","Radiant"),"")</f>
        <v/>
      </c>
    </row>
    <row r="3000" spans="20:21" x14ac:dyDescent="0.3">
      <c r="T3000" t="str">
        <f>IF(ISERROR(MATCH('Analysis backend'!$M$1,E3000:N3000,0)),"",'Analysis backend'!$L$1)</f>
        <v/>
      </c>
      <c r="U3000" t="str">
        <f>IF(T3000='Analysis backend'!$L$1,IF(ISERROR(MATCH('Analysis backend'!$M$1,E3000:I3000,0)),"Dire","Radiant"),"")</f>
        <v/>
      </c>
    </row>
    <row r="3001" spans="20:21" x14ac:dyDescent="0.3">
      <c r="T3001" t="str">
        <f>IF(ISERROR(MATCH('Analysis backend'!$M$1,E3001:N3001,0)),"",'Analysis backend'!$L$1)</f>
        <v/>
      </c>
      <c r="U3001" t="str">
        <f>IF(T3001='Analysis backend'!$L$1,IF(ISERROR(MATCH('Analysis backend'!$M$1,E3001:I3001,0)),"Dire","Radiant"),"")</f>
        <v/>
      </c>
    </row>
    <row r="3002" spans="20:21" x14ac:dyDescent="0.3">
      <c r="T3002" t="str">
        <f>IF(ISERROR(MATCH('Analysis backend'!$M$1,E3002:N3002,0)),"",'Analysis backend'!$L$1)</f>
        <v/>
      </c>
      <c r="U3002" t="str">
        <f>IF(T3002='Analysis backend'!$L$1,IF(ISERROR(MATCH('Analysis backend'!$M$1,E3002:I3002,0)),"Dire","Radiant"),"")</f>
        <v/>
      </c>
    </row>
    <row r="3003" spans="20:21" x14ac:dyDescent="0.3">
      <c r="T3003" t="str">
        <f>IF(ISERROR(MATCH('Analysis backend'!$M$1,E3003:N3003,0)),"",'Analysis backend'!$L$1)</f>
        <v/>
      </c>
      <c r="U3003" t="str">
        <f>IF(T3003='Analysis backend'!$L$1,IF(ISERROR(MATCH('Analysis backend'!$M$1,E3003:I3003,0)),"Dire","Radiant"),"")</f>
        <v/>
      </c>
    </row>
    <row r="3004" spans="20:21" x14ac:dyDescent="0.3">
      <c r="T3004" t="str">
        <f>IF(ISERROR(MATCH('Analysis backend'!$M$1,E3004:N3004,0)),"",'Analysis backend'!$L$1)</f>
        <v/>
      </c>
      <c r="U3004" t="str">
        <f>IF(T3004='Analysis backend'!$L$1,IF(ISERROR(MATCH('Analysis backend'!$M$1,E3004:I3004,0)),"Dire","Radiant"),"")</f>
        <v/>
      </c>
    </row>
    <row r="3005" spans="20:21" x14ac:dyDescent="0.3">
      <c r="T3005" t="str">
        <f>IF(ISERROR(MATCH('Analysis backend'!$M$1,E3005:N3005,0)),"",'Analysis backend'!$L$1)</f>
        <v/>
      </c>
      <c r="U3005" t="str">
        <f>IF(T3005='Analysis backend'!$L$1,IF(ISERROR(MATCH('Analysis backend'!$M$1,E3005:I3005,0)),"Dire","Radiant"),"")</f>
        <v/>
      </c>
    </row>
    <row r="3006" spans="20:21" x14ac:dyDescent="0.3">
      <c r="T3006" t="str">
        <f>IF(ISERROR(MATCH('Analysis backend'!$M$1,E3006:N3006,0)),"",'Analysis backend'!$L$1)</f>
        <v/>
      </c>
      <c r="U3006" t="str">
        <f>IF(T3006='Analysis backend'!$L$1,IF(ISERROR(MATCH('Analysis backend'!$M$1,E3006:I3006,0)),"Dire","Radiant"),"")</f>
        <v/>
      </c>
    </row>
    <row r="3007" spans="20:21" x14ac:dyDescent="0.3">
      <c r="T3007" t="str">
        <f>IF(ISERROR(MATCH('Analysis backend'!$M$1,E3007:N3007,0)),"",'Analysis backend'!$L$1)</f>
        <v/>
      </c>
      <c r="U3007" t="str">
        <f>IF(T3007='Analysis backend'!$L$1,IF(ISERROR(MATCH('Analysis backend'!$M$1,E3007:I3007,0)),"Dire","Radiant"),"")</f>
        <v/>
      </c>
    </row>
    <row r="3008" spans="20:21" x14ac:dyDescent="0.3">
      <c r="T3008" t="str">
        <f>IF(ISERROR(MATCH('Analysis backend'!$M$1,E3008:N3008,0)),"",'Analysis backend'!$L$1)</f>
        <v/>
      </c>
      <c r="U3008" t="str">
        <f>IF(T3008='Analysis backend'!$L$1,IF(ISERROR(MATCH('Analysis backend'!$M$1,E3008:I3008,0)),"Dire","Radiant"),"")</f>
        <v/>
      </c>
    </row>
    <row r="3009" spans="20:21" x14ac:dyDescent="0.3">
      <c r="T3009" t="str">
        <f>IF(ISERROR(MATCH('Analysis backend'!$M$1,E3009:N3009,0)),"",'Analysis backend'!$L$1)</f>
        <v/>
      </c>
      <c r="U3009" t="str">
        <f>IF(T3009='Analysis backend'!$L$1,IF(ISERROR(MATCH('Analysis backend'!$M$1,E3009:I3009,0)),"Dire","Radiant"),"")</f>
        <v/>
      </c>
    </row>
    <row r="3010" spans="20:21" x14ac:dyDescent="0.3">
      <c r="T3010" t="str">
        <f>IF(ISERROR(MATCH('Analysis backend'!$M$1,E3010:N3010,0)),"",'Analysis backend'!$L$1)</f>
        <v/>
      </c>
      <c r="U3010" t="str">
        <f>IF(T3010='Analysis backend'!$L$1,IF(ISERROR(MATCH('Analysis backend'!$M$1,E3010:I3010,0)),"Dire","Radiant"),"")</f>
        <v/>
      </c>
    </row>
    <row r="3011" spans="20:21" x14ac:dyDescent="0.3">
      <c r="T3011" t="str">
        <f>IF(ISERROR(MATCH('Analysis backend'!$M$1,E3011:N3011,0)),"",'Analysis backend'!$L$1)</f>
        <v/>
      </c>
      <c r="U3011" t="str">
        <f>IF(T3011='Analysis backend'!$L$1,IF(ISERROR(MATCH('Analysis backend'!$M$1,E3011:I3011,0)),"Dire","Radiant"),"")</f>
        <v/>
      </c>
    </row>
    <row r="3012" spans="20:21" x14ac:dyDescent="0.3">
      <c r="T3012" t="str">
        <f>IF(ISERROR(MATCH('Analysis backend'!$M$1,E3012:N3012,0)),"",'Analysis backend'!$L$1)</f>
        <v/>
      </c>
      <c r="U3012" t="str">
        <f>IF(T3012='Analysis backend'!$L$1,IF(ISERROR(MATCH('Analysis backend'!$M$1,E3012:I3012,0)),"Dire","Radiant"),"")</f>
        <v/>
      </c>
    </row>
    <row r="3013" spans="20:21" x14ac:dyDescent="0.3">
      <c r="T3013" t="str">
        <f>IF(ISERROR(MATCH('Analysis backend'!$M$1,E3013:N3013,0)),"",'Analysis backend'!$L$1)</f>
        <v/>
      </c>
      <c r="U3013" t="str">
        <f>IF(T3013='Analysis backend'!$L$1,IF(ISERROR(MATCH('Analysis backend'!$M$1,E3013:I3013,0)),"Dire","Radiant"),"")</f>
        <v/>
      </c>
    </row>
    <row r="3014" spans="20:21" x14ac:dyDescent="0.3">
      <c r="T3014" t="str">
        <f>IF(ISERROR(MATCH('Analysis backend'!$M$1,E3014:N3014,0)),"",'Analysis backend'!$L$1)</f>
        <v/>
      </c>
      <c r="U3014" t="str">
        <f>IF(T3014='Analysis backend'!$L$1,IF(ISERROR(MATCH('Analysis backend'!$M$1,E3014:I3014,0)),"Dire","Radiant"),"")</f>
        <v/>
      </c>
    </row>
    <row r="3015" spans="20:21" x14ac:dyDescent="0.3">
      <c r="T3015" t="str">
        <f>IF(ISERROR(MATCH('Analysis backend'!$M$1,E3015:N3015,0)),"",'Analysis backend'!$L$1)</f>
        <v/>
      </c>
      <c r="U3015" t="str">
        <f>IF(T3015='Analysis backend'!$L$1,IF(ISERROR(MATCH('Analysis backend'!$M$1,E3015:I3015,0)),"Dire","Radiant"),"")</f>
        <v/>
      </c>
    </row>
    <row r="3016" spans="20:21" x14ac:dyDescent="0.3">
      <c r="T3016" t="str">
        <f>IF(ISERROR(MATCH('Analysis backend'!$M$1,E3016:N3016,0)),"",'Analysis backend'!$L$1)</f>
        <v/>
      </c>
      <c r="U3016" t="str">
        <f>IF(T3016='Analysis backend'!$L$1,IF(ISERROR(MATCH('Analysis backend'!$M$1,E3016:I3016,0)),"Dire","Radiant"),"")</f>
        <v/>
      </c>
    </row>
    <row r="3017" spans="20:21" x14ac:dyDescent="0.3">
      <c r="T3017" t="str">
        <f>IF(ISERROR(MATCH('Analysis backend'!$M$1,E3017:N3017,0)),"",'Analysis backend'!$L$1)</f>
        <v/>
      </c>
      <c r="U3017" t="str">
        <f>IF(T3017='Analysis backend'!$L$1,IF(ISERROR(MATCH('Analysis backend'!$M$1,E3017:I3017,0)),"Dire","Radiant"),"")</f>
        <v/>
      </c>
    </row>
    <row r="3018" spans="20:21" x14ac:dyDescent="0.3">
      <c r="T3018" t="str">
        <f>IF(ISERROR(MATCH('Analysis backend'!$M$1,E3018:N3018,0)),"",'Analysis backend'!$L$1)</f>
        <v/>
      </c>
      <c r="U3018" t="str">
        <f>IF(T3018='Analysis backend'!$L$1,IF(ISERROR(MATCH('Analysis backend'!$M$1,E3018:I3018,0)),"Dire","Radiant"),"")</f>
        <v/>
      </c>
    </row>
    <row r="3019" spans="20:21" x14ac:dyDescent="0.3">
      <c r="T3019" t="str">
        <f>IF(ISERROR(MATCH('Analysis backend'!$M$1,E3019:N3019,0)),"",'Analysis backend'!$L$1)</f>
        <v/>
      </c>
      <c r="U3019" t="str">
        <f>IF(T3019='Analysis backend'!$L$1,IF(ISERROR(MATCH('Analysis backend'!$M$1,E3019:I3019,0)),"Dire","Radiant"),"")</f>
        <v/>
      </c>
    </row>
    <row r="3020" spans="20:21" x14ac:dyDescent="0.3">
      <c r="T3020" t="str">
        <f>IF(ISERROR(MATCH('Analysis backend'!$M$1,E3020:N3020,0)),"",'Analysis backend'!$L$1)</f>
        <v/>
      </c>
      <c r="U3020" t="str">
        <f>IF(T3020='Analysis backend'!$L$1,IF(ISERROR(MATCH('Analysis backend'!$M$1,E3020:I3020,0)),"Dire","Radiant"),"")</f>
        <v/>
      </c>
    </row>
    <row r="3021" spans="20:21" x14ac:dyDescent="0.3">
      <c r="T3021" t="str">
        <f>IF(ISERROR(MATCH('Analysis backend'!$M$1,E3021:N3021,0)),"",'Analysis backend'!$L$1)</f>
        <v/>
      </c>
      <c r="U3021" t="str">
        <f>IF(T3021='Analysis backend'!$L$1,IF(ISERROR(MATCH('Analysis backend'!$M$1,E3021:I3021,0)),"Dire","Radiant"),"")</f>
        <v/>
      </c>
    </row>
    <row r="3022" spans="20:21" x14ac:dyDescent="0.3">
      <c r="T3022" t="str">
        <f>IF(ISERROR(MATCH('Analysis backend'!$M$1,E3022:N3022,0)),"",'Analysis backend'!$L$1)</f>
        <v/>
      </c>
      <c r="U3022" t="str">
        <f>IF(T3022='Analysis backend'!$L$1,IF(ISERROR(MATCH('Analysis backend'!$M$1,E3022:I3022,0)),"Dire","Radiant"),"")</f>
        <v/>
      </c>
    </row>
    <row r="3023" spans="20:21" x14ac:dyDescent="0.3">
      <c r="T3023" t="str">
        <f>IF(ISERROR(MATCH('Analysis backend'!$M$1,E3023:N3023,0)),"",'Analysis backend'!$L$1)</f>
        <v/>
      </c>
      <c r="U3023" t="str">
        <f>IF(T3023='Analysis backend'!$L$1,IF(ISERROR(MATCH('Analysis backend'!$M$1,E3023:I3023,0)),"Dire","Radiant"),"")</f>
        <v/>
      </c>
    </row>
    <row r="3024" spans="20:21" x14ac:dyDescent="0.3">
      <c r="T3024" t="str">
        <f>IF(ISERROR(MATCH('Analysis backend'!$M$1,E3024:N3024,0)),"",'Analysis backend'!$L$1)</f>
        <v/>
      </c>
      <c r="U3024" t="str">
        <f>IF(T3024='Analysis backend'!$L$1,IF(ISERROR(MATCH('Analysis backend'!$M$1,E3024:I3024,0)),"Dire","Radiant"),"")</f>
        <v/>
      </c>
    </row>
    <row r="3025" spans="20:21" x14ac:dyDescent="0.3">
      <c r="T3025" t="str">
        <f>IF(ISERROR(MATCH('Analysis backend'!$M$1,E3025:N3025,0)),"",'Analysis backend'!$L$1)</f>
        <v/>
      </c>
      <c r="U3025" t="str">
        <f>IF(T3025='Analysis backend'!$L$1,IF(ISERROR(MATCH('Analysis backend'!$M$1,E3025:I3025,0)),"Dire","Radiant"),"")</f>
        <v/>
      </c>
    </row>
    <row r="3026" spans="20:21" x14ac:dyDescent="0.3">
      <c r="T3026" t="str">
        <f>IF(ISERROR(MATCH('Analysis backend'!$M$1,E3026:N3026,0)),"",'Analysis backend'!$L$1)</f>
        <v/>
      </c>
      <c r="U3026" t="str">
        <f>IF(T3026='Analysis backend'!$L$1,IF(ISERROR(MATCH('Analysis backend'!$M$1,E3026:I3026,0)),"Dire","Radiant"),"")</f>
        <v/>
      </c>
    </row>
    <row r="3027" spans="20:21" x14ac:dyDescent="0.3">
      <c r="T3027" t="str">
        <f>IF(ISERROR(MATCH('Analysis backend'!$M$1,E3027:N3027,0)),"",'Analysis backend'!$L$1)</f>
        <v/>
      </c>
      <c r="U3027" t="str">
        <f>IF(T3027='Analysis backend'!$L$1,IF(ISERROR(MATCH('Analysis backend'!$M$1,E3027:I3027,0)),"Dire","Radiant"),"")</f>
        <v/>
      </c>
    </row>
    <row r="3028" spans="20:21" x14ac:dyDescent="0.3">
      <c r="T3028" t="str">
        <f>IF(ISERROR(MATCH('Analysis backend'!$M$1,E3028:N3028,0)),"",'Analysis backend'!$L$1)</f>
        <v/>
      </c>
      <c r="U3028" t="str">
        <f>IF(T3028='Analysis backend'!$L$1,IF(ISERROR(MATCH('Analysis backend'!$M$1,E3028:I3028,0)),"Dire","Radiant"),"")</f>
        <v/>
      </c>
    </row>
    <row r="3029" spans="20:21" x14ac:dyDescent="0.3">
      <c r="T3029" t="str">
        <f>IF(ISERROR(MATCH('Analysis backend'!$M$1,E3029:N3029,0)),"",'Analysis backend'!$L$1)</f>
        <v/>
      </c>
      <c r="U3029" t="str">
        <f>IF(T3029='Analysis backend'!$L$1,IF(ISERROR(MATCH('Analysis backend'!$M$1,E3029:I3029,0)),"Dire","Radiant"),"")</f>
        <v/>
      </c>
    </row>
    <row r="3030" spans="20:21" x14ac:dyDescent="0.3">
      <c r="T3030" t="str">
        <f>IF(ISERROR(MATCH('Analysis backend'!$M$1,E3030:N3030,0)),"",'Analysis backend'!$L$1)</f>
        <v/>
      </c>
      <c r="U3030" t="str">
        <f>IF(T3030='Analysis backend'!$L$1,IF(ISERROR(MATCH('Analysis backend'!$M$1,E3030:I3030,0)),"Dire","Radiant"),"")</f>
        <v/>
      </c>
    </row>
    <row r="3031" spans="20:21" x14ac:dyDescent="0.3">
      <c r="T3031" t="str">
        <f>IF(ISERROR(MATCH('Analysis backend'!$M$1,E3031:N3031,0)),"",'Analysis backend'!$L$1)</f>
        <v/>
      </c>
      <c r="U3031" t="str">
        <f>IF(T3031='Analysis backend'!$L$1,IF(ISERROR(MATCH('Analysis backend'!$M$1,E3031:I3031,0)),"Dire","Radiant"),"")</f>
        <v/>
      </c>
    </row>
    <row r="3032" spans="20:21" x14ac:dyDescent="0.3">
      <c r="T3032" t="str">
        <f>IF(ISERROR(MATCH('Analysis backend'!$M$1,E3032:N3032,0)),"",'Analysis backend'!$L$1)</f>
        <v/>
      </c>
      <c r="U3032" t="str">
        <f>IF(T3032='Analysis backend'!$L$1,IF(ISERROR(MATCH('Analysis backend'!$M$1,E3032:I3032,0)),"Dire","Radiant"),"")</f>
        <v/>
      </c>
    </row>
    <row r="3033" spans="20:21" x14ac:dyDescent="0.3">
      <c r="T3033" t="str">
        <f>IF(ISERROR(MATCH('Analysis backend'!$M$1,E3033:N3033,0)),"",'Analysis backend'!$L$1)</f>
        <v/>
      </c>
      <c r="U3033" t="str">
        <f>IF(T3033='Analysis backend'!$L$1,IF(ISERROR(MATCH('Analysis backend'!$M$1,E3033:I3033,0)),"Dire","Radiant"),"")</f>
        <v/>
      </c>
    </row>
    <row r="3034" spans="20:21" x14ac:dyDescent="0.3">
      <c r="T3034" t="str">
        <f>IF(ISERROR(MATCH('Analysis backend'!$M$1,E3034:N3034,0)),"",'Analysis backend'!$L$1)</f>
        <v/>
      </c>
      <c r="U3034" t="str">
        <f>IF(T3034='Analysis backend'!$L$1,IF(ISERROR(MATCH('Analysis backend'!$M$1,E3034:I3034,0)),"Dire","Radiant"),"")</f>
        <v/>
      </c>
    </row>
    <row r="3035" spans="20:21" x14ac:dyDescent="0.3">
      <c r="T3035" t="str">
        <f>IF(ISERROR(MATCH('Analysis backend'!$M$1,E3035:N3035,0)),"",'Analysis backend'!$L$1)</f>
        <v/>
      </c>
      <c r="U3035" t="str">
        <f>IF(T3035='Analysis backend'!$L$1,IF(ISERROR(MATCH('Analysis backend'!$M$1,E3035:I3035,0)),"Dire","Radiant"),"")</f>
        <v/>
      </c>
    </row>
    <row r="3036" spans="20:21" x14ac:dyDescent="0.3">
      <c r="T3036" t="str">
        <f>IF(ISERROR(MATCH('Analysis backend'!$M$1,E3036:N3036,0)),"",'Analysis backend'!$L$1)</f>
        <v/>
      </c>
      <c r="U3036" t="str">
        <f>IF(T3036='Analysis backend'!$L$1,IF(ISERROR(MATCH('Analysis backend'!$M$1,E3036:I3036,0)),"Dire","Radiant"),"")</f>
        <v/>
      </c>
    </row>
    <row r="3037" spans="20:21" x14ac:dyDescent="0.3">
      <c r="T3037" t="str">
        <f>IF(ISERROR(MATCH('Analysis backend'!$M$1,E3037:N3037,0)),"",'Analysis backend'!$L$1)</f>
        <v/>
      </c>
      <c r="U3037" t="str">
        <f>IF(T3037='Analysis backend'!$L$1,IF(ISERROR(MATCH('Analysis backend'!$M$1,E3037:I3037,0)),"Dire","Radiant"),"")</f>
        <v/>
      </c>
    </row>
    <row r="3038" spans="20:21" x14ac:dyDescent="0.3">
      <c r="T3038" t="str">
        <f>IF(ISERROR(MATCH('Analysis backend'!$M$1,E3038:N3038,0)),"",'Analysis backend'!$L$1)</f>
        <v/>
      </c>
      <c r="U3038" t="str">
        <f>IF(T3038='Analysis backend'!$L$1,IF(ISERROR(MATCH('Analysis backend'!$M$1,E3038:I3038,0)),"Dire","Radiant"),"")</f>
        <v/>
      </c>
    </row>
    <row r="3039" spans="20:21" x14ac:dyDescent="0.3">
      <c r="T3039" t="str">
        <f>IF(ISERROR(MATCH('Analysis backend'!$M$1,E3039:N3039,0)),"",'Analysis backend'!$L$1)</f>
        <v/>
      </c>
      <c r="U3039" t="str">
        <f>IF(T3039='Analysis backend'!$L$1,IF(ISERROR(MATCH('Analysis backend'!$M$1,E3039:I3039,0)),"Dire","Radiant"),"")</f>
        <v/>
      </c>
    </row>
    <row r="3040" spans="20:21" x14ac:dyDescent="0.3">
      <c r="T3040" t="str">
        <f>IF(ISERROR(MATCH('Analysis backend'!$M$1,E3040:N3040,0)),"",'Analysis backend'!$L$1)</f>
        <v/>
      </c>
      <c r="U3040" t="str">
        <f>IF(T3040='Analysis backend'!$L$1,IF(ISERROR(MATCH('Analysis backend'!$M$1,E3040:I3040,0)),"Dire","Radiant"),"")</f>
        <v/>
      </c>
    </row>
    <row r="3041" spans="20:21" x14ac:dyDescent="0.3">
      <c r="T3041" t="str">
        <f>IF(ISERROR(MATCH('Analysis backend'!$M$1,E3041:N3041,0)),"",'Analysis backend'!$L$1)</f>
        <v/>
      </c>
      <c r="U3041" t="str">
        <f>IF(T3041='Analysis backend'!$L$1,IF(ISERROR(MATCH('Analysis backend'!$M$1,E3041:I3041,0)),"Dire","Radiant"),"")</f>
        <v/>
      </c>
    </row>
    <row r="3042" spans="20:21" x14ac:dyDescent="0.3">
      <c r="T3042" t="str">
        <f>IF(ISERROR(MATCH('Analysis backend'!$M$1,E3042:N3042,0)),"",'Analysis backend'!$L$1)</f>
        <v/>
      </c>
      <c r="U3042" t="str">
        <f>IF(T3042='Analysis backend'!$L$1,IF(ISERROR(MATCH('Analysis backend'!$M$1,E3042:I3042,0)),"Dire","Radiant"),"")</f>
        <v/>
      </c>
    </row>
    <row r="3043" spans="20:21" x14ac:dyDescent="0.3">
      <c r="T3043" t="str">
        <f>IF(ISERROR(MATCH('Analysis backend'!$M$1,E3043:N3043,0)),"",'Analysis backend'!$L$1)</f>
        <v/>
      </c>
      <c r="U3043" t="str">
        <f>IF(T3043='Analysis backend'!$L$1,IF(ISERROR(MATCH('Analysis backend'!$M$1,E3043:I3043,0)),"Dire","Radiant"),"")</f>
        <v/>
      </c>
    </row>
    <row r="3044" spans="20:21" x14ac:dyDescent="0.3">
      <c r="T3044" t="str">
        <f>IF(ISERROR(MATCH('Analysis backend'!$M$1,E3044:N3044,0)),"",'Analysis backend'!$L$1)</f>
        <v/>
      </c>
      <c r="U3044" t="str">
        <f>IF(T3044='Analysis backend'!$L$1,IF(ISERROR(MATCH('Analysis backend'!$M$1,E3044:I3044,0)),"Dire","Radiant"),"")</f>
        <v/>
      </c>
    </row>
    <row r="3045" spans="20:21" x14ac:dyDescent="0.3">
      <c r="T3045" t="str">
        <f>IF(ISERROR(MATCH('Analysis backend'!$M$1,E3045:N3045,0)),"",'Analysis backend'!$L$1)</f>
        <v/>
      </c>
      <c r="U3045" t="str">
        <f>IF(T3045='Analysis backend'!$L$1,IF(ISERROR(MATCH('Analysis backend'!$M$1,E3045:I3045,0)),"Dire","Radiant"),"")</f>
        <v/>
      </c>
    </row>
    <row r="3046" spans="20:21" x14ac:dyDescent="0.3">
      <c r="T3046" t="str">
        <f>IF(ISERROR(MATCH('Analysis backend'!$M$1,E3046:N3046,0)),"",'Analysis backend'!$L$1)</f>
        <v/>
      </c>
      <c r="U3046" t="str">
        <f>IF(T3046='Analysis backend'!$L$1,IF(ISERROR(MATCH('Analysis backend'!$M$1,E3046:I3046,0)),"Dire","Radiant"),"")</f>
        <v/>
      </c>
    </row>
    <row r="3047" spans="20:21" x14ac:dyDescent="0.3">
      <c r="T3047" t="str">
        <f>IF(ISERROR(MATCH('Analysis backend'!$M$1,E3047:N3047,0)),"",'Analysis backend'!$L$1)</f>
        <v/>
      </c>
      <c r="U3047" t="str">
        <f>IF(T3047='Analysis backend'!$L$1,IF(ISERROR(MATCH('Analysis backend'!$M$1,E3047:I3047,0)),"Dire","Radiant"),"")</f>
        <v/>
      </c>
    </row>
    <row r="3048" spans="20:21" x14ac:dyDescent="0.3">
      <c r="T3048" t="str">
        <f>IF(ISERROR(MATCH('Analysis backend'!$M$1,E3048:N3048,0)),"",'Analysis backend'!$L$1)</f>
        <v/>
      </c>
      <c r="U3048" t="str">
        <f>IF(T3048='Analysis backend'!$L$1,IF(ISERROR(MATCH('Analysis backend'!$M$1,E3048:I3048,0)),"Dire","Radiant"),"")</f>
        <v/>
      </c>
    </row>
    <row r="3049" spans="20:21" x14ac:dyDescent="0.3">
      <c r="T3049" t="str">
        <f>IF(ISERROR(MATCH('Analysis backend'!$M$1,E3049:N3049,0)),"",'Analysis backend'!$L$1)</f>
        <v/>
      </c>
      <c r="U3049" t="str">
        <f>IF(T3049='Analysis backend'!$L$1,IF(ISERROR(MATCH('Analysis backend'!$M$1,E3049:I3049,0)),"Dire","Radiant"),"")</f>
        <v/>
      </c>
    </row>
    <row r="3050" spans="20:21" x14ac:dyDescent="0.3">
      <c r="T3050" t="str">
        <f>IF(ISERROR(MATCH('Analysis backend'!$M$1,E3050:N3050,0)),"",'Analysis backend'!$L$1)</f>
        <v/>
      </c>
      <c r="U3050" t="str">
        <f>IF(T3050='Analysis backend'!$L$1,IF(ISERROR(MATCH('Analysis backend'!$M$1,E3050:I3050,0)),"Dire","Radiant"),"")</f>
        <v/>
      </c>
    </row>
    <row r="3051" spans="20:21" x14ac:dyDescent="0.3">
      <c r="T3051" t="str">
        <f>IF(ISERROR(MATCH('Analysis backend'!$M$1,E3051:N3051,0)),"",'Analysis backend'!$L$1)</f>
        <v/>
      </c>
      <c r="U3051" t="str">
        <f>IF(T3051='Analysis backend'!$L$1,IF(ISERROR(MATCH('Analysis backend'!$M$1,E3051:I3051,0)),"Dire","Radiant"),"")</f>
        <v/>
      </c>
    </row>
    <row r="3052" spans="20:21" x14ac:dyDescent="0.3">
      <c r="T3052" t="str">
        <f>IF(ISERROR(MATCH('Analysis backend'!$M$1,E3052:N3052,0)),"",'Analysis backend'!$L$1)</f>
        <v/>
      </c>
      <c r="U3052" t="str">
        <f>IF(T3052='Analysis backend'!$L$1,IF(ISERROR(MATCH('Analysis backend'!$M$1,E3052:I3052,0)),"Dire","Radiant"),"")</f>
        <v/>
      </c>
    </row>
    <row r="3053" spans="20:21" x14ac:dyDescent="0.3">
      <c r="T3053" t="str">
        <f>IF(ISERROR(MATCH('Analysis backend'!$M$1,E3053:N3053,0)),"",'Analysis backend'!$L$1)</f>
        <v/>
      </c>
      <c r="U3053" t="str">
        <f>IF(T3053='Analysis backend'!$L$1,IF(ISERROR(MATCH('Analysis backend'!$M$1,E3053:I3053,0)),"Dire","Radiant"),"")</f>
        <v/>
      </c>
    </row>
    <row r="3054" spans="20:21" x14ac:dyDescent="0.3">
      <c r="T3054" t="str">
        <f>IF(ISERROR(MATCH('Analysis backend'!$M$1,E3054:N3054,0)),"",'Analysis backend'!$L$1)</f>
        <v/>
      </c>
      <c r="U3054" t="str">
        <f>IF(T3054='Analysis backend'!$L$1,IF(ISERROR(MATCH('Analysis backend'!$M$1,E3054:I3054,0)),"Dire","Radiant"),"")</f>
        <v/>
      </c>
    </row>
    <row r="3055" spans="20:21" x14ac:dyDescent="0.3">
      <c r="T3055" t="str">
        <f>IF(ISERROR(MATCH('Analysis backend'!$M$1,E3055:N3055,0)),"",'Analysis backend'!$L$1)</f>
        <v/>
      </c>
      <c r="U3055" t="str">
        <f>IF(T3055='Analysis backend'!$L$1,IF(ISERROR(MATCH('Analysis backend'!$M$1,E3055:I3055,0)),"Dire","Radiant"),"")</f>
        <v/>
      </c>
    </row>
    <row r="3056" spans="20:21" x14ac:dyDescent="0.3">
      <c r="T3056" t="str">
        <f>IF(ISERROR(MATCH('Analysis backend'!$M$1,E3056:N3056,0)),"",'Analysis backend'!$L$1)</f>
        <v/>
      </c>
      <c r="U3056" t="str">
        <f>IF(T3056='Analysis backend'!$L$1,IF(ISERROR(MATCH('Analysis backend'!$M$1,E3056:I3056,0)),"Dire","Radiant"),"")</f>
        <v/>
      </c>
    </row>
    <row r="3057" spans="20:21" x14ac:dyDescent="0.3">
      <c r="T3057" t="str">
        <f>IF(ISERROR(MATCH('Analysis backend'!$M$1,E3057:N3057,0)),"",'Analysis backend'!$L$1)</f>
        <v/>
      </c>
      <c r="U3057" t="str">
        <f>IF(T3057='Analysis backend'!$L$1,IF(ISERROR(MATCH('Analysis backend'!$M$1,E3057:I3057,0)),"Dire","Radiant"),"")</f>
        <v/>
      </c>
    </row>
    <row r="3058" spans="20:21" x14ac:dyDescent="0.3">
      <c r="T3058" t="str">
        <f>IF(ISERROR(MATCH('Analysis backend'!$M$1,E3058:N3058,0)),"",'Analysis backend'!$L$1)</f>
        <v/>
      </c>
      <c r="U3058" t="str">
        <f>IF(T3058='Analysis backend'!$L$1,IF(ISERROR(MATCH('Analysis backend'!$M$1,E3058:I3058,0)),"Dire","Radiant"),"")</f>
        <v/>
      </c>
    </row>
    <row r="3059" spans="20:21" x14ac:dyDescent="0.3">
      <c r="T3059" t="str">
        <f>IF(ISERROR(MATCH('Analysis backend'!$M$1,E3059:N3059,0)),"",'Analysis backend'!$L$1)</f>
        <v/>
      </c>
      <c r="U3059" t="str">
        <f>IF(T3059='Analysis backend'!$L$1,IF(ISERROR(MATCH('Analysis backend'!$M$1,E3059:I3059,0)),"Dire","Radiant"),"")</f>
        <v/>
      </c>
    </row>
    <row r="3060" spans="20:21" x14ac:dyDescent="0.3">
      <c r="T3060" t="str">
        <f>IF(ISERROR(MATCH('Analysis backend'!$M$1,E3060:N3060,0)),"",'Analysis backend'!$L$1)</f>
        <v/>
      </c>
      <c r="U3060" t="str">
        <f>IF(T3060='Analysis backend'!$L$1,IF(ISERROR(MATCH('Analysis backend'!$M$1,E3060:I3060,0)),"Dire","Radiant"),"")</f>
        <v/>
      </c>
    </row>
    <row r="3061" spans="20:21" x14ac:dyDescent="0.3">
      <c r="T3061" t="str">
        <f>IF(ISERROR(MATCH('Analysis backend'!$M$1,E3061:N3061,0)),"",'Analysis backend'!$L$1)</f>
        <v/>
      </c>
      <c r="U3061" t="str">
        <f>IF(T3061='Analysis backend'!$L$1,IF(ISERROR(MATCH('Analysis backend'!$M$1,E3061:I3061,0)),"Dire","Radiant"),"")</f>
        <v/>
      </c>
    </row>
    <row r="3062" spans="20:21" x14ac:dyDescent="0.3">
      <c r="T3062" t="str">
        <f>IF(ISERROR(MATCH('Analysis backend'!$M$1,E3062:N3062,0)),"",'Analysis backend'!$L$1)</f>
        <v/>
      </c>
      <c r="U3062" t="str">
        <f>IF(T3062='Analysis backend'!$L$1,IF(ISERROR(MATCH('Analysis backend'!$M$1,E3062:I3062,0)),"Dire","Radiant"),"")</f>
        <v/>
      </c>
    </row>
    <row r="3063" spans="20:21" x14ac:dyDescent="0.3">
      <c r="T3063" t="str">
        <f>IF(ISERROR(MATCH('Analysis backend'!$M$1,E3063:N3063,0)),"",'Analysis backend'!$L$1)</f>
        <v/>
      </c>
      <c r="U3063" t="str">
        <f>IF(T3063='Analysis backend'!$L$1,IF(ISERROR(MATCH('Analysis backend'!$M$1,E3063:I3063,0)),"Dire","Radiant"),"")</f>
        <v/>
      </c>
    </row>
    <row r="3064" spans="20:21" x14ac:dyDescent="0.3">
      <c r="T3064" t="str">
        <f>IF(ISERROR(MATCH('Analysis backend'!$M$1,E3064:N3064,0)),"",'Analysis backend'!$L$1)</f>
        <v/>
      </c>
      <c r="U3064" t="str">
        <f>IF(T3064='Analysis backend'!$L$1,IF(ISERROR(MATCH('Analysis backend'!$M$1,E3064:I3064,0)),"Dire","Radiant"),"")</f>
        <v/>
      </c>
    </row>
    <row r="3065" spans="20:21" x14ac:dyDescent="0.3">
      <c r="T3065" t="str">
        <f>IF(ISERROR(MATCH('Analysis backend'!$M$1,E3065:N3065,0)),"",'Analysis backend'!$L$1)</f>
        <v/>
      </c>
      <c r="U3065" t="str">
        <f>IF(T3065='Analysis backend'!$L$1,IF(ISERROR(MATCH('Analysis backend'!$M$1,E3065:I3065,0)),"Dire","Radiant"),"")</f>
        <v/>
      </c>
    </row>
    <row r="3066" spans="20:21" x14ac:dyDescent="0.3">
      <c r="T3066" t="str">
        <f>IF(ISERROR(MATCH('Analysis backend'!$M$1,E3066:N3066,0)),"",'Analysis backend'!$L$1)</f>
        <v/>
      </c>
      <c r="U3066" t="str">
        <f>IF(T3066='Analysis backend'!$L$1,IF(ISERROR(MATCH('Analysis backend'!$M$1,E3066:I3066,0)),"Dire","Radiant"),"")</f>
        <v/>
      </c>
    </row>
    <row r="3067" spans="20:21" x14ac:dyDescent="0.3">
      <c r="T3067" t="str">
        <f>IF(ISERROR(MATCH('Analysis backend'!$M$1,E3067:N3067,0)),"",'Analysis backend'!$L$1)</f>
        <v/>
      </c>
      <c r="U3067" t="str">
        <f>IF(T3067='Analysis backend'!$L$1,IF(ISERROR(MATCH('Analysis backend'!$M$1,E3067:I3067,0)),"Dire","Radiant"),"")</f>
        <v/>
      </c>
    </row>
    <row r="3068" spans="20:21" x14ac:dyDescent="0.3">
      <c r="T3068" t="str">
        <f>IF(ISERROR(MATCH('Analysis backend'!$M$1,E3068:N3068,0)),"",'Analysis backend'!$L$1)</f>
        <v/>
      </c>
      <c r="U3068" t="str">
        <f>IF(T3068='Analysis backend'!$L$1,IF(ISERROR(MATCH('Analysis backend'!$M$1,E3068:I3068,0)),"Dire","Radiant"),"")</f>
        <v/>
      </c>
    </row>
    <row r="3069" spans="20:21" x14ac:dyDescent="0.3">
      <c r="T3069" t="str">
        <f>IF(ISERROR(MATCH('Analysis backend'!$M$1,E3069:N3069,0)),"",'Analysis backend'!$L$1)</f>
        <v/>
      </c>
      <c r="U3069" t="str">
        <f>IF(T3069='Analysis backend'!$L$1,IF(ISERROR(MATCH('Analysis backend'!$M$1,E3069:I3069,0)),"Dire","Radiant"),"")</f>
        <v/>
      </c>
    </row>
    <row r="3070" spans="20:21" x14ac:dyDescent="0.3">
      <c r="T3070" t="str">
        <f>IF(ISERROR(MATCH('Analysis backend'!$M$1,E3070:N3070,0)),"",'Analysis backend'!$L$1)</f>
        <v/>
      </c>
      <c r="U3070" t="str">
        <f>IF(T3070='Analysis backend'!$L$1,IF(ISERROR(MATCH('Analysis backend'!$M$1,E3070:I3070,0)),"Dire","Radiant"),"")</f>
        <v/>
      </c>
    </row>
    <row r="3071" spans="20:21" x14ac:dyDescent="0.3">
      <c r="T3071" t="str">
        <f>IF(ISERROR(MATCH('Analysis backend'!$M$1,E3071:N3071,0)),"",'Analysis backend'!$L$1)</f>
        <v/>
      </c>
      <c r="U3071" t="str">
        <f>IF(T3071='Analysis backend'!$L$1,IF(ISERROR(MATCH('Analysis backend'!$M$1,E3071:I3071,0)),"Dire","Radiant"),"")</f>
        <v/>
      </c>
    </row>
    <row r="3072" spans="20:21" x14ac:dyDescent="0.3">
      <c r="T3072" t="str">
        <f>IF(ISERROR(MATCH('Analysis backend'!$M$1,E3072:N3072,0)),"",'Analysis backend'!$L$1)</f>
        <v/>
      </c>
      <c r="U3072" t="str">
        <f>IF(T3072='Analysis backend'!$L$1,IF(ISERROR(MATCH('Analysis backend'!$M$1,E3072:I3072,0)),"Dire","Radiant"),"")</f>
        <v/>
      </c>
    </row>
    <row r="3073" spans="20:21" x14ac:dyDescent="0.3">
      <c r="T3073" t="str">
        <f>IF(ISERROR(MATCH('Analysis backend'!$M$1,E3073:N3073,0)),"",'Analysis backend'!$L$1)</f>
        <v/>
      </c>
      <c r="U3073" t="str">
        <f>IF(T3073='Analysis backend'!$L$1,IF(ISERROR(MATCH('Analysis backend'!$M$1,E3073:I3073,0)),"Dire","Radiant"),"")</f>
        <v/>
      </c>
    </row>
    <row r="3074" spans="20:21" x14ac:dyDescent="0.3">
      <c r="T3074" t="str">
        <f>IF(ISERROR(MATCH('Analysis backend'!$M$1,E3074:N3074,0)),"",'Analysis backend'!$L$1)</f>
        <v/>
      </c>
      <c r="U3074" t="str">
        <f>IF(T3074='Analysis backend'!$L$1,IF(ISERROR(MATCH('Analysis backend'!$M$1,E3074:I3074,0)),"Dire","Radiant"),"")</f>
        <v/>
      </c>
    </row>
    <row r="3075" spans="20:21" x14ac:dyDescent="0.3">
      <c r="T3075" t="str">
        <f>IF(ISERROR(MATCH('Analysis backend'!$M$1,E3075:N3075,0)),"",'Analysis backend'!$L$1)</f>
        <v/>
      </c>
      <c r="U3075" t="str">
        <f>IF(T3075='Analysis backend'!$L$1,IF(ISERROR(MATCH('Analysis backend'!$M$1,E3075:I3075,0)),"Dire","Radiant"),"")</f>
        <v/>
      </c>
    </row>
    <row r="3076" spans="20:21" x14ac:dyDescent="0.3">
      <c r="T3076" t="str">
        <f>IF(ISERROR(MATCH('Analysis backend'!$M$1,E3076:N3076,0)),"",'Analysis backend'!$L$1)</f>
        <v/>
      </c>
      <c r="U3076" t="str">
        <f>IF(T3076='Analysis backend'!$L$1,IF(ISERROR(MATCH('Analysis backend'!$M$1,E3076:I3076,0)),"Dire","Radiant"),"")</f>
        <v/>
      </c>
    </row>
    <row r="3077" spans="20:21" x14ac:dyDescent="0.3">
      <c r="T3077" t="str">
        <f>IF(ISERROR(MATCH('Analysis backend'!$M$1,E3077:N3077,0)),"",'Analysis backend'!$L$1)</f>
        <v/>
      </c>
      <c r="U3077" t="str">
        <f>IF(T3077='Analysis backend'!$L$1,IF(ISERROR(MATCH('Analysis backend'!$M$1,E3077:I3077,0)),"Dire","Radiant"),"")</f>
        <v/>
      </c>
    </row>
    <row r="3078" spans="20:21" x14ac:dyDescent="0.3">
      <c r="T3078" t="str">
        <f>IF(ISERROR(MATCH('Analysis backend'!$M$1,E3078:N3078,0)),"",'Analysis backend'!$L$1)</f>
        <v/>
      </c>
      <c r="U3078" t="str">
        <f>IF(T3078='Analysis backend'!$L$1,IF(ISERROR(MATCH('Analysis backend'!$M$1,E3078:I3078,0)),"Dire","Radiant"),"")</f>
        <v/>
      </c>
    </row>
    <row r="3079" spans="20:21" x14ac:dyDescent="0.3">
      <c r="T3079" t="str">
        <f>IF(ISERROR(MATCH('Analysis backend'!$M$1,E3079:N3079,0)),"",'Analysis backend'!$L$1)</f>
        <v/>
      </c>
      <c r="U3079" t="str">
        <f>IF(T3079='Analysis backend'!$L$1,IF(ISERROR(MATCH('Analysis backend'!$M$1,E3079:I3079,0)),"Dire","Radiant"),"")</f>
        <v/>
      </c>
    </row>
    <row r="3080" spans="20:21" x14ac:dyDescent="0.3">
      <c r="T3080" t="str">
        <f>IF(ISERROR(MATCH('Analysis backend'!$M$1,E3080:N3080,0)),"",'Analysis backend'!$L$1)</f>
        <v/>
      </c>
      <c r="U3080" t="str">
        <f>IF(T3080='Analysis backend'!$L$1,IF(ISERROR(MATCH('Analysis backend'!$M$1,E3080:I3080,0)),"Dire","Radiant"),"")</f>
        <v/>
      </c>
    </row>
    <row r="3081" spans="20:21" x14ac:dyDescent="0.3">
      <c r="T3081" t="str">
        <f>IF(ISERROR(MATCH('Analysis backend'!$M$1,E3081:N3081,0)),"",'Analysis backend'!$L$1)</f>
        <v/>
      </c>
      <c r="U3081" t="str">
        <f>IF(T3081='Analysis backend'!$L$1,IF(ISERROR(MATCH('Analysis backend'!$M$1,E3081:I3081,0)),"Dire","Radiant"),"")</f>
        <v/>
      </c>
    </row>
    <row r="3082" spans="20:21" x14ac:dyDescent="0.3">
      <c r="T3082" t="str">
        <f>IF(ISERROR(MATCH('Analysis backend'!$M$1,E3082:N3082,0)),"",'Analysis backend'!$L$1)</f>
        <v/>
      </c>
      <c r="U3082" t="str">
        <f>IF(T3082='Analysis backend'!$L$1,IF(ISERROR(MATCH('Analysis backend'!$M$1,E3082:I3082,0)),"Dire","Radiant"),"")</f>
        <v/>
      </c>
    </row>
    <row r="3083" spans="20:21" x14ac:dyDescent="0.3">
      <c r="T3083" t="str">
        <f>IF(ISERROR(MATCH('Analysis backend'!$M$1,E3083:N3083,0)),"",'Analysis backend'!$L$1)</f>
        <v/>
      </c>
      <c r="U3083" t="str">
        <f>IF(T3083='Analysis backend'!$L$1,IF(ISERROR(MATCH('Analysis backend'!$M$1,E3083:I3083,0)),"Dire","Radiant"),"")</f>
        <v/>
      </c>
    </row>
    <row r="3084" spans="20:21" x14ac:dyDescent="0.3">
      <c r="T3084" t="str">
        <f>IF(ISERROR(MATCH('Analysis backend'!$M$1,E3084:N3084,0)),"",'Analysis backend'!$L$1)</f>
        <v/>
      </c>
      <c r="U3084" t="str">
        <f>IF(T3084='Analysis backend'!$L$1,IF(ISERROR(MATCH('Analysis backend'!$M$1,E3084:I3084,0)),"Dire","Radiant"),"")</f>
        <v/>
      </c>
    </row>
    <row r="3085" spans="20:21" x14ac:dyDescent="0.3">
      <c r="T3085" t="str">
        <f>IF(ISERROR(MATCH('Analysis backend'!$M$1,E3085:N3085,0)),"",'Analysis backend'!$L$1)</f>
        <v/>
      </c>
      <c r="U3085" t="str">
        <f>IF(T3085='Analysis backend'!$L$1,IF(ISERROR(MATCH('Analysis backend'!$M$1,E3085:I3085,0)),"Dire","Radiant"),"")</f>
        <v/>
      </c>
    </row>
    <row r="3086" spans="20:21" x14ac:dyDescent="0.3">
      <c r="T3086" t="str">
        <f>IF(ISERROR(MATCH('Analysis backend'!$M$1,E3086:N3086,0)),"",'Analysis backend'!$L$1)</f>
        <v/>
      </c>
      <c r="U3086" t="str">
        <f>IF(T3086='Analysis backend'!$L$1,IF(ISERROR(MATCH('Analysis backend'!$M$1,E3086:I3086,0)),"Dire","Radiant"),"")</f>
        <v/>
      </c>
    </row>
    <row r="3087" spans="20:21" x14ac:dyDescent="0.3">
      <c r="T3087" t="str">
        <f>IF(ISERROR(MATCH('Analysis backend'!$M$1,E3087:N3087,0)),"",'Analysis backend'!$L$1)</f>
        <v/>
      </c>
      <c r="U3087" t="str">
        <f>IF(T3087='Analysis backend'!$L$1,IF(ISERROR(MATCH('Analysis backend'!$M$1,E3087:I3087,0)),"Dire","Radiant"),"")</f>
        <v/>
      </c>
    </row>
    <row r="3088" spans="20:21" x14ac:dyDescent="0.3">
      <c r="T3088" t="str">
        <f>IF(ISERROR(MATCH('Analysis backend'!$M$1,E3088:N3088,0)),"",'Analysis backend'!$L$1)</f>
        <v/>
      </c>
      <c r="U3088" t="str">
        <f>IF(T3088='Analysis backend'!$L$1,IF(ISERROR(MATCH('Analysis backend'!$M$1,E3088:I3088,0)),"Dire","Radiant"),"")</f>
        <v/>
      </c>
    </row>
    <row r="3089" spans="20:21" x14ac:dyDescent="0.3">
      <c r="T3089" t="str">
        <f>IF(ISERROR(MATCH('Analysis backend'!$M$1,E3089:N3089,0)),"",'Analysis backend'!$L$1)</f>
        <v/>
      </c>
      <c r="U3089" t="str">
        <f>IF(T3089='Analysis backend'!$L$1,IF(ISERROR(MATCH('Analysis backend'!$M$1,E3089:I3089,0)),"Dire","Radiant"),"")</f>
        <v/>
      </c>
    </row>
    <row r="3090" spans="20:21" x14ac:dyDescent="0.3">
      <c r="T3090" t="str">
        <f>IF(ISERROR(MATCH('Analysis backend'!$M$1,E3090:N3090,0)),"",'Analysis backend'!$L$1)</f>
        <v/>
      </c>
      <c r="U3090" t="str">
        <f>IF(T3090='Analysis backend'!$L$1,IF(ISERROR(MATCH('Analysis backend'!$M$1,E3090:I3090,0)),"Dire","Radiant"),"")</f>
        <v/>
      </c>
    </row>
    <row r="3091" spans="20:21" x14ac:dyDescent="0.3">
      <c r="T3091" t="str">
        <f>IF(ISERROR(MATCH('Analysis backend'!$M$1,E3091:N3091,0)),"",'Analysis backend'!$L$1)</f>
        <v/>
      </c>
      <c r="U3091" t="str">
        <f>IF(T3091='Analysis backend'!$L$1,IF(ISERROR(MATCH('Analysis backend'!$M$1,E3091:I3091,0)),"Dire","Radiant"),"")</f>
        <v/>
      </c>
    </row>
    <row r="3092" spans="20:21" x14ac:dyDescent="0.3">
      <c r="T3092" t="str">
        <f>IF(ISERROR(MATCH('Analysis backend'!$M$1,E3092:N3092,0)),"",'Analysis backend'!$L$1)</f>
        <v/>
      </c>
      <c r="U3092" t="str">
        <f>IF(T3092='Analysis backend'!$L$1,IF(ISERROR(MATCH('Analysis backend'!$M$1,E3092:I3092,0)),"Dire","Radiant"),"")</f>
        <v/>
      </c>
    </row>
    <row r="3093" spans="20:21" x14ac:dyDescent="0.3">
      <c r="T3093" t="str">
        <f>IF(ISERROR(MATCH('Analysis backend'!$M$1,E3093:N3093,0)),"",'Analysis backend'!$L$1)</f>
        <v/>
      </c>
      <c r="U3093" t="str">
        <f>IF(T3093='Analysis backend'!$L$1,IF(ISERROR(MATCH('Analysis backend'!$M$1,E3093:I3093,0)),"Dire","Radiant"),"")</f>
        <v/>
      </c>
    </row>
    <row r="3094" spans="20:21" x14ac:dyDescent="0.3">
      <c r="T3094" t="str">
        <f>IF(ISERROR(MATCH('Analysis backend'!$M$1,E3094:N3094,0)),"",'Analysis backend'!$L$1)</f>
        <v/>
      </c>
      <c r="U3094" t="str">
        <f>IF(T3094='Analysis backend'!$L$1,IF(ISERROR(MATCH('Analysis backend'!$M$1,E3094:I3094,0)),"Dire","Radiant"),"")</f>
        <v/>
      </c>
    </row>
    <row r="3095" spans="20:21" x14ac:dyDescent="0.3">
      <c r="T3095" t="str">
        <f>IF(ISERROR(MATCH('Analysis backend'!$M$1,E3095:N3095,0)),"",'Analysis backend'!$L$1)</f>
        <v/>
      </c>
      <c r="U3095" t="str">
        <f>IF(T3095='Analysis backend'!$L$1,IF(ISERROR(MATCH('Analysis backend'!$M$1,E3095:I3095,0)),"Dire","Radiant"),"")</f>
        <v/>
      </c>
    </row>
    <row r="3096" spans="20:21" x14ac:dyDescent="0.3">
      <c r="T3096" t="str">
        <f>IF(ISERROR(MATCH('Analysis backend'!$M$1,E3096:N3096,0)),"",'Analysis backend'!$L$1)</f>
        <v/>
      </c>
      <c r="U3096" t="str">
        <f>IF(T3096='Analysis backend'!$L$1,IF(ISERROR(MATCH('Analysis backend'!$M$1,E3096:I3096,0)),"Dire","Radiant"),"")</f>
        <v/>
      </c>
    </row>
    <row r="3097" spans="20:21" x14ac:dyDescent="0.3">
      <c r="T3097" t="str">
        <f>IF(ISERROR(MATCH('Analysis backend'!$M$1,E3097:N3097,0)),"",'Analysis backend'!$L$1)</f>
        <v/>
      </c>
      <c r="U3097" t="str">
        <f>IF(T3097='Analysis backend'!$L$1,IF(ISERROR(MATCH('Analysis backend'!$M$1,E3097:I3097,0)),"Dire","Radiant"),"")</f>
        <v/>
      </c>
    </row>
    <row r="3098" spans="20:21" x14ac:dyDescent="0.3">
      <c r="T3098" t="str">
        <f>IF(ISERROR(MATCH('Analysis backend'!$M$1,E3098:N3098,0)),"",'Analysis backend'!$L$1)</f>
        <v/>
      </c>
      <c r="U3098" t="str">
        <f>IF(T3098='Analysis backend'!$L$1,IF(ISERROR(MATCH('Analysis backend'!$M$1,E3098:I3098,0)),"Dire","Radiant"),"")</f>
        <v/>
      </c>
    </row>
    <row r="3099" spans="20:21" x14ac:dyDescent="0.3">
      <c r="T3099" t="str">
        <f>IF(ISERROR(MATCH('Analysis backend'!$M$1,E3099:N3099,0)),"",'Analysis backend'!$L$1)</f>
        <v/>
      </c>
      <c r="U3099" t="str">
        <f>IF(T3099='Analysis backend'!$L$1,IF(ISERROR(MATCH('Analysis backend'!$M$1,E3099:I3099,0)),"Dire","Radiant"),"")</f>
        <v/>
      </c>
    </row>
    <row r="3100" spans="20:21" x14ac:dyDescent="0.3">
      <c r="T3100" t="str">
        <f>IF(ISERROR(MATCH('Analysis backend'!$M$1,E3100:N3100,0)),"",'Analysis backend'!$L$1)</f>
        <v/>
      </c>
      <c r="U3100" t="str">
        <f>IF(T3100='Analysis backend'!$L$1,IF(ISERROR(MATCH('Analysis backend'!$M$1,E3100:I3100,0)),"Dire","Radiant"),"")</f>
        <v/>
      </c>
    </row>
    <row r="3101" spans="20:21" x14ac:dyDescent="0.3">
      <c r="T3101" t="str">
        <f>IF(ISERROR(MATCH('Analysis backend'!$M$1,E3101:N3101,0)),"",'Analysis backend'!$L$1)</f>
        <v/>
      </c>
      <c r="U3101" t="str">
        <f>IF(T3101='Analysis backend'!$L$1,IF(ISERROR(MATCH('Analysis backend'!$M$1,E3101:I3101,0)),"Dire","Radiant"),"")</f>
        <v/>
      </c>
    </row>
    <row r="3102" spans="20:21" x14ac:dyDescent="0.3">
      <c r="T3102" t="str">
        <f>IF(ISERROR(MATCH('Analysis backend'!$M$1,E3102:N3102,0)),"",'Analysis backend'!$L$1)</f>
        <v/>
      </c>
      <c r="U3102" t="str">
        <f>IF(T3102='Analysis backend'!$L$1,IF(ISERROR(MATCH('Analysis backend'!$M$1,E3102:I3102,0)),"Dire","Radiant"),"")</f>
        <v/>
      </c>
    </row>
    <row r="3103" spans="20:21" x14ac:dyDescent="0.3">
      <c r="T3103" t="str">
        <f>IF(ISERROR(MATCH('Analysis backend'!$M$1,E3103:N3103,0)),"",'Analysis backend'!$L$1)</f>
        <v/>
      </c>
      <c r="U3103" t="str">
        <f>IF(T3103='Analysis backend'!$L$1,IF(ISERROR(MATCH('Analysis backend'!$M$1,E3103:I3103,0)),"Dire","Radiant"),"")</f>
        <v/>
      </c>
    </row>
    <row r="3104" spans="20:21" x14ac:dyDescent="0.3">
      <c r="T3104" t="str">
        <f>IF(ISERROR(MATCH('Analysis backend'!$M$1,E3104:N3104,0)),"",'Analysis backend'!$L$1)</f>
        <v/>
      </c>
      <c r="U3104" t="str">
        <f>IF(T3104='Analysis backend'!$L$1,IF(ISERROR(MATCH('Analysis backend'!$M$1,E3104:I3104,0)),"Dire","Radiant"),"")</f>
        <v/>
      </c>
    </row>
    <row r="3105" spans="20:21" x14ac:dyDescent="0.3">
      <c r="T3105" t="str">
        <f>IF(ISERROR(MATCH('Analysis backend'!$M$1,E3105:N3105,0)),"",'Analysis backend'!$L$1)</f>
        <v/>
      </c>
      <c r="U3105" t="str">
        <f>IF(T3105='Analysis backend'!$L$1,IF(ISERROR(MATCH('Analysis backend'!$M$1,E3105:I3105,0)),"Dire","Radiant"),"")</f>
        <v/>
      </c>
    </row>
    <row r="3106" spans="20:21" x14ac:dyDescent="0.3">
      <c r="T3106" t="str">
        <f>IF(ISERROR(MATCH('Analysis backend'!$M$1,E3106:N3106,0)),"",'Analysis backend'!$L$1)</f>
        <v/>
      </c>
      <c r="U3106" t="str">
        <f>IF(T3106='Analysis backend'!$L$1,IF(ISERROR(MATCH('Analysis backend'!$M$1,E3106:I3106,0)),"Dire","Radiant"),"")</f>
        <v/>
      </c>
    </row>
    <row r="3107" spans="20:21" x14ac:dyDescent="0.3">
      <c r="T3107" t="str">
        <f>IF(ISERROR(MATCH('Analysis backend'!$M$1,E3107:N3107,0)),"",'Analysis backend'!$L$1)</f>
        <v/>
      </c>
      <c r="U3107" t="str">
        <f>IF(T3107='Analysis backend'!$L$1,IF(ISERROR(MATCH('Analysis backend'!$M$1,E3107:I3107,0)),"Dire","Radiant"),"")</f>
        <v/>
      </c>
    </row>
    <row r="3108" spans="20:21" x14ac:dyDescent="0.3">
      <c r="T3108" t="str">
        <f>IF(ISERROR(MATCH('Analysis backend'!$M$1,E3108:N3108,0)),"",'Analysis backend'!$L$1)</f>
        <v/>
      </c>
      <c r="U3108" t="str">
        <f>IF(T3108='Analysis backend'!$L$1,IF(ISERROR(MATCH('Analysis backend'!$M$1,E3108:I3108,0)),"Dire","Radiant"),"")</f>
        <v/>
      </c>
    </row>
    <row r="3109" spans="20:21" x14ac:dyDescent="0.3">
      <c r="T3109" t="str">
        <f>IF(ISERROR(MATCH('Analysis backend'!$M$1,E3109:N3109,0)),"",'Analysis backend'!$L$1)</f>
        <v/>
      </c>
      <c r="U3109" t="str">
        <f>IF(T3109='Analysis backend'!$L$1,IF(ISERROR(MATCH('Analysis backend'!$M$1,E3109:I3109,0)),"Dire","Radiant"),"")</f>
        <v/>
      </c>
    </row>
    <row r="3110" spans="20:21" x14ac:dyDescent="0.3">
      <c r="T3110" t="str">
        <f>IF(ISERROR(MATCH('Analysis backend'!$M$1,E3110:N3110,0)),"",'Analysis backend'!$L$1)</f>
        <v/>
      </c>
      <c r="U3110" t="str">
        <f>IF(T3110='Analysis backend'!$L$1,IF(ISERROR(MATCH('Analysis backend'!$M$1,E3110:I3110,0)),"Dire","Radiant"),"")</f>
        <v/>
      </c>
    </row>
    <row r="3111" spans="20:21" x14ac:dyDescent="0.3">
      <c r="T3111" t="str">
        <f>IF(ISERROR(MATCH('Analysis backend'!$M$1,E3111:N3111,0)),"",'Analysis backend'!$L$1)</f>
        <v/>
      </c>
      <c r="U3111" t="str">
        <f>IF(T3111='Analysis backend'!$L$1,IF(ISERROR(MATCH('Analysis backend'!$M$1,E3111:I3111,0)),"Dire","Radiant"),"")</f>
        <v/>
      </c>
    </row>
    <row r="3112" spans="20:21" x14ac:dyDescent="0.3">
      <c r="T3112" t="str">
        <f>IF(ISERROR(MATCH('Analysis backend'!$M$1,E3112:N3112,0)),"",'Analysis backend'!$L$1)</f>
        <v/>
      </c>
      <c r="U3112" t="str">
        <f>IF(T3112='Analysis backend'!$L$1,IF(ISERROR(MATCH('Analysis backend'!$M$1,E3112:I3112,0)),"Dire","Radiant"),"")</f>
        <v/>
      </c>
    </row>
    <row r="3113" spans="20:21" x14ac:dyDescent="0.3">
      <c r="T3113" t="str">
        <f>IF(ISERROR(MATCH('Analysis backend'!$M$1,E3113:N3113,0)),"",'Analysis backend'!$L$1)</f>
        <v/>
      </c>
      <c r="U3113" t="str">
        <f>IF(T3113='Analysis backend'!$L$1,IF(ISERROR(MATCH('Analysis backend'!$M$1,E3113:I3113,0)),"Dire","Radiant"),"")</f>
        <v/>
      </c>
    </row>
    <row r="3114" spans="20:21" x14ac:dyDescent="0.3">
      <c r="T3114" t="str">
        <f>IF(ISERROR(MATCH('Analysis backend'!$M$1,E3114:N3114,0)),"",'Analysis backend'!$L$1)</f>
        <v/>
      </c>
      <c r="U3114" t="str">
        <f>IF(T3114='Analysis backend'!$L$1,IF(ISERROR(MATCH('Analysis backend'!$M$1,E3114:I3114,0)),"Dire","Radiant"),"")</f>
        <v/>
      </c>
    </row>
    <row r="3115" spans="20:21" x14ac:dyDescent="0.3">
      <c r="T3115" t="str">
        <f>IF(ISERROR(MATCH('Analysis backend'!$M$1,E3115:N3115,0)),"",'Analysis backend'!$L$1)</f>
        <v/>
      </c>
      <c r="U3115" t="str">
        <f>IF(T3115='Analysis backend'!$L$1,IF(ISERROR(MATCH('Analysis backend'!$M$1,E3115:I3115,0)),"Dire","Radiant"),"")</f>
        <v/>
      </c>
    </row>
    <row r="3116" spans="20:21" x14ac:dyDescent="0.3">
      <c r="T3116" t="str">
        <f>IF(ISERROR(MATCH('Analysis backend'!$M$1,E3116:N3116,0)),"",'Analysis backend'!$L$1)</f>
        <v/>
      </c>
      <c r="U3116" t="str">
        <f>IF(T3116='Analysis backend'!$L$1,IF(ISERROR(MATCH('Analysis backend'!$M$1,E3116:I3116,0)),"Dire","Radiant"),"")</f>
        <v/>
      </c>
    </row>
    <row r="3117" spans="20:21" x14ac:dyDescent="0.3">
      <c r="T3117" t="str">
        <f>IF(ISERROR(MATCH('Analysis backend'!$M$1,E3117:N3117,0)),"",'Analysis backend'!$L$1)</f>
        <v/>
      </c>
      <c r="U3117" t="str">
        <f>IF(T3117='Analysis backend'!$L$1,IF(ISERROR(MATCH('Analysis backend'!$M$1,E3117:I3117,0)),"Dire","Radiant"),"")</f>
        <v/>
      </c>
    </row>
    <row r="3118" spans="20:21" x14ac:dyDescent="0.3">
      <c r="T3118" t="str">
        <f>IF(ISERROR(MATCH('Analysis backend'!$M$1,E3118:N3118,0)),"",'Analysis backend'!$L$1)</f>
        <v/>
      </c>
      <c r="U3118" t="str">
        <f>IF(T3118='Analysis backend'!$L$1,IF(ISERROR(MATCH('Analysis backend'!$M$1,E3118:I3118,0)),"Dire","Radiant"),"")</f>
        <v/>
      </c>
    </row>
    <row r="3119" spans="20:21" x14ac:dyDescent="0.3">
      <c r="T3119" t="str">
        <f>IF(ISERROR(MATCH('Analysis backend'!$M$1,E3119:N3119,0)),"",'Analysis backend'!$L$1)</f>
        <v/>
      </c>
      <c r="U3119" t="str">
        <f>IF(T3119='Analysis backend'!$L$1,IF(ISERROR(MATCH('Analysis backend'!$M$1,E3119:I3119,0)),"Dire","Radiant"),"")</f>
        <v/>
      </c>
    </row>
    <row r="3120" spans="20:21" x14ac:dyDescent="0.3">
      <c r="T3120" t="str">
        <f>IF(ISERROR(MATCH('Analysis backend'!$M$1,E3120:N3120,0)),"",'Analysis backend'!$L$1)</f>
        <v/>
      </c>
      <c r="U3120" t="str">
        <f>IF(T3120='Analysis backend'!$L$1,IF(ISERROR(MATCH('Analysis backend'!$M$1,E3120:I3120,0)),"Dire","Radiant"),"")</f>
        <v/>
      </c>
    </row>
    <row r="3121" spans="20:21" x14ac:dyDescent="0.3">
      <c r="T3121" t="str">
        <f>IF(ISERROR(MATCH('Analysis backend'!$M$1,E3121:N3121,0)),"",'Analysis backend'!$L$1)</f>
        <v/>
      </c>
      <c r="U3121" t="str">
        <f>IF(T3121='Analysis backend'!$L$1,IF(ISERROR(MATCH('Analysis backend'!$M$1,E3121:I3121,0)),"Dire","Radiant"),"")</f>
        <v/>
      </c>
    </row>
    <row r="3122" spans="20:21" x14ac:dyDescent="0.3">
      <c r="T3122" t="str">
        <f>IF(ISERROR(MATCH('Analysis backend'!$M$1,E3122:N3122,0)),"",'Analysis backend'!$L$1)</f>
        <v/>
      </c>
      <c r="U3122" t="str">
        <f>IF(T3122='Analysis backend'!$L$1,IF(ISERROR(MATCH('Analysis backend'!$M$1,E3122:I3122,0)),"Dire","Radiant"),"")</f>
        <v/>
      </c>
    </row>
    <row r="3123" spans="20:21" x14ac:dyDescent="0.3">
      <c r="T3123" t="str">
        <f>IF(ISERROR(MATCH('Analysis backend'!$M$1,E3123:N3123,0)),"",'Analysis backend'!$L$1)</f>
        <v/>
      </c>
      <c r="U3123" t="str">
        <f>IF(T3123='Analysis backend'!$L$1,IF(ISERROR(MATCH('Analysis backend'!$M$1,E3123:I3123,0)),"Dire","Radiant"),"")</f>
        <v/>
      </c>
    </row>
    <row r="3124" spans="20:21" x14ac:dyDescent="0.3">
      <c r="T3124" t="str">
        <f>IF(ISERROR(MATCH('Analysis backend'!$M$1,E3124:N3124,0)),"",'Analysis backend'!$L$1)</f>
        <v/>
      </c>
      <c r="U3124" t="str">
        <f>IF(T3124='Analysis backend'!$L$1,IF(ISERROR(MATCH('Analysis backend'!$M$1,E3124:I3124,0)),"Dire","Radiant"),"")</f>
        <v/>
      </c>
    </row>
    <row r="3125" spans="20:21" x14ac:dyDescent="0.3">
      <c r="T3125" t="str">
        <f>IF(ISERROR(MATCH('Analysis backend'!$M$1,E3125:N3125,0)),"",'Analysis backend'!$L$1)</f>
        <v/>
      </c>
      <c r="U3125" t="str">
        <f>IF(T3125='Analysis backend'!$L$1,IF(ISERROR(MATCH('Analysis backend'!$M$1,E3125:I3125,0)),"Dire","Radiant"),"")</f>
        <v/>
      </c>
    </row>
    <row r="3126" spans="20:21" x14ac:dyDescent="0.3">
      <c r="T3126" t="str">
        <f>IF(ISERROR(MATCH('Analysis backend'!$M$1,E3126:N3126,0)),"",'Analysis backend'!$L$1)</f>
        <v/>
      </c>
      <c r="U3126" t="str">
        <f>IF(T3126='Analysis backend'!$L$1,IF(ISERROR(MATCH('Analysis backend'!$M$1,E3126:I3126,0)),"Dire","Radiant"),"")</f>
        <v/>
      </c>
    </row>
    <row r="3127" spans="20:21" x14ac:dyDescent="0.3">
      <c r="T3127" t="str">
        <f>IF(ISERROR(MATCH('Analysis backend'!$M$1,E3127:N3127,0)),"",'Analysis backend'!$L$1)</f>
        <v/>
      </c>
      <c r="U3127" t="str">
        <f>IF(T3127='Analysis backend'!$L$1,IF(ISERROR(MATCH('Analysis backend'!$M$1,E3127:I3127,0)),"Dire","Radiant"),"")</f>
        <v/>
      </c>
    </row>
    <row r="3128" spans="20:21" x14ac:dyDescent="0.3">
      <c r="T3128" t="str">
        <f>IF(ISERROR(MATCH('Analysis backend'!$M$1,E3128:N3128,0)),"",'Analysis backend'!$L$1)</f>
        <v/>
      </c>
      <c r="U3128" t="str">
        <f>IF(T3128='Analysis backend'!$L$1,IF(ISERROR(MATCH('Analysis backend'!$M$1,E3128:I3128,0)),"Dire","Radiant"),"")</f>
        <v/>
      </c>
    </row>
    <row r="3129" spans="20:21" x14ac:dyDescent="0.3">
      <c r="T3129" t="str">
        <f>IF(ISERROR(MATCH('Analysis backend'!$M$1,E3129:N3129,0)),"",'Analysis backend'!$L$1)</f>
        <v/>
      </c>
      <c r="U3129" t="str">
        <f>IF(T3129='Analysis backend'!$L$1,IF(ISERROR(MATCH('Analysis backend'!$M$1,E3129:I3129,0)),"Dire","Radiant"),"")</f>
        <v/>
      </c>
    </row>
    <row r="3130" spans="20:21" x14ac:dyDescent="0.3">
      <c r="T3130" t="str">
        <f>IF(ISERROR(MATCH('Analysis backend'!$M$1,E3130:N3130,0)),"",'Analysis backend'!$L$1)</f>
        <v/>
      </c>
      <c r="U3130" t="str">
        <f>IF(T3130='Analysis backend'!$L$1,IF(ISERROR(MATCH('Analysis backend'!$M$1,E3130:I3130,0)),"Dire","Radiant"),"")</f>
        <v/>
      </c>
    </row>
    <row r="3131" spans="20:21" x14ac:dyDescent="0.3">
      <c r="T3131" t="str">
        <f>IF(ISERROR(MATCH('Analysis backend'!$M$1,E3131:N3131,0)),"",'Analysis backend'!$L$1)</f>
        <v/>
      </c>
      <c r="U3131" t="str">
        <f>IF(T3131='Analysis backend'!$L$1,IF(ISERROR(MATCH('Analysis backend'!$M$1,E3131:I3131,0)),"Dire","Radiant"),"")</f>
        <v/>
      </c>
    </row>
    <row r="3132" spans="20:21" x14ac:dyDescent="0.3">
      <c r="T3132" t="str">
        <f>IF(ISERROR(MATCH('Analysis backend'!$M$1,E3132:N3132,0)),"",'Analysis backend'!$L$1)</f>
        <v/>
      </c>
      <c r="U3132" t="str">
        <f>IF(T3132='Analysis backend'!$L$1,IF(ISERROR(MATCH('Analysis backend'!$M$1,E3132:I3132,0)),"Dire","Radiant"),"")</f>
        <v/>
      </c>
    </row>
    <row r="3133" spans="20:21" x14ac:dyDescent="0.3">
      <c r="T3133" t="str">
        <f>IF(ISERROR(MATCH('Analysis backend'!$M$1,E3133:N3133,0)),"",'Analysis backend'!$L$1)</f>
        <v/>
      </c>
      <c r="U3133" t="str">
        <f>IF(T3133='Analysis backend'!$L$1,IF(ISERROR(MATCH('Analysis backend'!$M$1,E3133:I3133,0)),"Dire","Radiant"),"")</f>
        <v/>
      </c>
    </row>
    <row r="3134" spans="20:21" x14ac:dyDescent="0.3">
      <c r="T3134" t="str">
        <f>IF(ISERROR(MATCH('Analysis backend'!$M$1,E3134:N3134,0)),"",'Analysis backend'!$L$1)</f>
        <v/>
      </c>
      <c r="U3134" t="str">
        <f>IF(T3134='Analysis backend'!$L$1,IF(ISERROR(MATCH('Analysis backend'!$M$1,E3134:I3134,0)),"Dire","Radiant"),"")</f>
        <v/>
      </c>
    </row>
    <row r="3135" spans="20:21" x14ac:dyDescent="0.3">
      <c r="T3135" t="str">
        <f>IF(ISERROR(MATCH('Analysis backend'!$M$1,E3135:N3135,0)),"",'Analysis backend'!$L$1)</f>
        <v/>
      </c>
      <c r="U3135" t="str">
        <f>IF(T3135='Analysis backend'!$L$1,IF(ISERROR(MATCH('Analysis backend'!$M$1,E3135:I3135,0)),"Dire","Radiant"),"")</f>
        <v/>
      </c>
    </row>
    <row r="3136" spans="20:21" x14ac:dyDescent="0.3">
      <c r="T3136" t="str">
        <f>IF(ISERROR(MATCH('Analysis backend'!$M$1,E3136:N3136,0)),"",'Analysis backend'!$L$1)</f>
        <v/>
      </c>
      <c r="U3136" t="str">
        <f>IF(T3136='Analysis backend'!$L$1,IF(ISERROR(MATCH('Analysis backend'!$M$1,E3136:I3136,0)),"Dire","Radiant"),"")</f>
        <v/>
      </c>
    </row>
    <row r="3137" spans="20:21" x14ac:dyDescent="0.3">
      <c r="T3137" t="str">
        <f>IF(ISERROR(MATCH('Analysis backend'!$M$1,E3137:N3137,0)),"",'Analysis backend'!$L$1)</f>
        <v/>
      </c>
      <c r="U3137" t="str">
        <f>IF(T3137='Analysis backend'!$L$1,IF(ISERROR(MATCH('Analysis backend'!$M$1,E3137:I3137,0)),"Dire","Radiant"),"")</f>
        <v/>
      </c>
    </row>
    <row r="3138" spans="20:21" x14ac:dyDescent="0.3">
      <c r="T3138" t="str">
        <f>IF(ISERROR(MATCH('Analysis backend'!$M$1,E3138:N3138,0)),"",'Analysis backend'!$L$1)</f>
        <v/>
      </c>
      <c r="U3138" t="str">
        <f>IF(T3138='Analysis backend'!$L$1,IF(ISERROR(MATCH('Analysis backend'!$M$1,E3138:I3138,0)),"Dire","Radiant"),"")</f>
        <v/>
      </c>
    </row>
    <row r="3139" spans="20:21" x14ac:dyDescent="0.3">
      <c r="T3139" t="str">
        <f>IF(ISERROR(MATCH('Analysis backend'!$M$1,E3139:N3139,0)),"",'Analysis backend'!$L$1)</f>
        <v/>
      </c>
      <c r="U3139" t="str">
        <f>IF(T3139='Analysis backend'!$L$1,IF(ISERROR(MATCH('Analysis backend'!$M$1,E3139:I3139,0)),"Dire","Radiant"),"")</f>
        <v/>
      </c>
    </row>
    <row r="3140" spans="20:21" x14ac:dyDescent="0.3">
      <c r="T3140" t="str">
        <f>IF(ISERROR(MATCH('Analysis backend'!$M$1,E3140:N3140,0)),"",'Analysis backend'!$L$1)</f>
        <v/>
      </c>
      <c r="U3140" t="str">
        <f>IF(T3140='Analysis backend'!$L$1,IF(ISERROR(MATCH('Analysis backend'!$M$1,E3140:I3140,0)),"Dire","Radiant"),"")</f>
        <v/>
      </c>
    </row>
    <row r="3141" spans="20:21" x14ac:dyDescent="0.3">
      <c r="T3141" t="str">
        <f>IF(ISERROR(MATCH('Analysis backend'!$M$1,E3141:N3141,0)),"",'Analysis backend'!$L$1)</f>
        <v/>
      </c>
      <c r="U3141" t="str">
        <f>IF(T3141='Analysis backend'!$L$1,IF(ISERROR(MATCH('Analysis backend'!$M$1,E3141:I3141,0)),"Dire","Radiant"),"")</f>
        <v/>
      </c>
    </row>
    <row r="3142" spans="20:21" x14ac:dyDescent="0.3">
      <c r="T3142" t="str">
        <f>IF(ISERROR(MATCH('Analysis backend'!$M$1,E3142:N3142,0)),"",'Analysis backend'!$L$1)</f>
        <v/>
      </c>
      <c r="U3142" t="str">
        <f>IF(T3142='Analysis backend'!$L$1,IF(ISERROR(MATCH('Analysis backend'!$M$1,E3142:I3142,0)),"Dire","Radiant"),"")</f>
        <v/>
      </c>
    </row>
    <row r="3143" spans="20:21" x14ac:dyDescent="0.3">
      <c r="T3143" t="str">
        <f>IF(ISERROR(MATCH('Analysis backend'!$M$1,E3143:N3143,0)),"",'Analysis backend'!$L$1)</f>
        <v/>
      </c>
      <c r="U3143" t="str">
        <f>IF(T3143='Analysis backend'!$L$1,IF(ISERROR(MATCH('Analysis backend'!$M$1,E3143:I3143,0)),"Dire","Radiant"),"")</f>
        <v/>
      </c>
    </row>
    <row r="3144" spans="20:21" x14ac:dyDescent="0.3">
      <c r="T3144" t="str">
        <f>IF(ISERROR(MATCH('Analysis backend'!$M$1,E3144:N3144,0)),"",'Analysis backend'!$L$1)</f>
        <v/>
      </c>
      <c r="U3144" t="str">
        <f>IF(T3144='Analysis backend'!$L$1,IF(ISERROR(MATCH('Analysis backend'!$M$1,E3144:I3144,0)),"Dire","Radiant"),"")</f>
        <v/>
      </c>
    </row>
    <row r="3145" spans="20:21" x14ac:dyDescent="0.3">
      <c r="T3145" t="str">
        <f>IF(ISERROR(MATCH('Analysis backend'!$M$1,E3145:N3145,0)),"",'Analysis backend'!$L$1)</f>
        <v/>
      </c>
      <c r="U3145" t="str">
        <f>IF(T3145='Analysis backend'!$L$1,IF(ISERROR(MATCH('Analysis backend'!$M$1,E3145:I3145,0)),"Dire","Radiant"),"")</f>
        <v/>
      </c>
    </row>
    <row r="3146" spans="20:21" x14ac:dyDescent="0.3">
      <c r="T3146" t="str">
        <f>IF(ISERROR(MATCH('Analysis backend'!$M$1,E3146:N3146,0)),"",'Analysis backend'!$L$1)</f>
        <v/>
      </c>
      <c r="U3146" t="str">
        <f>IF(T3146='Analysis backend'!$L$1,IF(ISERROR(MATCH('Analysis backend'!$M$1,E3146:I3146,0)),"Dire","Radiant"),"")</f>
        <v/>
      </c>
    </row>
    <row r="3147" spans="20:21" x14ac:dyDescent="0.3">
      <c r="T3147" t="str">
        <f>IF(ISERROR(MATCH('Analysis backend'!$M$1,E3147:N3147,0)),"",'Analysis backend'!$L$1)</f>
        <v/>
      </c>
      <c r="U3147" t="str">
        <f>IF(T3147='Analysis backend'!$L$1,IF(ISERROR(MATCH('Analysis backend'!$M$1,E3147:I3147,0)),"Dire","Radiant"),"")</f>
        <v/>
      </c>
    </row>
    <row r="3148" spans="20:21" x14ac:dyDescent="0.3">
      <c r="T3148" t="str">
        <f>IF(ISERROR(MATCH('Analysis backend'!$M$1,E3148:N3148,0)),"",'Analysis backend'!$L$1)</f>
        <v/>
      </c>
      <c r="U3148" t="str">
        <f>IF(T3148='Analysis backend'!$L$1,IF(ISERROR(MATCH('Analysis backend'!$M$1,E3148:I3148,0)),"Dire","Radiant"),"")</f>
        <v/>
      </c>
    </row>
    <row r="3149" spans="20:21" x14ac:dyDescent="0.3">
      <c r="T3149" t="str">
        <f>IF(ISERROR(MATCH('Analysis backend'!$M$1,E3149:N3149,0)),"",'Analysis backend'!$L$1)</f>
        <v/>
      </c>
      <c r="U3149" t="str">
        <f>IF(T3149='Analysis backend'!$L$1,IF(ISERROR(MATCH('Analysis backend'!$M$1,E3149:I3149,0)),"Dire","Radiant"),"")</f>
        <v/>
      </c>
    </row>
    <row r="3150" spans="20:21" x14ac:dyDescent="0.3">
      <c r="T3150" t="str">
        <f>IF(ISERROR(MATCH('Analysis backend'!$M$1,E3150:N3150,0)),"",'Analysis backend'!$L$1)</f>
        <v/>
      </c>
      <c r="U3150" t="str">
        <f>IF(T3150='Analysis backend'!$L$1,IF(ISERROR(MATCH('Analysis backend'!$M$1,E3150:I3150,0)),"Dire","Radiant"),"")</f>
        <v/>
      </c>
    </row>
    <row r="3151" spans="20:21" x14ac:dyDescent="0.3">
      <c r="T3151" t="str">
        <f>IF(ISERROR(MATCH('Analysis backend'!$M$1,E3151:N3151,0)),"",'Analysis backend'!$L$1)</f>
        <v/>
      </c>
      <c r="U3151" t="str">
        <f>IF(T3151='Analysis backend'!$L$1,IF(ISERROR(MATCH('Analysis backend'!$M$1,E3151:I3151,0)),"Dire","Radiant"),"")</f>
        <v/>
      </c>
    </row>
    <row r="3152" spans="20:21" x14ac:dyDescent="0.3">
      <c r="T3152" t="str">
        <f>IF(ISERROR(MATCH('Analysis backend'!$M$1,E3152:N3152,0)),"",'Analysis backend'!$L$1)</f>
        <v/>
      </c>
      <c r="U3152" t="str">
        <f>IF(T3152='Analysis backend'!$L$1,IF(ISERROR(MATCH('Analysis backend'!$M$1,E3152:I3152,0)),"Dire","Radiant"),"")</f>
        <v/>
      </c>
    </row>
    <row r="3153" spans="20:21" x14ac:dyDescent="0.3">
      <c r="T3153" t="str">
        <f>IF(ISERROR(MATCH('Analysis backend'!$M$1,E3153:N3153,0)),"",'Analysis backend'!$L$1)</f>
        <v/>
      </c>
      <c r="U3153" t="str">
        <f>IF(T3153='Analysis backend'!$L$1,IF(ISERROR(MATCH('Analysis backend'!$M$1,E3153:I3153,0)),"Dire","Radiant"),"")</f>
        <v/>
      </c>
    </row>
    <row r="3154" spans="20:21" x14ac:dyDescent="0.3">
      <c r="T3154" t="str">
        <f>IF(ISERROR(MATCH('Analysis backend'!$M$1,E3154:N3154,0)),"",'Analysis backend'!$L$1)</f>
        <v/>
      </c>
      <c r="U3154" t="str">
        <f>IF(T3154='Analysis backend'!$L$1,IF(ISERROR(MATCH('Analysis backend'!$M$1,E3154:I3154,0)),"Dire","Radiant"),"")</f>
        <v/>
      </c>
    </row>
    <row r="3155" spans="20:21" x14ac:dyDescent="0.3">
      <c r="T3155" t="str">
        <f>IF(ISERROR(MATCH('Analysis backend'!$M$1,E3155:N3155,0)),"",'Analysis backend'!$L$1)</f>
        <v/>
      </c>
      <c r="U3155" t="str">
        <f>IF(T3155='Analysis backend'!$L$1,IF(ISERROR(MATCH('Analysis backend'!$M$1,E3155:I3155,0)),"Dire","Radiant"),"")</f>
        <v/>
      </c>
    </row>
    <row r="3156" spans="20:21" x14ac:dyDescent="0.3">
      <c r="T3156" t="str">
        <f>IF(ISERROR(MATCH('Analysis backend'!$M$1,E3156:N3156,0)),"",'Analysis backend'!$L$1)</f>
        <v/>
      </c>
      <c r="U3156" t="str">
        <f>IF(T3156='Analysis backend'!$L$1,IF(ISERROR(MATCH('Analysis backend'!$M$1,E3156:I3156,0)),"Dire","Radiant"),"")</f>
        <v/>
      </c>
    </row>
    <row r="3157" spans="20:21" x14ac:dyDescent="0.3">
      <c r="T3157" t="str">
        <f>IF(ISERROR(MATCH('Analysis backend'!$M$1,E3157:N3157,0)),"",'Analysis backend'!$L$1)</f>
        <v/>
      </c>
      <c r="U3157" t="str">
        <f>IF(T3157='Analysis backend'!$L$1,IF(ISERROR(MATCH('Analysis backend'!$M$1,E3157:I3157,0)),"Dire","Radiant"),"")</f>
        <v/>
      </c>
    </row>
    <row r="3158" spans="20:21" x14ac:dyDescent="0.3">
      <c r="T3158" t="str">
        <f>IF(ISERROR(MATCH('Analysis backend'!$M$1,E3158:N3158,0)),"",'Analysis backend'!$L$1)</f>
        <v/>
      </c>
      <c r="U3158" t="str">
        <f>IF(T3158='Analysis backend'!$L$1,IF(ISERROR(MATCH('Analysis backend'!$M$1,E3158:I3158,0)),"Dire","Radiant"),"")</f>
        <v/>
      </c>
    </row>
    <row r="3159" spans="20:21" x14ac:dyDescent="0.3">
      <c r="T3159" t="str">
        <f>IF(ISERROR(MATCH('Analysis backend'!$M$1,E3159:N3159,0)),"",'Analysis backend'!$L$1)</f>
        <v/>
      </c>
      <c r="U3159" t="str">
        <f>IF(T3159='Analysis backend'!$L$1,IF(ISERROR(MATCH('Analysis backend'!$M$1,E3159:I3159,0)),"Dire","Radiant"),"")</f>
        <v/>
      </c>
    </row>
    <row r="3160" spans="20:21" x14ac:dyDescent="0.3">
      <c r="T3160" t="str">
        <f>IF(ISERROR(MATCH('Analysis backend'!$M$1,E3160:N3160,0)),"",'Analysis backend'!$L$1)</f>
        <v/>
      </c>
      <c r="U3160" t="str">
        <f>IF(T3160='Analysis backend'!$L$1,IF(ISERROR(MATCH('Analysis backend'!$M$1,E3160:I3160,0)),"Dire","Radiant"),"")</f>
        <v/>
      </c>
    </row>
    <row r="3161" spans="20:21" x14ac:dyDescent="0.3">
      <c r="T3161" t="str">
        <f>IF(ISERROR(MATCH('Analysis backend'!$M$1,E3161:N3161,0)),"",'Analysis backend'!$L$1)</f>
        <v/>
      </c>
      <c r="U3161" t="str">
        <f>IF(T3161='Analysis backend'!$L$1,IF(ISERROR(MATCH('Analysis backend'!$M$1,E3161:I3161,0)),"Dire","Radiant"),"")</f>
        <v/>
      </c>
    </row>
    <row r="3162" spans="20:21" x14ac:dyDescent="0.3">
      <c r="T3162" t="str">
        <f>IF(ISERROR(MATCH('Analysis backend'!$M$1,E3162:N3162,0)),"",'Analysis backend'!$L$1)</f>
        <v/>
      </c>
      <c r="U3162" t="str">
        <f>IF(T3162='Analysis backend'!$L$1,IF(ISERROR(MATCH('Analysis backend'!$M$1,E3162:I3162,0)),"Dire","Radiant"),"")</f>
        <v/>
      </c>
    </row>
    <row r="3163" spans="20:21" x14ac:dyDescent="0.3">
      <c r="T3163" t="str">
        <f>IF(ISERROR(MATCH('Analysis backend'!$M$1,E3163:N3163,0)),"",'Analysis backend'!$L$1)</f>
        <v/>
      </c>
      <c r="U3163" t="str">
        <f>IF(T3163='Analysis backend'!$L$1,IF(ISERROR(MATCH('Analysis backend'!$M$1,E3163:I3163,0)),"Dire","Radiant"),"")</f>
        <v/>
      </c>
    </row>
    <row r="3164" spans="20:21" x14ac:dyDescent="0.3">
      <c r="T3164" t="str">
        <f>IF(ISERROR(MATCH('Analysis backend'!$M$1,E3164:N3164,0)),"",'Analysis backend'!$L$1)</f>
        <v/>
      </c>
      <c r="U3164" t="str">
        <f>IF(T3164='Analysis backend'!$L$1,IF(ISERROR(MATCH('Analysis backend'!$M$1,E3164:I3164,0)),"Dire","Radiant"),"")</f>
        <v/>
      </c>
    </row>
    <row r="3165" spans="20:21" x14ac:dyDescent="0.3">
      <c r="T3165" t="str">
        <f>IF(ISERROR(MATCH('Analysis backend'!$M$1,E3165:N3165,0)),"",'Analysis backend'!$L$1)</f>
        <v/>
      </c>
      <c r="U3165" t="str">
        <f>IF(T3165='Analysis backend'!$L$1,IF(ISERROR(MATCH('Analysis backend'!$M$1,E3165:I3165,0)),"Dire","Radiant"),"")</f>
        <v/>
      </c>
    </row>
    <row r="3166" spans="20:21" x14ac:dyDescent="0.3">
      <c r="T3166" t="str">
        <f>IF(ISERROR(MATCH('Analysis backend'!$M$1,E3166:N3166,0)),"",'Analysis backend'!$L$1)</f>
        <v/>
      </c>
      <c r="U3166" t="str">
        <f>IF(T3166='Analysis backend'!$L$1,IF(ISERROR(MATCH('Analysis backend'!$M$1,E3166:I3166,0)),"Dire","Radiant"),"")</f>
        <v/>
      </c>
    </row>
    <row r="3167" spans="20:21" x14ac:dyDescent="0.3">
      <c r="T3167" t="str">
        <f>IF(ISERROR(MATCH('Analysis backend'!$M$1,E3167:N3167,0)),"",'Analysis backend'!$L$1)</f>
        <v/>
      </c>
      <c r="U3167" t="str">
        <f>IF(T3167='Analysis backend'!$L$1,IF(ISERROR(MATCH('Analysis backend'!$M$1,E3167:I3167,0)),"Dire","Radiant"),"")</f>
        <v/>
      </c>
    </row>
    <row r="3168" spans="20:21" x14ac:dyDescent="0.3">
      <c r="T3168" t="str">
        <f>IF(ISERROR(MATCH('Analysis backend'!$M$1,E3168:N3168,0)),"",'Analysis backend'!$L$1)</f>
        <v/>
      </c>
      <c r="U3168" t="str">
        <f>IF(T3168='Analysis backend'!$L$1,IF(ISERROR(MATCH('Analysis backend'!$M$1,E3168:I3168,0)),"Dire","Radiant"),"")</f>
        <v/>
      </c>
    </row>
    <row r="3169" spans="20:21" x14ac:dyDescent="0.3">
      <c r="T3169" t="str">
        <f>IF(ISERROR(MATCH('Analysis backend'!$M$1,E3169:N3169,0)),"",'Analysis backend'!$L$1)</f>
        <v/>
      </c>
      <c r="U3169" t="str">
        <f>IF(T3169='Analysis backend'!$L$1,IF(ISERROR(MATCH('Analysis backend'!$M$1,E3169:I3169,0)),"Dire","Radiant"),"")</f>
        <v/>
      </c>
    </row>
    <row r="3170" spans="20:21" x14ac:dyDescent="0.3">
      <c r="T3170" t="str">
        <f>IF(ISERROR(MATCH('Analysis backend'!$M$1,E3170:N3170,0)),"",'Analysis backend'!$L$1)</f>
        <v/>
      </c>
      <c r="U3170" t="str">
        <f>IF(T3170='Analysis backend'!$L$1,IF(ISERROR(MATCH('Analysis backend'!$M$1,E3170:I3170,0)),"Dire","Radiant"),"")</f>
        <v/>
      </c>
    </row>
    <row r="3171" spans="20:21" x14ac:dyDescent="0.3">
      <c r="T3171" t="str">
        <f>IF(ISERROR(MATCH('Analysis backend'!$M$1,E3171:N3171,0)),"",'Analysis backend'!$L$1)</f>
        <v/>
      </c>
      <c r="U3171" t="str">
        <f>IF(T3171='Analysis backend'!$L$1,IF(ISERROR(MATCH('Analysis backend'!$M$1,E3171:I3171,0)),"Dire","Radiant"),"")</f>
        <v/>
      </c>
    </row>
    <row r="3172" spans="20:21" x14ac:dyDescent="0.3">
      <c r="T3172" t="str">
        <f>IF(ISERROR(MATCH('Analysis backend'!$M$1,E3172:N3172,0)),"",'Analysis backend'!$L$1)</f>
        <v/>
      </c>
      <c r="U3172" t="str">
        <f>IF(T3172='Analysis backend'!$L$1,IF(ISERROR(MATCH('Analysis backend'!$M$1,E3172:I3172,0)),"Dire","Radiant"),"")</f>
        <v/>
      </c>
    </row>
    <row r="3173" spans="20:21" x14ac:dyDescent="0.3">
      <c r="T3173" t="str">
        <f>IF(ISERROR(MATCH('Analysis backend'!$M$1,E3173:N3173,0)),"",'Analysis backend'!$L$1)</f>
        <v/>
      </c>
      <c r="U3173" t="str">
        <f>IF(T3173='Analysis backend'!$L$1,IF(ISERROR(MATCH('Analysis backend'!$M$1,E3173:I3173,0)),"Dire","Radiant"),"")</f>
        <v/>
      </c>
    </row>
    <row r="3174" spans="20:21" x14ac:dyDescent="0.3">
      <c r="T3174" t="str">
        <f>IF(ISERROR(MATCH('Analysis backend'!$M$1,E3174:N3174,0)),"",'Analysis backend'!$L$1)</f>
        <v/>
      </c>
      <c r="U3174" t="str">
        <f>IF(T3174='Analysis backend'!$L$1,IF(ISERROR(MATCH('Analysis backend'!$M$1,E3174:I3174,0)),"Dire","Radiant"),"")</f>
        <v/>
      </c>
    </row>
    <row r="3175" spans="20:21" x14ac:dyDescent="0.3">
      <c r="T3175" t="str">
        <f>IF(ISERROR(MATCH('Analysis backend'!$M$1,E3175:N3175,0)),"",'Analysis backend'!$L$1)</f>
        <v/>
      </c>
      <c r="U3175" t="str">
        <f>IF(T3175='Analysis backend'!$L$1,IF(ISERROR(MATCH('Analysis backend'!$M$1,E3175:I3175,0)),"Dire","Radiant"),"")</f>
        <v/>
      </c>
    </row>
    <row r="3176" spans="20:21" x14ac:dyDescent="0.3">
      <c r="T3176" t="str">
        <f>IF(ISERROR(MATCH('Analysis backend'!$M$1,E3176:N3176,0)),"",'Analysis backend'!$L$1)</f>
        <v/>
      </c>
      <c r="U3176" t="str">
        <f>IF(T3176='Analysis backend'!$L$1,IF(ISERROR(MATCH('Analysis backend'!$M$1,E3176:I3176,0)),"Dire","Radiant"),"")</f>
        <v/>
      </c>
    </row>
    <row r="3177" spans="20:21" x14ac:dyDescent="0.3">
      <c r="T3177" t="str">
        <f>IF(ISERROR(MATCH('Analysis backend'!$M$1,E3177:N3177,0)),"",'Analysis backend'!$L$1)</f>
        <v/>
      </c>
      <c r="U3177" t="str">
        <f>IF(T3177='Analysis backend'!$L$1,IF(ISERROR(MATCH('Analysis backend'!$M$1,E3177:I3177,0)),"Dire","Radiant"),"")</f>
        <v/>
      </c>
    </row>
    <row r="3178" spans="20:21" x14ac:dyDescent="0.3">
      <c r="T3178" t="str">
        <f>IF(ISERROR(MATCH('Analysis backend'!$M$1,E3178:N3178,0)),"",'Analysis backend'!$L$1)</f>
        <v/>
      </c>
      <c r="U3178" t="str">
        <f>IF(T3178='Analysis backend'!$L$1,IF(ISERROR(MATCH('Analysis backend'!$M$1,E3178:I3178,0)),"Dire","Radiant"),"")</f>
        <v/>
      </c>
    </row>
    <row r="3179" spans="20:21" x14ac:dyDescent="0.3">
      <c r="T3179" t="str">
        <f>IF(ISERROR(MATCH('Analysis backend'!$M$1,E3179:N3179,0)),"",'Analysis backend'!$L$1)</f>
        <v/>
      </c>
      <c r="U3179" t="str">
        <f>IF(T3179='Analysis backend'!$L$1,IF(ISERROR(MATCH('Analysis backend'!$M$1,E3179:I3179,0)),"Dire","Radiant"),"")</f>
        <v/>
      </c>
    </row>
    <row r="3180" spans="20:21" x14ac:dyDescent="0.3">
      <c r="T3180" t="str">
        <f>IF(ISERROR(MATCH('Analysis backend'!$M$1,E3180:N3180,0)),"",'Analysis backend'!$L$1)</f>
        <v/>
      </c>
      <c r="U3180" t="str">
        <f>IF(T3180='Analysis backend'!$L$1,IF(ISERROR(MATCH('Analysis backend'!$M$1,E3180:I3180,0)),"Dire","Radiant"),"")</f>
        <v/>
      </c>
    </row>
    <row r="3181" spans="20:21" x14ac:dyDescent="0.3">
      <c r="T3181" t="str">
        <f>IF(ISERROR(MATCH('Analysis backend'!$M$1,E3181:N3181,0)),"",'Analysis backend'!$L$1)</f>
        <v/>
      </c>
      <c r="U3181" t="str">
        <f>IF(T3181='Analysis backend'!$L$1,IF(ISERROR(MATCH('Analysis backend'!$M$1,E3181:I3181,0)),"Dire","Radiant"),"")</f>
        <v/>
      </c>
    </row>
    <row r="3182" spans="20:21" x14ac:dyDescent="0.3">
      <c r="T3182" t="str">
        <f>IF(ISERROR(MATCH('Analysis backend'!$M$1,E3182:N3182,0)),"",'Analysis backend'!$L$1)</f>
        <v/>
      </c>
      <c r="U3182" t="str">
        <f>IF(T3182='Analysis backend'!$L$1,IF(ISERROR(MATCH('Analysis backend'!$M$1,E3182:I3182,0)),"Dire","Radiant"),"")</f>
        <v/>
      </c>
    </row>
    <row r="3183" spans="20:21" x14ac:dyDescent="0.3">
      <c r="T3183" t="str">
        <f>IF(ISERROR(MATCH('Analysis backend'!$M$1,E3183:N3183,0)),"",'Analysis backend'!$L$1)</f>
        <v/>
      </c>
      <c r="U3183" t="str">
        <f>IF(T3183='Analysis backend'!$L$1,IF(ISERROR(MATCH('Analysis backend'!$M$1,E3183:I3183,0)),"Dire","Radiant"),"")</f>
        <v/>
      </c>
    </row>
    <row r="3184" spans="20:21" x14ac:dyDescent="0.3">
      <c r="T3184" t="str">
        <f>IF(ISERROR(MATCH('Analysis backend'!$M$1,E3184:N3184,0)),"",'Analysis backend'!$L$1)</f>
        <v/>
      </c>
      <c r="U3184" t="str">
        <f>IF(T3184='Analysis backend'!$L$1,IF(ISERROR(MATCH('Analysis backend'!$M$1,E3184:I3184,0)),"Dire","Radiant"),"")</f>
        <v/>
      </c>
    </row>
    <row r="3185" spans="20:21" x14ac:dyDescent="0.3">
      <c r="T3185" t="str">
        <f>IF(ISERROR(MATCH('Analysis backend'!$M$1,E3185:N3185,0)),"",'Analysis backend'!$L$1)</f>
        <v/>
      </c>
      <c r="U3185" t="str">
        <f>IF(T3185='Analysis backend'!$L$1,IF(ISERROR(MATCH('Analysis backend'!$M$1,E3185:I3185,0)),"Dire","Radiant"),"")</f>
        <v/>
      </c>
    </row>
    <row r="3186" spans="20:21" x14ac:dyDescent="0.3">
      <c r="T3186" t="str">
        <f>IF(ISERROR(MATCH('Analysis backend'!$M$1,E3186:N3186,0)),"",'Analysis backend'!$L$1)</f>
        <v/>
      </c>
      <c r="U3186" t="str">
        <f>IF(T3186='Analysis backend'!$L$1,IF(ISERROR(MATCH('Analysis backend'!$M$1,E3186:I3186,0)),"Dire","Radiant"),"")</f>
        <v/>
      </c>
    </row>
    <row r="3187" spans="20:21" x14ac:dyDescent="0.3">
      <c r="T3187" t="str">
        <f>IF(ISERROR(MATCH('Analysis backend'!$M$1,E3187:N3187,0)),"",'Analysis backend'!$L$1)</f>
        <v/>
      </c>
      <c r="U3187" t="str">
        <f>IF(T3187='Analysis backend'!$L$1,IF(ISERROR(MATCH('Analysis backend'!$M$1,E3187:I3187,0)),"Dire","Radiant"),"")</f>
        <v/>
      </c>
    </row>
    <row r="3188" spans="20:21" x14ac:dyDescent="0.3">
      <c r="T3188" t="str">
        <f>IF(ISERROR(MATCH('Analysis backend'!$M$1,E3188:N3188,0)),"",'Analysis backend'!$L$1)</f>
        <v/>
      </c>
      <c r="U3188" t="str">
        <f>IF(T3188='Analysis backend'!$L$1,IF(ISERROR(MATCH('Analysis backend'!$M$1,E3188:I3188,0)),"Dire","Radiant"),"")</f>
        <v/>
      </c>
    </row>
    <row r="3189" spans="20:21" x14ac:dyDescent="0.3">
      <c r="T3189" t="str">
        <f>IF(ISERROR(MATCH('Analysis backend'!$M$1,E3189:N3189,0)),"",'Analysis backend'!$L$1)</f>
        <v/>
      </c>
      <c r="U3189" t="str">
        <f>IF(T3189='Analysis backend'!$L$1,IF(ISERROR(MATCH('Analysis backend'!$M$1,E3189:I3189,0)),"Dire","Radiant"),"")</f>
        <v/>
      </c>
    </row>
    <row r="3190" spans="20:21" x14ac:dyDescent="0.3">
      <c r="T3190" t="str">
        <f>IF(ISERROR(MATCH('Analysis backend'!$M$1,E3190:N3190,0)),"",'Analysis backend'!$L$1)</f>
        <v/>
      </c>
      <c r="U3190" t="str">
        <f>IF(T3190='Analysis backend'!$L$1,IF(ISERROR(MATCH('Analysis backend'!$M$1,E3190:I3190,0)),"Dire","Radiant"),"")</f>
        <v/>
      </c>
    </row>
    <row r="3191" spans="20:21" x14ac:dyDescent="0.3">
      <c r="T3191" t="str">
        <f>IF(ISERROR(MATCH('Analysis backend'!$M$1,E3191:N3191,0)),"",'Analysis backend'!$L$1)</f>
        <v/>
      </c>
      <c r="U3191" t="str">
        <f>IF(T3191='Analysis backend'!$L$1,IF(ISERROR(MATCH('Analysis backend'!$M$1,E3191:I3191,0)),"Dire","Radiant"),"")</f>
        <v/>
      </c>
    </row>
    <row r="3192" spans="20:21" x14ac:dyDescent="0.3">
      <c r="T3192" t="str">
        <f>IF(ISERROR(MATCH('Analysis backend'!$M$1,E3192:N3192,0)),"",'Analysis backend'!$L$1)</f>
        <v/>
      </c>
      <c r="U3192" t="str">
        <f>IF(T3192='Analysis backend'!$L$1,IF(ISERROR(MATCH('Analysis backend'!$M$1,E3192:I3192,0)),"Dire","Radiant"),"")</f>
        <v/>
      </c>
    </row>
    <row r="3193" spans="20:21" x14ac:dyDescent="0.3">
      <c r="T3193" t="str">
        <f>IF(ISERROR(MATCH('Analysis backend'!$M$1,E3193:N3193,0)),"",'Analysis backend'!$L$1)</f>
        <v/>
      </c>
      <c r="U3193" t="str">
        <f>IF(T3193='Analysis backend'!$L$1,IF(ISERROR(MATCH('Analysis backend'!$M$1,E3193:I3193,0)),"Dire","Radiant"),"")</f>
        <v/>
      </c>
    </row>
    <row r="3194" spans="20:21" x14ac:dyDescent="0.3">
      <c r="T3194" t="str">
        <f>IF(ISERROR(MATCH('Analysis backend'!$M$1,E3194:N3194,0)),"",'Analysis backend'!$L$1)</f>
        <v/>
      </c>
      <c r="U3194" t="str">
        <f>IF(T3194='Analysis backend'!$L$1,IF(ISERROR(MATCH('Analysis backend'!$M$1,E3194:I3194,0)),"Dire","Radiant"),"")</f>
        <v/>
      </c>
    </row>
    <row r="3195" spans="20:21" x14ac:dyDescent="0.3">
      <c r="T3195" t="str">
        <f>IF(ISERROR(MATCH('Analysis backend'!$M$1,E3195:N3195,0)),"",'Analysis backend'!$L$1)</f>
        <v/>
      </c>
      <c r="U3195" t="str">
        <f>IF(T3195='Analysis backend'!$L$1,IF(ISERROR(MATCH('Analysis backend'!$M$1,E3195:I3195,0)),"Dire","Radiant"),"")</f>
        <v/>
      </c>
    </row>
    <row r="3196" spans="20:21" x14ac:dyDescent="0.3">
      <c r="T3196" t="str">
        <f>IF(ISERROR(MATCH('Analysis backend'!$M$1,E3196:N3196,0)),"",'Analysis backend'!$L$1)</f>
        <v/>
      </c>
      <c r="U3196" t="str">
        <f>IF(T3196='Analysis backend'!$L$1,IF(ISERROR(MATCH('Analysis backend'!$M$1,E3196:I3196,0)),"Dire","Radiant"),"")</f>
        <v/>
      </c>
    </row>
    <row r="3197" spans="20:21" x14ac:dyDescent="0.3">
      <c r="T3197" t="str">
        <f>IF(ISERROR(MATCH('Analysis backend'!$M$1,E3197:N3197,0)),"",'Analysis backend'!$L$1)</f>
        <v/>
      </c>
      <c r="U3197" t="str">
        <f>IF(T3197='Analysis backend'!$L$1,IF(ISERROR(MATCH('Analysis backend'!$M$1,E3197:I3197,0)),"Dire","Radiant"),"")</f>
        <v/>
      </c>
    </row>
    <row r="3198" spans="20:21" x14ac:dyDescent="0.3">
      <c r="T3198" t="str">
        <f>IF(ISERROR(MATCH('Analysis backend'!$M$1,E3198:N3198,0)),"",'Analysis backend'!$L$1)</f>
        <v/>
      </c>
      <c r="U3198" t="str">
        <f>IF(T3198='Analysis backend'!$L$1,IF(ISERROR(MATCH('Analysis backend'!$M$1,E3198:I3198,0)),"Dire","Radiant"),"")</f>
        <v/>
      </c>
    </row>
    <row r="3199" spans="20:21" x14ac:dyDescent="0.3">
      <c r="T3199" t="str">
        <f>IF(ISERROR(MATCH('Analysis backend'!$M$1,E3199:N3199,0)),"",'Analysis backend'!$L$1)</f>
        <v/>
      </c>
      <c r="U3199" t="str">
        <f>IF(T3199='Analysis backend'!$L$1,IF(ISERROR(MATCH('Analysis backend'!$M$1,E3199:I3199,0)),"Dire","Radiant"),"")</f>
        <v/>
      </c>
    </row>
    <row r="3200" spans="20:21" x14ac:dyDescent="0.3">
      <c r="T3200" t="str">
        <f>IF(ISERROR(MATCH('Analysis backend'!$M$1,E3200:N3200,0)),"",'Analysis backend'!$L$1)</f>
        <v/>
      </c>
      <c r="U3200" t="str">
        <f>IF(T3200='Analysis backend'!$L$1,IF(ISERROR(MATCH('Analysis backend'!$M$1,E3200:I3200,0)),"Dire","Radiant"),"")</f>
        <v/>
      </c>
    </row>
    <row r="3201" spans="20:21" x14ac:dyDescent="0.3">
      <c r="T3201" t="str">
        <f>IF(ISERROR(MATCH('Analysis backend'!$M$1,E3201:N3201,0)),"",'Analysis backend'!$L$1)</f>
        <v/>
      </c>
      <c r="U3201" t="str">
        <f>IF(T3201='Analysis backend'!$L$1,IF(ISERROR(MATCH('Analysis backend'!$M$1,E3201:I3201,0)),"Dire","Radiant"),"")</f>
        <v/>
      </c>
    </row>
    <row r="3202" spans="20:21" x14ac:dyDescent="0.3">
      <c r="T3202" t="str">
        <f>IF(ISERROR(MATCH('Analysis backend'!$M$1,E3202:N3202,0)),"",'Analysis backend'!$L$1)</f>
        <v/>
      </c>
      <c r="U3202" t="str">
        <f>IF(T3202='Analysis backend'!$L$1,IF(ISERROR(MATCH('Analysis backend'!$M$1,E3202:I3202,0)),"Dire","Radiant"),"")</f>
        <v/>
      </c>
    </row>
    <row r="3203" spans="20:21" x14ac:dyDescent="0.3">
      <c r="T3203" t="str">
        <f>IF(ISERROR(MATCH('Analysis backend'!$M$1,E3203:N3203,0)),"",'Analysis backend'!$L$1)</f>
        <v/>
      </c>
      <c r="U3203" t="str">
        <f>IF(T3203='Analysis backend'!$L$1,IF(ISERROR(MATCH('Analysis backend'!$M$1,E3203:I3203,0)),"Dire","Radiant"),"")</f>
        <v/>
      </c>
    </row>
    <row r="3204" spans="20:21" x14ac:dyDescent="0.3">
      <c r="T3204" t="str">
        <f>IF(ISERROR(MATCH('Analysis backend'!$M$1,E3204:N3204,0)),"",'Analysis backend'!$L$1)</f>
        <v/>
      </c>
      <c r="U3204" t="str">
        <f>IF(T3204='Analysis backend'!$L$1,IF(ISERROR(MATCH('Analysis backend'!$M$1,E3204:I3204,0)),"Dire","Radiant"),"")</f>
        <v/>
      </c>
    </row>
    <row r="3205" spans="20:21" x14ac:dyDescent="0.3">
      <c r="T3205" t="str">
        <f>IF(ISERROR(MATCH('Analysis backend'!$M$1,E3205:N3205,0)),"",'Analysis backend'!$L$1)</f>
        <v/>
      </c>
      <c r="U3205" t="str">
        <f>IF(T3205='Analysis backend'!$L$1,IF(ISERROR(MATCH('Analysis backend'!$M$1,E3205:I3205,0)),"Dire","Radiant"),"")</f>
        <v/>
      </c>
    </row>
    <row r="3206" spans="20:21" x14ac:dyDescent="0.3">
      <c r="T3206" t="str">
        <f>IF(ISERROR(MATCH('Analysis backend'!$M$1,E3206:N3206,0)),"",'Analysis backend'!$L$1)</f>
        <v/>
      </c>
      <c r="U3206" t="str">
        <f>IF(T3206='Analysis backend'!$L$1,IF(ISERROR(MATCH('Analysis backend'!$M$1,E3206:I3206,0)),"Dire","Radiant"),"")</f>
        <v/>
      </c>
    </row>
    <row r="3207" spans="20:21" x14ac:dyDescent="0.3">
      <c r="T3207" t="str">
        <f>IF(ISERROR(MATCH('Analysis backend'!$M$1,E3207:N3207,0)),"",'Analysis backend'!$L$1)</f>
        <v/>
      </c>
      <c r="U3207" t="str">
        <f>IF(T3207='Analysis backend'!$L$1,IF(ISERROR(MATCH('Analysis backend'!$M$1,E3207:I3207,0)),"Dire","Radiant"),"")</f>
        <v/>
      </c>
    </row>
    <row r="3208" spans="20:21" x14ac:dyDescent="0.3">
      <c r="T3208" t="str">
        <f>IF(ISERROR(MATCH('Analysis backend'!$M$1,E3208:N3208,0)),"",'Analysis backend'!$L$1)</f>
        <v/>
      </c>
      <c r="U3208" t="str">
        <f>IF(T3208='Analysis backend'!$L$1,IF(ISERROR(MATCH('Analysis backend'!$M$1,E3208:I3208,0)),"Dire","Radiant"),"")</f>
        <v/>
      </c>
    </row>
    <row r="3209" spans="20:21" x14ac:dyDescent="0.3">
      <c r="T3209" t="str">
        <f>IF(ISERROR(MATCH('Analysis backend'!$M$1,E3209:N3209,0)),"",'Analysis backend'!$L$1)</f>
        <v/>
      </c>
      <c r="U3209" t="str">
        <f>IF(T3209='Analysis backend'!$L$1,IF(ISERROR(MATCH('Analysis backend'!$M$1,E3209:I3209,0)),"Dire","Radiant"),"")</f>
        <v/>
      </c>
    </row>
    <row r="3210" spans="20:21" x14ac:dyDescent="0.3">
      <c r="T3210" t="str">
        <f>IF(ISERROR(MATCH('Analysis backend'!$M$1,E3210:N3210,0)),"",'Analysis backend'!$L$1)</f>
        <v/>
      </c>
      <c r="U3210" t="str">
        <f>IF(T3210='Analysis backend'!$L$1,IF(ISERROR(MATCH('Analysis backend'!$M$1,E3210:I3210,0)),"Dire","Radiant"),"")</f>
        <v/>
      </c>
    </row>
    <row r="3211" spans="20:21" x14ac:dyDescent="0.3">
      <c r="T3211" t="str">
        <f>IF(ISERROR(MATCH('Analysis backend'!$M$1,E3211:N3211,0)),"",'Analysis backend'!$L$1)</f>
        <v/>
      </c>
      <c r="U3211" t="str">
        <f>IF(T3211='Analysis backend'!$L$1,IF(ISERROR(MATCH('Analysis backend'!$M$1,E3211:I3211,0)),"Dire","Radiant"),"")</f>
        <v/>
      </c>
    </row>
    <row r="3212" spans="20:21" x14ac:dyDescent="0.3">
      <c r="T3212" t="str">
        <f>IF(ISERROR(MATCH('Analysis backend'!$M$1,E3212:N3212,0)),"",'Analysis backend'!$L$1)</f>
        <v/>
      </c>
      <c r="U3212" t="str">
        <f>IF(T3212='Analysis backend'!$L$1,IF(ISERROR(MATCH('Analysis backend'!$M$1,E3212:I3212,0)),"Dire","Radiant"),"")</f>
        <v/>
      </c>
    </row>
    <row r="3213" spans="20:21" x14ac:dyDescent="0.3">
      <c r="T3213" t="str">
        <f>IF(ISERROR(MATCH('Analysis backend'!$M$1,E3213:N3213,0)),"",'Analysis backend'!$L$1)</f>
        <v/>
      </c>
      <c r="U3213" t="str">
        <f>IF(T3213='Analysis backend'!$L$1,IF(ISERROR(MATCH('Analysis backend'!$M$1,E3213:I3213,0)),"Dire","Radiant"),"")</f>
        <v/>
      </c>
    </row>
    <row r="3214" spans="20:21" x14ac:dyDescent="0.3">
      <c r="T3214" t="str">
        <f>IF(ISERROR(MATCH('Analysis backend'!$M$1,E3214:N3214,0)),"",'Analysis backend'!$L$1)</f>
        <v/>
      </c>
      <c r="U3214" t="str">
        <f>IF(T3214='Analysis backend'!$L$1,IF(ISERROR(MATCH('Analysis backend'!$M$1,E3214:I3214,0)),"Dire","Radiant"),"")</f>
        <v/>
      </c>
    </row>
    <row r="3215" spans="20:21" x14ac:dyDescent="0.3">
      <c r="T3215" t="str">
        <f>IF(ISERROR(MATCH('Analysis backend'!$M$1,E3215:N3215,0)),"",'Analysis backend'!$L$1)</f>
        <v/>
      </c>
      <c r="U3215" t="str">
        <f>IF(T3215='Analysis backend'!$L$1,IF(ISERROR(MATCH('Analysis backend'!$M$1,E3215:I3215,0)),"Dire","Radiant"),"")</f>
        <v/>
      </c>
    </row>
    <row r="3216" spans="20:21" x14ac:dyDescent="0.3">
      <c r="T3216" t="str">
        <f>IF(ISERROR(MATCH('Analysis backend'!$M$1,E3216:N3216,0)),"",'Analysis backend'!$L$1)</f>
        <v/>
      </c>
      <c r="U3216" t="str">
        <f>IF(T3216='Analysis backend'!$L$1,IF(ISERROR(MATCH('Analysis backend'!$M$1,E3216:I3216,0)),"Dire","Radiant"),"")</f>
        <v/>
      </c>
    </row>
    <row r="3217" spans="20:21" x14ac:dyDescent="0.3">
      <c r="T3217" t="str">
        <f>IF(ISERROR(MATCH('Analysis backend'!$M$1,E3217:N3217,0)),"",'Analysis backend'!$L$1)</f>
        <v/>
      </c>
      <c r="U3217" t="str">
        <f>IF(T3217='Analysis backend'!$L$1,IF(ISERROR(MATCH('Analysis backend'!$M$1,E3217:I3217,0)),"Dire","Radiant"),"")</f>
        <v/>
      </c>
    </row>
    <row r="3218" spans="20:21" x14ac:dyDescent="0.3">
      <c r="T3218" t="str">
        <f>IF(ISERROR(MATCH('Analysis backend'!$M$1,E3218:N3218,0)),"",'Analysis backend'!$L$1)</f>
        <v/>
      </c>
      <c r="U3218" t="str">
        <f>IF(T3218='Analysis backend'!$L$1,IF(ISERROR(MATCH('Analysis backend'!$M$1,E3218:I3218,0)),"Dire","Radiant"),"")</f>
        <v/>
      </c>
    </row>
    <row r="3219" spans="20:21" x14ac:dyDescent="0.3">
      <c r="T3219" t="str">
        <f>IF(ISERROR(MATCH('Analysis backend'!$M$1,E3219:N3219,0)),"",'Analysis backend'!$L$1)</f>
        <v/>
      </c>
      <c r="U3219" t="str">
        <f>IF(T3219='Analysis backend'!$L$1,IF(ISERROR(MATCH('Analysis backend'!$M$1,E3219:I3219,0)),"Dire","Radiant"),"")</f>
        <v/>
      </c>
    </row>
    <row r="3220" spans="20:21" x14ac:dyDescent="0.3">
      <c r="T3220" t="str">
        <f>IF(ISERROR(MATCH('Analysis backend'!$M$1,E3220:N3220,0)),"",'Analysis backend'!$L$1)</f>
        <v/>
      </c>
      <c r="U3220" t="str">
        <f>IF(T3220='Analysis backend'!$L$1,IF(ISERROR(MATCH('Analysis backend'!$M$1,E3220:I3220,0)),"Dire","Radiant"),"")</f>
        <v/>
      </c>
    </row>
    <row r="3221" spans="20:21" x14ac:dyDescent="0.3">
      <c r="T3221" t="str">
        <f>IF(ISERROR(MATCH('Analysis backend'!$M$1,E3221:N3221,0)),"",'Analysis backend'!$L$1)</f>
        <v/>
      </c>
      <c r="U3221" t="str">
        <f>IF(T3221='Analysis backend'!$L$1,IF(ISERROR(MATCH('Analysis backend'!$M$1,E3221:I3221,0)),"Dire","Radiant"),"")</f>
        <v/>
      </c>
    </row>
    <row r="3222" spans="20:21" x14ac:dyDescent="0.3">
      <c r="T3222" t="str">
        <f>IF(ISERROR(MATCH('Analysis backend'!$M$1,E3222:N3222,0)),"",'Analysis backend'!$L$1)</f>
        <v/>
      </c>
      <c r="U3222" t="str">
        <f>IF(T3222='Analysis backend'!$L$1,IF(ISERROR(MATCH('Analysis backend'!$M$1,E3222:I3222,0)),"Dire","Radiant"),"")</f>
        <v/>
      </c>
    </row>
    <row r="3223" spans="20:21" x14ac:dyDescent="0.3">
      <c r="T3223" t="str">
        <f>IF(ISERROR(MATCH('Analysis backend'!$M$1,E3223:N3223,0)),"",'Analysis backend'!$L$1)</f>
        <v/>
      </c>
      <c r="U3223" t="str">
        <f>IF(T3223='Analysis backend'!$L$1,IF(ISERROR(MATCH('Analysis backend'!$M$1,E3223:I3223,0)),"Dire","Radiant"),"")</f>
        <v/>
      </c>
    </row>
    <row r="3224" spans="20:21" x14ac:dyDescent="0.3">
      <c r="T3224" t="str">
        <f>IF(ISERROR(MATCH('Analysis backend'!$M$1,E3224:N3224,0)),"",'Analysis backend'!$L$1)</f>
        <v/>
      </c>
      <c r="U3224" t="str">
        <f>IF(T3224='Analysis backend'!$L$1,IF(ISERROR(MATCH('Analysis backend'!$M$1,E3224:I3224,0)),"Dire","Radiant"),"")</f>
        <v/>
      </c>
    </row>
    <row r="3225" spans="20:21" x14ac:dyDescent="0.3">
      <c r="T3225" t="str">
        <f>IF(ISERROR(MATCH('Analysis backend'!$M$1,E3225:N3225,0)),"",'Analysis backend'!$L$1)</f>
        <v/>
      </c>
      <c r="U3225" t="str">
        <f>IF(T3225='Analysis backend'!$L$1,IF(ISERROR(MATCH('Analysis backend'!$M$1,E3225:I3225,0)),"Dire","Radiant"),"")</f>
        <v/>
      </c>
    </row>
    <row r="3226" spans="20:21" x14ac:dyDescent="0.3">
      <c r="T3226" t="str">
        <f>IF(ISERROR(MATCH('Analysis backend'!$M$1,E3226:N3226,0)),"",'Analysis backend'!$L$1)</f>
        <v/>
      </c>
      <c r="U3226" t="str">
        <f>IF(T3226='Analysis backend'!$L$1,IF(ISERROR(MATCH('Analysis backend'!$M$1,E3226:I3226,0)),"Dire","Radiant"),"")</f>
        <v/>
      </c>
    </row>
    <row r="3227" spans="20:21" x14ac:dyDescent="0.3">
      <c r="T3227" t="str">
        <f>IF(ISERROR(MATCH('Analysis backend'!$M$1,E3227:N3227,0)),"",'Analysis backend'!$L$1)</f>
        <v/>
      </c>
      <c r="U3227" t="str">
        <f>IF(T3227='Analysis backend'!$L$1,IF(ISERROR(MATCH('Analysis backend'!$M$1,E3227:I3227,0)),"Dire","Radiant"),"")</f>
        <v/>
      </c>
    </row>
    <row r="3228" spans="20:21" x14ac:dyDescent="0.3">
      <c r="T3228" t="str">
        <f>IF(ISERROR(MATCH('Analysis backend'!$M$1,E3228:N3228,0)),"",'Analysis backend'!$L$1)</f>
        <v/>
      </c>
      <c r="U3228" t="str">
        <f>IF(T3228='Analysis backend'!$L$1,IF(ISERROR(MATCH('Analysis backend'!$M$1,E3228:I3228,0)),"Dire","Radiant"),"")</f>
        <v/>
      </c>
    </row>
    <row r="3229" spans="20:21" x14ac:dyDescent="0.3">
      <c r="T3229" t="str">
        <f>IF(ISERROR(MATCH('Analysis backend'!$M$1,E3229:N3229,0)),"",'Analysis backend'!$L$1)</f>
        <v/>
      </c>
      <c r="U3229" t="str">
        <f>IF(T3229='Analysis backend'!$L$1,IF(ISERROR(MATCH('Analysis backend'!$M$1,E3229:I3229,0)),"Dire","Radiant"),"")</f>
        <v/>
      </c>
    </row>
    <row r="3230" spans="20:21" x14ac:dyDescent="0.3">
      <c r="T3230" t="str">
        <f>IF(ISERROR(MATCH('Analysis backend'!$M$1,E3230:N3230,0)),"",'Analysis backend'!$L$1)</f>
        <v/>
      </c>
      <c r="U3230" t="str">
        <f>IF(T3230='Analysis backend'!$L$1,IF(ISERROR(MATCH('Analysis backend'!$M$1,E3230:I3230,0)),"Dire","Radiant"),"")</f>
        <v/>
      </c>
    </row>
    <row r="3231" spans="20:21" x14ac:dyDescent="0.3">
      <c r="T3231" t="str">
        <f>IF(ISERROR(MATCH('Analysis backend'!$M$1,E3231:N3231,0)),"",'Analysis backend'!$L$1)</f>
        <v/>
      </c>
      <c r="U3231" t="str">
        <f>IF(T3231='Analysis backend'!$L$1,IF(ISERROR(MATCH('Analysis backend'!$M$1,E3231:I3231,0)),"Dire","Radiant"),"")</f>
        <v/>
      </c>
    </row>
    <row r="3232" spans="20:21" x14ac:dyDescent="0.3">
      <c r="T3232" t="str">
        <f>IF(ISERROR(MATCH('Analysis backend'!$M$1,E3232:N3232,0)),"",'Analysis backend'!$L$1)</f>
        <v/>
      </c>
      <c r="U3232" t="str">
        <f>IF(T3232='Analysis backend'!$L$1,IF(ISERROR(MATCH('Analysis backend'!$M$1,E3232:I3232,0)),"Dire","Radiant"),"")</f>
        <v/>
      </c>
    </row>
    <row r="3233" spans="20:21" x14ac:dyDescent="0.3">
      <c r="T3233" t="str">
        <f>IF(ISERROR(MATCH('Analysis backend'!$M$1,E3233:N3233,0)),"",'Analysis backend'!$L$1)</f>
        <v/>
      </c>
      <c r="U3233" t="str">
        <f>IF(T3233='Analysis backend'!$L$1,IF(ISERROR(MATCH('Analysis backend'!$M$1,E3233:I3233,0)),"Dire","Radiant"),"")</f>
        <v/>
      </c>
    </row>
    <row r="3234" spans="20:21" x14ac:dyDescent="0.3">
      <c r="T3234" t="str">
        <f>IF(ISERROR(MATCH('Analysis backend'!$M$1,E3234:N3234,0)),"",'Analysis backend'!$L$1)</f>
        <v/>
      </c>
      <c r="U3234" t="str">
        <f>IF(T3234='Analysis backend'!$L$1,IF(ISERROR(MATCH('Analysis backend'!$M$1,E3234:I3234,0)),"Dire","Radiant"),"")</f>
        <v/>
      </c>
    </row>
    <row r="3235" spans="20:21" x14ac:dyDescent="0.3">
      <c r="T3235" t="str">
        <f>IF(ISERROR(MATCH('Analysis backend'!$M$1,E3235:N3235,0)),"",'Analysis backend'!$L$1)</f>
        <v/>
      </c>
      <c r="U3235" t="str">
        <f>IF(T3235='Analysis backend'!$L$1,IF(ISERROR(MATCH('Analysis backend'!$M$1,E3235:I3235,0)),"Dire","Radiant"),"")</f>
        <v/>
      </c>
    </row>
    <row r="3236" spans="20:21" x14ac:dyDescent="0.3">
      <c r="T3236" t="str">
        <f>IF(ISERROR(MATCH('Analysis backend'!$M$1,E3236:N3236,0)),"",'Analysis backend'!$L$1)</f>
        <v/>
      </c>
      <c r="U3236" t="str">
        <f>IF(T3236='Analysis backend'!$L$1,IF(ISERROR(MATCH('Analysis backend'!$M$1,E3236:I3236,0)),"Dire","Radiant"),"")</f>
        <v/>
      </c>
    </row>
    <row r="3237" spans="20:21" x14ac:dyDescent="0.3">
      <c r="T3237" t="str">
        <f>IF(ISERROR(MATCH('Analysis backend'!$M$1,E3237:N3237,0)),"",'Analysis backend'!$L$1)</f>
        <v/>
      </c>
      <c r="U3237" t="str">
        <f>IF(T3237='Analysis backend'!$L$1,IF(ISERROR(MATCH('Analysis backend'!$M$1,E3237:I3237,0)),"Dire","Radiant"),"")</f>
        <v/>
      </c>
    </row>
    <row r="3238" spans="20:21" x14ac:dyDescent="0.3">
      <c r="T3238" t="str">
        <f>IF(ISERROR(MATCH('Analysis backend'!$M$1,E3238:N3238,0)),"",'Analysis backend'!$L$1)</f>
        <v/>
      </c>
      <c r="U3238" t="str">
        <f>IF(T3238='Analysis backend'!$L$1,IF(ISERROR(MATCH('Analysis backend'!$M$1,E3238:I3238,0)),"Dire","Radiant"),"")</f>
        <v/>
      </c>
    </row>
    <row r="3239" spans="20:21" x14ac:dyDescent="0.3">
      <c r="T3239" t="str">
        <f>IF(ISERROR(MATCH('Analysis backend'!$M$1,E3239:N3239,0)),"",'Analysis backend'!$L$1)</f>
        <v/>
      </c>
      <c r="U3239" t="str">
        <f>IF(T3239='Analysis backend'!$L$1,IF(ISERROR(MATCH('Analysis backend'!$M$1,E3239:I3239,0)),"Dire","Radiant"),"")</f>
        <v/>
      </c>
    </row>
    <row r="3240" spans="20:21" x14ac:dyDescent="0.3">
      <c r="T3240" t="str">
        <f>IF(ISERROR(MATCH('Analysis backend'!$M$1,E3240:N3240,0)),"",'Analysis backend'!$L$1)</f>
        <v/>
      </c>
      <c r="U3240" t="str">
        <f>IF(T3240='Analysis backend'!$L$1,IF(ISERROR(MATCH('Analysis backend'!$M$1,E3240:I3240,0)),"Dire","Radiant"),"")</f>
        <v/>
      </c>
    </row>
    <row r="3241" spans="20:21" x14ac:dyDescent="0.3">
      <c r="T3241" t="str">
        <f>IF(ISERROR(MATCH('Analysis backend'!$M$1,E3241:N3241,0)),"",'Analysis backend'!$L$1)</f>
        <v/>
      </c>
      <c r="U3241" t="str">
        <f>IF(T3241='Analysis backend'!$L$1,IF(ISERROR(MATCH('Analysis backend'!$M$1,E3241:I3241,0)),"Dire","Radiant"),"")</f>
        <v/>
      </c>
    </row>
    <row r="3242" spans="20:21" x14ac:dyDescent="0.3">
      <c r="T3242" t="str">
        <f>IF(ISERROR(MATCH('Analysis backend'!$M$1,E3242:N3242,0)),"",'Analysis backend'!$L$1)</f>
        <v/>
      </c>
      <c r="U3242" t="str">
        <f>IF(T3242='Analysis backend'!$L$1,IF(ISERROR(MATCH('Analysis backend'!$M$1,E3242:I3242,0)),"Dire","Radiant"),"")</f>
        <v/>
      </c>
    </row>
    <row r="3243" spans="20:21" x14ac:dyDescent="0.3">
      <c r="T3243" t="str">
        <f>IF(ISERROR(MATCH('Analysis backend'!$M$1,E3243:N3243,0)),"",'Analysis backend'!$L$1)</f>
        <v/>
      </c>
      <c r="U3243" t="str">
        <f>IF(T3243='Analysis backend'!$L$1,IF(ISERROR(MATCH('Analysis backend'!$M$1,E3243:I3243,0)),"Dire","Radiant"),"")</f>
        <v/>
      </c>
    </row>
    <row r="3244" spans="20:21" x14ac:dyDescent="0.3">
      <c r="T3244" t="str">
        <f>IF(ISERROR(MATCH('Analysis backend'!$M$1,E3244:N3244,0)),"",'Analysis backend'!$L$1)</f>
        <v/>
      </c>
      <c r="U3244" t="str">
        <f>IF(T3244='Analysis backend'!$L$1,IF(ISERROR(MATCH('Analysis backend'!$M$1,E3244:I3244,0)),"Dire","Radiant"),"")</f>
        <v/>
      </c>
    </row>
    <row r="3245" spans="20:21" x14ac:dyDescent="0.3">
      <c r="T3245" t="str">
        <f>IF(ISERROR(MATCH('Analysis backend'!$M$1,E3245:N3245,0)),"",'Analysis backend'!$L$1)</f>
        <v/>
      </c>
      <c r="U3245" t="str">
        <f>IF(T3245='Analysis backend'!$L$1,IF(ISERROR(MATCH('Analysis backend'!$M$1,E3245:I3245,0)),"Dire","Radiant"),"")</f>
        <v/>
      </c>
    </row>
    <row r="3246" spans="20:21" x14ac:dyDescent="0.3">
      <c r="T3246" t="str">
        <f>IF(ISERROR(MATCH('Analysis backend'!$M$1,E3246:N3246,0)),"",'Analysis backend'!$L$1)</f>
        <v/>
      </c>
      <c r="U3246" t="str">
        <f>IF(T3246='Analysis backend'!$L$1,IF(ISERROR(MATCH('Analysis backend'!$M$1,E3246:I3246,0)),"Dire","Radiant"),"")</f>
        <v/>
      </c>
    </row>
    <row r="3247" spans="20:21" x14ac:dyDescent="0.3">
      <c r="T3247" t="str">
        <f>IF(ISERROR(MATCH('Analysis backend'!$M$1,E3247:N3247,0)),"",'Analysis backend'!$L$1)</f>
        <v/>
      </c>
      <c r="U3247" t="str">
        <f>IF(T3247='Analysis backend'!$L$1,IF(ISERROR(MATCH('Analysis backend'!$M$1,E3247:I3247,0)),"Dire","Radiant"),"")</f>
        <v/>
      </c>
    </row>
    <row r="3248" spans="20:21" x14ac:dyDescent="0.3">
      <c r="T3248" t="str">
        <f>IF(ISERROR(MATCH('Analysis backend'!$M$1,E3248:N3248,0)),"",'Analysis backend'!$L$1)</f>
        <v/>
      </c>
      <c r="U3248" t="str">
        <f>IF(T3248='Analysis backend'!$L$1,IF(ISERROR(MATCH('Analysis backend'!$M$1,E3248:I3248,0)),"Dire","Radiant"),"")</f>
        <v/>
      </c>
    </row>
    <row r="3249" spans="20:21" x14ac:dyDescent="0.3">
      <c r="T3249" t="str">
        <f>IF(ISERROR(MATCH('Analysis backend'!$M$1,E3249:N3249,0)),"",'Analysis backend'!$L$1)</f>
        <v/>
      </c>
      <c r="U3249" t="str">
        <f>IF(T3249='Analysis backend'!$L$1,IF(ISERROR(MATCH('Analysis backend'!$M$1,E3249:I3249,0)),"Dire","Radiant"),"")</f>
        <v/>
      </c>
    </row>
    <row r="3250" spans="20:21" x14ac:dyDescent="0.3">
      <c r="T3250" t="str">
        <f>IF(ISERROR(MATCH('Analysis backend'!$M$1,E3250:N3250,0)),"",'Analysis backend'!$L$1)</f>
        <v/>
      </c>
      <c r="U3250" t="str">
        <f>IF(T3250='Analysis backend'!$L$1,IF(ISERROR(MATCH('Analysis backend'!$M$1,E3250:I3250,0)),"Dire","Radiant"),"")</f>
        <v/>
      </c>
    </row>
    <row r="3251" spans="20:21" x14ac:dyDescent="0.3">
      <c r="T3251" t="str">
        <f>IF(ISERROR(MATCH('Analysis backend'!$M$1,E3251:N3251,0)),"",'Analysis backend'!$L$1)</f>
        <v/>
      </c>
      <c r="U3251" t="str">
        <f>IF(T3251='Analysis backend'!$L$1,IF(ISERROR(MATCH('Analysis backend'!$M$1,E3251:I3251,0)),"Dire","Radiant"),"")</f>
        <v/>
      </c>
    </row>
    <row r="3252" spans="20:21" x14ac:dyDescent="0.3">
      <c r="T3252" t="str">
        <f>IF(ISERROR(MATCH('Analysis backend'!$M$1,E3252:N3252,0)),"",'Analysis backend'!$L$1)</f>
        <v/>
      </c>
      <c r="U3252" t="str">
        <f>IF(T3252='Analysis backend'!$L$1,IF(ISERROR(MATCH('Analysis backend'!$M$1,E3252:I3252,0)),"Dire","Radiant"),"")</f>
        <v/>
      </c>
    </row>
    <row r="3253" spans="20:21" x14ac:dyDescent="0.3">
      <c r="T3253" t="str">
        <f>IF(ISERROR(MATCH('Analysis backend'!$M$1,E3253:N3253,0)),"",'Analysis backend'!$L$1)</f>
        <v/>
      </c>
      <c r="U3253" t="str">
        <f>IF(T3253='Analysis backend'!$L$1,IF(ISERROR(MATCH('Analysis backend'!$M$1,E3253:I3253,0)),"Dire","Radiant"),"")</f>
        <v/>
      </c>
    </row>
    <row r="3254" spans="20:21" x14ac:dyDescent="0.3">
      <c r="T3254" t="str">
        <f>IF(ISERROR(MATCH('Analysis backend'!$M$1,E3254:N3254,0)),"",'Analysis backend'!$L$1)</f>
        <v/>
      </c>
      <c r="U3254" t="str">
        <f>IF(T3254='Analysis backend'!$L$1,IF(ISERROR(MATCH('Analysis backend'!$M$1,E3254:I3254,0)),"Dire","Radiant"),"")</f>
        <v/>
      </c>
    </row>
    <row r="3255" spans="20:21" x14ac:dyDescent="0.3">
      <c r="T3255" t="str">
        <f>IF(ISERROR(MATCH('Analysis backend'!$M$1,E3255:N3255,0)),"",'Analysis backend'!$L$1)</f>
        <v/>
      </c>
      <c r="U3255" t="str">
        <f>IF(T3255='Analysis backend'!$L$1,IF(ISERROR(MATCH('Analysis backend'!$M$1,E3255:I3255,0)),"Dire","Radiant"),"")</f>
        <v/>
      </c>
    </row>
    <row r="3256" spans="20:21" x14ac:dyDescent="0.3">
      <c r="T3256" t="str">
        <f>IF(ISERROR(MATCH('Analysis backend'!$M$1,E3256:N3256,0)),"",'Analysis backend'!$L$1)</f>
        <v/>
      </c>
      <c r="U3256" t="str">
        <f>IF(T3256='Analysis backend'!$L$1,IF(ISERROR(MATCH('Analysis backend'!$M$1,E3256:I3256,0)),"Dire","Radiant"),"")</f>
        <v/>
      </c>
    </row>
    <row r="3257" spans="20:21" x14ac:dyDescent="0.3">
      <c r="T3257" t="str">
        <f>IF(ISERROR(MATCH('Analysis backend'!$M$1,E3257:N3257,0)),"",'Analysis backend'!$L$1)</f>
        <v/>
      </c>
      <c r="U3257" t="str">
        <f>IF(T3257='Analysis backend'!$L$1,IF(ISERROR(MATCH('Analysis backend'!$M$1,E3257:I3257,0)),"Dire","Radiant"),"")</f>
        <v/>
      </c>
    </row>
    <row r="3258" spans="20:21" x14ac:dyDescent="0.3">
      <c r="T3258" t="str">
        <f>IF(ISERROR(MATCH('Analysis backend'!$M$1,E3258:N3258,0)),"",'Analysis backend'!$L$1)</f>
        <v/>
      </c>
      <c r="U3258" t="str">
        <f>IF(T3258='Analysis backend'!$L$1,IF(ISERROR(MATCH('Analysis backend'!$M$1,E3258:I3258,0)),"Dire","Radiant"),"")</f>
        <v/>
      </c>
    </row>
    <row r="3259" spans="20:21" x14ac:dyDescent="0.3">
      <c r="T3259" t="str">
        <f>IF(ISERROR(MATCH('Analysis backend'!$M$1,E3259:N3259,0)),"",'Analysis backend'!$L$1)</f>
        <v/>
      </c>
      <c r="U3259" t="str">
        <f>IF(T3259='Analysis backend'!$L$1,IF(ISERROR(MATCH('Analysis backend'!$M$1,E3259:I3259,0)),"Dire","Radiant"),"")</f>
        <v/>
      </c>
    </row>
    <row r="3260" spans="20:21" x14ac:dyDescent="0.3">
      <c r="T3260" t="str">
        <f>IF(ISERROR(MATCH('Analysis backend'!$M$1,E3260:N3260,0)),"",'Analysis backend'!$L$1)</f>
        <v/>
      </c>
      <c r="U3260" t="str">
        <f>IF(T3260='Analysis backend'!$L$1,IF(ISERROR(MATCH('Analysis backend'!$M$1,E3260:I3260,0)),"Dire","Radiant"),"")</f>
        <v/>
      </c>
    </row>
    <row r="3261" spans="20:21" x14ac:dyDescent="0.3">
      <c r="T3261" t="str">
        <f>IF(ISERROR(MATCH('Analysis backend'!$M$1,E3261:N3261,0)),"",'Analysis backend'!$L$1)</f>
        <v/>
      </c>
      <c r="U3261" t="str">
        <f>IF(T3261='Analysis backend'!$L$1,IF(ISERROR(MATCH('Analysis backend'!$M$1,E3261:I3261,0)),"Dire","Radiant"),"")</f>
        <v/>
      </c>
    </row>
    <row r="3262" spans="20:21" x14ac:dyDescent="0.3">
      <c r="T3262" t="str">
        <f>IF(ISERROR(MATCH('Analysis backend'!$M$1,E3262:N3262,0)),"",'Analysis backend'!$L$1)</f>
        <v/>
      </c>
      <c r="U3262" t="str">
        <f>IF(T3262='Analysis backend'!$L$1,IF(ISERROR(MATCH('Analysis backend'!$M$1,E3262:I3262,0)),"Dire","Radiant"),"")</f>
        <v/>
      </c>
    </row>
    <row r="3263" spans="20:21" x14ac:dyDescent="0.3">
      <c r="T3263" t="str">
        <f>IF(ISERROR(MATCH('Analysis backend'!$M$1,E3263:N3263,0)),"",'Analysis backend'!$L$1)</f>
        <v/>
      </c>
      <c r="U3263" t="str">
        <f>IF(T3263='Analysis backend'!$L$1,IF(ISERROR(MATCH('Analysis backend'!$M$1,E3263:I3263,0)),"Dire","Radiant"),"")</f>
        <v/>
      </c>
    </row>
    <row r="3264" spans="20:21" x14ac:dyDescent="0.3">
      <c r="T3264" t="str">
        <f>IF(ISERROR(MATCH('Analysis backend'!$M$1,E3264:N3264,0)),"",'Analysis backend'!$L$1)</f>
        <v/>
      </c>
      <c r="U3264" t="str">
        <f>IF(T3264='Analysis backend'!$L$1,IF(ISERROR(MATCH('Analysis backend'!$M$1,E3264:I3264,0)),"Dire","Radiant"),"")</f>
        <v/>
      </c>
    </row>
    <row r="3265" spans="20:21" x14ac:dyDescent="0.3">
      <c r="T3265" t="str">
        <f>IF(ISERROR(MATCH('Analysis backend'!$M$1,E3265:N3265,0)),"",'Analysis backend'!$L$1)</f>
        <v/>
      </c>
      <c r="U3265" t="str">
        <f>IF(T3265='Analysis backend'!$L$1,IF(ISERROR(MATCH('Analysis backend'!$M$1,E3265:I3265,0)),"Dire","Radiant"),"")</f>
        <v/>
      </c>
    </row>
    <row r="3266" spans="20:21" x14ac:dyDescent="0.3">
      <c r="T3266" t="str">
        <f>IF(ISERROR(MATCH('Analysis backend'!$M$1,E3266:N3266,0)),"",'Analysis backend'!$L$1)</f>
        <v/>
      </c>
      <c r="U3266" t="str">
        <f>IF(T3266='Analysis backend'!$L$1,IF(ISERROR(MATCH('Analysis backend'!$M$1,E3266:I3266,0)),"Dire","Radiant"),"")</f>
        <v/>
      </c>
    </row>
    <row r="3267" spans="20:21" x14ac:dyDescent="0.3">
      <c r="T3267" t="str">
        <f>IF(ISERROR(MATCH('Analysis backend'!$M$1,E3267:N3267,0)),"",'Analysis backend'!$L$1)</f>
        <v/>
      </c>
      <c r="U3267" t="str">
        <f>IF(T3267='Analysis backend'!$L$1,IF(ISERROR(MATCH('Analysis backend'!$M$1,E3267:I3267,0)),"Dire","Radiant"),"")</f>
        <v/>
      </c>
    </row>
    <row r="3268" spans="20:21" x14ac:dyDescent="0.3">
      <c r="T3268" t="str">
        <f>IF(ISERROR(MATCH('Analysis backend'!$M$1,E3268:N3268,0)),"",'Analysis backend'!$L$1)</f>
        <v/>
      </c>
      <c r="U3268" t="str">
        <f>IF(T3268='Analysis backend'!$L$1,IF(ISERROR(MATCH('Analysis backend'!$M$1,E3268:I3268,0)),"Dire","Radiant"),"")</f>
        <v/>
      </c>
    </row>
    <row r="3269" spans="20:21" x14ac:dyDescent="0.3">
      <c r="T3269" t="str">
        <f>IF(ISERROR(MATCH('Analysis backend'!$M$1,E3269:N3269,0)),"",'Analysis backend'!$L$1)</f>
        <v/>
      </c>
      <c r="U3269" t="str">
        <f>IF(T3269='Analysis backend'!$L$1,IF(ISERROR(MATCH('Analysis backend'!$M$1,E3269:I3269,0)),"Dire","Radiant"),"")</f>
        <v/>
      </c>
    </row>
    <row r="3270" spans="20:21" x14ac:dyDescent="0.3">
      <c r="T3270" t="str">
        <f>IF(ISERROR(MATCH('Analysis backend'!$M$1,E3270:N3270,0)),"",'Analysis backend'!$L$1)</f>
        <v/>
      </c>
      <c r="U3270" t="str">
        <f>IF(T3270='Analysis backend'!$L$1,IF(ISERROR(MATCH('Analysis backend'!$M$1,E3270:I3270,0)),"Dire","Radiant"),"")</f>
        <v/>
      </c>
    </row>
    <row r="3271" spans="20:21" x14ac:dyDescent="0.3">
      <c r="T3271" t="str">
        <f>IF(ISERROR(MATCH('Analysis backend'!$M$1,E3271:N3271,0)),"",'Analysis backend'!$L$1)</f>
        <v/>
      </c>
      <c r="U3271" t="str">
        <f>IF(T3271='Analysis backend'!$L$1,IF(ISERROR(MATCH('Analysis backend'!$M$1,E3271:I3271,0)),"Dire","Radiant"),"")</f>
        <v/>
      </c>
    </row>
    <row r="3272" spans="20:21" x14ac:dyDescent="0.3">
      <c r="T3272" t="str">
        <f>IF(ISERROR(MATCH('Analysis backend'!$M$1,E3272:N3272,0)),"",'Analysis backend'!$L$1)</f>
        <v/>
      </c>
      <c r="U3272" t="str">
        <f>IF(T3272='Analysis backend'!$L$1,IF(ISERROR(MATCH('Analysis backend'!$M$1,E3272:I3272,0)),"Dire","Radiant"),"")</f>
        <v/>
      </c>
    </row>
    <row r="3273" spans="20:21" x14ac:dyDescent="0.3">
      <c r="T3273" t="str">
        <f>IF(ISERROR(MATCH('Analysis backend'!$M$1,E3273:N3273,0)),"",'Analysis backend'!$L$1)</f>
        <v/>
      </c>
      <c r="U3273" t="str">
        <f>IF(T3273='Analysis backend'!$L$1,IF(ISERROR(MATCH('Analysis backend'!$M$1,E3273:I3273,0)),"Dire","Radiant"),"")</f>
        <v/>
      </c>
    </row>
    <row r="3274" spans="20:21" x14ac:dyDescent="0.3">
      <c r="T3274" t="str">
        <f>IF(ISERROR(MATCH('Analysis backend'!$M$1,E3274:N3274,0)),"",'Analysis backend'!$L$1)</f>
        <v/>
      </c>
      <c r="U3274" t="str">
        <f>IF(T3274='Analysis backend'!$L$1,IF(ISERROR(MATCH('Analysis backend'!$M$1,E3274:I3274,0)),"Dire","Radiant"),"")</f>
        <v/>
      </c>
    </row>
    <row r="3275" spans="20:21" x14ac:dyDescent="0.3">
      <c r="T3275" t="str">
        <f>IF(ISERROR(MATCH('Analysis backend'!$M$1,E3275:N3275,0)),"",'Analysis backend'!$L$1)</f>
        <v/>
      </c>
      <c r="U3275" t="str">
        <f>IF(T3275='Analysis backend'!$L$1,IF(ISERROR(MATCH('Analysis backend'!$M$1,E3275:I3275,0)),"Dire","Radiant"),"")</f>
        <v/>
      </c>
    </row>
    <row r="3276" spans="20:21" x14ac:dyDescent="0.3">
      <c r="T3276" t="str">
        <f>IF(ISERROR(MATCH('Analysis backend'!$M$1,E3276:N3276,0)),"",'Analysis backend'!$L$1)</f>
        <v/>
      </c>
      <c r="U3276" t="str">
        <f>IF(T3276='Analysis backend'!$L$1,IF(ISERROR(MATCH('Analysis backend'!$M$1,E3276:I3276,0)),"Dire","Radiant"),"")</f>
        <v/>
      </c>
    </row>
    <row r="3277" spans="20:21" x14ac:dyDescent="0.3">
      <c r="T3277" t="str">
        <f>IF(ISERROR(MATCH('Analysis backend'!$M$1,E3277:N3277,0)),"",'Analysis backend'!$L$1)</f>
        <v/>
      </c>
      <c r="U3277" t="str">
        <f>IF(T3277='Analysis backend'!$L$1,IF(ISERROR(MATCH('Analysis backend'!$M$1,E3277:I3277,0)),"Dire","Radiant"),"")</f>
        <v/>
      </c>
    </row>
    <row r="3278" spans="20:21" x14ac:dyDescent="0.3">
      <c r="T3278" t="str">
        <f>IF(ISERROR(MATCH('Analysis backend'!$M$1,E3278:N3278,0)),"",'Analysis backend'!$L$1)</f>
        <v/>
      </c>
      <c r="U3278" t="str">
        <f>IF(T3278='Analysis backend'!$L$1,IF(ISERROR(MATCH('Analysis backend'!$M$1,E3278:I3278,0)),"Dire","Radiant"),"")</f>
        <v/>
      </c>
    </row>
    <row r="3279" spans="20:21" x14ac:dyDescent="0.3">
      <c r="T3279" t="str">
        <f>IF(ISERROR(MATCH('Analysis backend'!$M$1,E3279:N3279,0)),"",'Analysis backend'!$L$1)</f>
        <v/>
      </c>
      <c r="U3279" t="str">
        <f>IF(T3279='Analysis backend'!$L$1,IF(ISERROR(MATCH('Analysis backend'!$M$1,E3279:I3279,0)),"Dire","Radiant"),"")</f>
        <v/>
      </c>
    </row>
    <row r="3280" spans="20:21" x14ac:dyDescent="0.3">
      <c r="T3280" t="str">
        <f>IF(ISERROR(MATCH('Analysis backend'!$M$1,E3280:N3280,0)),"",'Analysis backend'!$L$1)</f>
        <v/>
      </c>
      <c r="U3280" t="str">
        <f>IF(T3280='Analysis backend'!$L$1,IF(ISERROR(MATCH('Analysis backend'!$M$1,E3280:I3280,0)),"Dire","Radiant"),"")</f>
        <v/>
      </c>
    </row>
    <row r="3281" spans="20:21" x14ac:dyDescent="0.3">
      <c r="T3281" t="str">
        <f>IF(ISERROR(MATCH('Analysis backend'!$M$1,E3281:N3281,0)),"",'Analysis backend'!$L$1)</f>
        <v/>
      </c>
      <c r="U3281" t="str">
        <f>IF(T3281='Analysis backend'!$L$1,IF(ISERROR(MATCH('Analysis backend'!$M$1,E3281:I3281,0)),"Dire","Radiant"),"")</f>
        <v/>
      </c>
    </row>
    <row r="3282" spans="20:21" x14ac:dyDescent="0.3">
      <c r="T3282" t="str">
        <f>IF(ISERROR(MATCH('Analysis backend'!$M$1,E3282:N3282,0)),"",'Analysis backend'!$L$1)</f>
        <v/>
      </c>
      <c r="U3282" t="str">
        <f>IF(T3282='Analysis backend'!$L$1,IF(ISERROR(MATCH('Analysis backend'!$M$1,E3282:I3282,0)),"Dire","Radiant"),"")</f>
        <v/>
      </c>
    </row>
    <row r="3283" spans="20:21" x14ac:dyDescent="0.3">
      <c r="T3283" t="str">
        <f>IF(ISERROR(MATCH('Analysis backend'!$M$1,E3283:N3283,0)),"",'Analysis backend'!$L$1)</f>
        <v/>
      </c>
      <c r="U3283" t="str">
        <f>IF(T3283='Analysis backend'!$L$1,IF(ISERROR(MATCH('Analysis backend'!$M$1,E3283:I3283,0)),"Dire","Radiant"),"")</f>
        <v/>
      </c>
    </row>
    <row r="3284" spans="20:21" x14ac:dyDescent="0.3">
      <c r="T3284" t="str">
        <f>IF(ISERROR(MATCH('Analysis backend'!$M$1,E3284:N3284,0)),"",'Analysis backend'!$L$1)</f>
        <v/>
      </c>
      <c r="U3284" t="str">
        <f>IF(T3284='Analysis backend'!$L$1,IF(ISERROR(MATCH('Analysis backend'!$M$1,E3284:I3284,0)),"Dire","Radiant"),"")</f>
        <v/>
      </c>
    </row>
    <row r="3285" spans="20:21" x14ac:dyDescent="0.3">
      <c r="T3285" t="str">
        <f>IF(ISERROR(MATCH('Analysis backend'!$M$1,E3285:N3285,0)),"",'Analysis backend'!$L$1)</f>
        <v/>
      </c>
      <c r="U3285" t="str">
        <f>IF(T3285='Analysis backend'!$L$1,IF(ISERROR(MATCH('Analysis backend'!$M$1,E3285:I3285,0)),"Dire","Radiant"),"")</f>
        <v/>
      </c>
    </row>
    <row r="3286" spans="20:21" x14ac:dyDescent="0.3">
      <c r="T3286" t="str">
        <f>IF(ISERROR(MATCH('Analysis backend'!$M$1,E3286:N3286,0)),"",'Analysis backend'!$L$1)</f>
        <v/>
      </c>
      <c r="U3286" t="str">
        <f>IF(T3286='Analysis backend'!$L$1,IF(ISERROR(MATCH('Analysis backend'!$M$1,E3286:I3286,0)),"Dire","Radiant"),"")</f>
        <v/>
      </c>
    </row>
    <row r="3287" spans="20:21" x14ac:dyDescent="0.3">
      <c r="T3287" t="str">
        <f>IF(ISERROR(MATCH('Analysis backend'!$M$1,E3287:N3287,0)),"",'Analysis backend'!$L$1)</f>
        <v/>
      </c>
      <c r="U3287" t="str">
        <f>IF(T3287='Analysis backend'!$L$1,IF(ISERROR(MATCH('Analysis backend'!$M$1,E3287:I3287,0)),"Dire","Radiant"),"")</f>
        <v/>
      </c>
    </row>
    <row r="3288" spans="20:21" x14ac:dyDescent="0.3">
      <c r="T3288" t="str">
        <f>IF(ISERROR(MATCH('Analysis backend'!$M$1,E3288:N3288,0)),"",'Analysis backend'!$L$1)</f>
        <v/>
      </c>
      <c r="U3288" t="str">
        <f>IF(T3288='Analysis backend'!$L$1,IF(ISERROR(MATCH('Analysis backend'!$M$1,E3288:I3288,0)),"Dire","Radiant"),"")</f>
        <v/>
      </c>
    </row>
    <row r="3289" spans="20:21" x14ac:dyDescent="0.3">
      <c r="T3289" t="str">
        <f>IF(ISERROR(MATCH('Analysis backend'!$M$1,E3289:N3289,0)),"",'Analysis backend'!$L$1)</f>
        <v/>
      </c>
      <c r="U3289" t="str">
        <f>IF(T3289='Analysis backend'!$L$1,IF(ISERROR(MATCH('Analysis backend'!$M$1,E3289:I3289,0)),"Dire","Radiant"),"")</f>
        <v/>
      </c>
    </row>
    <row r="3290" spans="20:21" x14ac:dyDescent="0.3">
      <c r="T3290" t="str">
        <f>IF(ISERROR(MATCH('Analysis backend'!$M$1,E3290:N3290,0)),"",'Analysis backend'!$L$1)</f>
        <v/>
      </c>
      <c r="U3290" t="str">
        <f>IF(T3290='Analysis backend'!$L$1,IF(ISERROR(MATCH('Analysis backend'!$M$1,E3290:I3290,0)),"Dire","Radiant"),"")</f>
        <v/>
      </c>
    </row>
    <row r="3291" spans="20:21" x14ac:dyDescent="0.3">
      <c r="T3291" t="str">
        <f>IF(ISERROR(MATCH('Analysis backend'!$M$1,E3291:N3291,0)),"",'Analysis backend'!$L$1)</f>
        <v/>
      </c>
      <c r="U3291" t="str">
        <f>IF(T3291='Analysis backend'!$L$1,IF(ISERROR(MATCH('Analysis backend'!$M$1,E3291:I3291,0)),"Dire","Radiant"),"")</f>
        <v/>
      </c>
    </row>
    <row r="3292" spans="20:21" x14ac:dyDescent="0.3">
      <c r="T3292" t="str">
        <f>IF(ISERROR(MATCH('Analysis backend'!$M$1,E3292:N3292,0)),"",'Analysis backend'!$L$1)</f>
        <v/>
      </c>
      <c r="U3292" t="str">
        <f>IF(T3292='Analysis backend'!$L$1,IF(ISERROR(MATCH('Analysis backend'!$M$1,E3292:I3292,0)),"Dire","Radiant"),"")</f>
        <v/>
      </c>
    </row>
    <row r="3293" spans="20:21" x14ac:dyDescent="0.3">
      <c r="T3293" t="str">
        <f>IF(ISERROR(MATCH('Analysis backend'!$M$1,E3293:N3293,0)),"",'Analysis backend'!$L$1)</f>
        <v/>
      </c>
      <c r="U3293" t="str">
        <f>IF(T3293='Analysis backend'!$L$1,IF(ISERROR(MATCH('Analysis backend'!$M$1,E3293:I3293,0)),"Dire","Radiant"),"")</f>
        <v/>
      </c>
    </row>
    <row r="3294" spans="20:21" x14ac:dyDescent="0.3">
      <c r="T3294" t="str">
        <f>IF(ISERROR(MATCH('Analysis backend'!$M$1,E3294:N3294,0)),"",'Analysis backend'!$L$1)</f>
        <v/>
      </c>
      <c r="U3294" t="str">
        <f>IF(T3294='Analysis backend'!$L$1,IF(ISERROR(MATCH('Analysis backend'!$M$1,E3294:I3294,0)),"Dire","Radiant"),"")</f>
        <v/>
      </c>
    </row>
    <row r="3295" spans="20:21" x14ac:dyDescent="0.3">
      <c r="T3295" t="str">
        <f>IF(ISERROR(MATCH('Analysis backend'!$M$1,E3295:N3295,0)),"",'Analysis backend'!$L$1)</f>
        <v/>
      </c>
      <c r="U3295" t="str">
        <f>IF(T3295='Analysis backend'!$L$1,IF(ISERROR(MATCH('Analysis backend'!$M$1,E3295:I3295,0)),"Dire","Radiant"),"")</f>
        <v/>
      </c>
    </row>
    <row r="3296" spans="20:21" x14ac:dyDescent="0.3">
      <c r="T3296" t="str">
        <f>IF(ISERROR(MATCH('Analysis backend'!$M$1,E3296:N3296,0)),"",'Analysis backend'!$L$1)</f>
        <v/>
      </c>
      <c r="U3296" t="str">
        <f>IF(T3296='Analysis backend'!$L$1,IF(ISERROR(MATCH('Analysis backend'!$M$1,E3296:I3296,0)),"Dire","Radiant"),"")</f>
        <v/>
      </c>
    </row>
    <row r="3297" spans="20:21" x14ac:dyDescent="0.3">
      <c r="T3297" t="str">
        <f>IF(ISERROR(MATCH('Analysis backend'!$M$1,E3297:N3297,0)),"",'Analysis backend'!$L$1)</f>
        <v/>
      </c>
      <c r="U3297" t="str">
        <f>IF(T3297='Analysis backend'!$L$1,IF(ISERROR(MATCH('Analysis backend'!$M$1,E3297:I3297,0)),"Dire","Radiant"),"")</f>
        <v/>
      </c>
    </row>
    <row r="3298" spans="20:21" x14ac:dyDescent="0.3">
      <c r="T3298" t="str">
        <f>IF(ISERROR(MATCH('Analysis backend'!$M$1,E3298:N3298,0)),"",'Analysis backend'!$L$1)</f>
        <v/>
      </c>
      <c r="U3298" t="str">
        <f>IF(T3298='Analysis backend'!$L$1,IF(ISERROR(MATCH('Analysis backend'!$M$1,E3298:I3298,0)),"Dire","Radiant"),"")</f>
        <v/>
      </c>
    </row>
    <row r="3299" spans="20:21" x14ac:dyDescent="0.3">
      <c r="T3299" t="str">
        <f>IF(ISERROR(MATCH('Analysis backend'!$M$1,E3299:N3299,0)),"",'Analysis backend'!$L$1)</f>
        <v/>
      </c>
      <c r="U3299" t="str">
        <f>IF(T3299='Analysis backend'!$L$1,IF(ISERROR(MATCH('Analysis backend'!$M$1,E3299:I3299,0)),"Dire","Radiant"),"")</f>
        <v/>
      </c>
    </row>
    <row r="3300" spans="20:21" x14ac:dyDescent="0.3">
      <c r="T3300" t="str">
        <f>IF(ISERROR(MATCH('Analysis backend'!$M$1,E3300:N3300,0)),"",'Analysis backend'!$L$1)</f>
        <v/>
      </c>
      <c r="U3300" t="str">
        <f>IF(T3300='Analysis backend'!$L$1,IF(ISERROR(MATCH('Analysis backend'!$M$1,E3300:I3300,0)),"Dire","Radiant"),"")</f>
        <v/>
      </c>
    </row>
    <row r="3301" spans="20:21" x14ac:dyDescent="0.3">
      <c r="T3301" t="str">
        <f>IF(ISERROR(MATCH('Analysis backend'!$M$1,E3301:N3301,0)),"",'Analysis backend'!$L$1)</f>
        <v/>
      </c>
      <c r="U3301" t="str">
        <f>IF(T3301='Analysis backend'!$L$1,IF(ISERROR(MATCH('Analysis backend'!$M$1,E3301:I3301,0)),"Dire","Radiant"),"")</f>
        <v/>
      </c>
    </row>
    <row r="3302" spans="20:21" x14ac:dyDescent="0.3">
      <c r="T3302" t="str">
        <f>IF(ISERROR(MATCH('Analysis backend'!$M$1,E3302:N3302,0)),"",'Analysis backend'!$L$1)</f>
        <v/>
      </c>
      <c r="U3302" t="str">
        <f>IF(T3302='Analysis backend'!$L$1,IF(ISERROR(MATCH('Analysis backend'!$M$1,E3302:I3302,0)),"Dire","Radiant"),"")</f>
        <v/>
      </c>
    </row>
    <row r="3303" spans="20:21" x14ac:dyDescent="0.3">
      <c r="T3303" t="str">
        <f>IF(ISERROR(MATCH('Analysis backend'!$M$1,E3303:N3303,0)),"",'Analysis backend'!$L$1)</f>
        <v/>
      </c>
      <c r="U3303" t="str">
        <f>IF(T3303='Analysis backend'!$L$1,IF(ISERROR(MATCH('Analysis backend'!$M$1,E3303:I3303,0)),"Dire","Radiant"),"")</f>
        <v/>
      </c>
    </row>
    <row r="3304" spans="20:21" x14ac:dyDescent="0.3">
      <c r="T3304" t="str">
        <f>IF(ISERROR(MATCH('Analysis backend'!$M$1,E3304:N3304,0)),"",'Analysis backend'!$L$1)</f>
        <v/>
      </c>
      <c r="U3304" t="str">
        <f>IF(T3304='Analysis backend'!$L$1,IF(ISERROR(MATCH('Analysis backend'!$M$1,E3304:I3304,0)),"Dire","Radiant"),"")</f>
        <v/>
      </c>
    </row>
    <row r="3305" spans="20:21" x14ac:dyDescent="0.3">
      <c r="T3305" t="str">
        <f>IF(ISERROR(MATCH('Analysis backend'!$M$1,E3305:N3305,0)),"",'Analysis backend'!$L$1)</f>
        <v/>
      </c>
      <c r="U3305" t="str">
        <f>IF(T3305='Analysis backend'!$L$1,IF(ISERROR(MATCH('Analysis backend'!$M$1,E3305:I3305,0)),"Dire","Radiant"),"")</f>
        <v/>
      </c>
    </row>
    <row r="3306" spans="20:21" x14ac:dyDescent="0.3">
      <c r="T3306" t="str">
        <f>IF(ISERROR(MATCH('Analysis backend'!$M$1,E3306:N3306,0)),"",'Analysis backend'!$L$1)</f>
        <v/>
      </c>
      <c r="U3306" t="str">
        <f>IF(T3306='Analysis backend'!$L$1,IF(ISERROR(MATCH('Analysis backend'!$M$1,E3306:I3306,0)),"Dire","Radiant"),"")</f>
        <v/>
      </c>
    </row>
    <row r="3307" spans="20:21" x14ac:dyDescent="0.3">
      <c r="T3307" t="str">
        <f>IF(ISERROR(MATCH('Analysis backend'!$M$1,E3307:N3307,0)),"",'Analysis backend'!$L$1)</f>
        <v/>
      </c>
      <c r="U3307" t="str">
        <f>IF(T3307='Analysis backend'!$L$1,IF(ISERROR(MATCH('Analysis backend'!$M$1,E3307:I3307,0)),"Dire","Radiant"),"")</f>
        <v/>
      </c>
    </row>
    <row r="3308" spans="20:21" x14ac:dyDescent="0.3">
      <c r="T3308" t="str">
        <f>IF(ISERROR(MATCH('Analysis backend'!$M$1,E3308:N3308,0)),"",'Analysis backend'!$L$1)</f>
        <v/>
      </c>
      <c r="U3308" t="str">
        <f>IF(T3308='Analysis backend'!$L$1,IF(ISERROR(MATCH('Analysis backend'!$M$1,E3308:I3308,0)),"Dire","Radiant"),"")</f>
        <v/>
      </c>
    </row>
    <row r="3309" spans="20:21" x14ac:dyDescent="0.3">
      <c r="T3309" t="str">
        <f>IF(ISERROR(MATCH('Analysis backend'!$M$1,E3309:N3309,0)),"",'Analysis backend'!$L$1)</f>
        <v/>
      </c>
      <c r="U3309" t="str">
        <f>IF(T3309='Analysis backend'!$L$1,IF(ISERROR(MATCH('Analysis backend'!$M$1,E3309:I3309,0)),"Dire","Radiant"),"")</f>
        <v/>
      </c>
    </row>
    <row r="3310" spans="20:21" x14ac:dyDescent="0.3">
      <c r="T3310" t="str">
        <f>IF(ISERROR(MATCH('Analysis backend'!$M$1,E3310:N3310,0)),"",'Analysis backend'!$L$1)</f>
        <v/>
      </c>
      <c r="U3310" t="str">
        <f>IF(T3310='Analysis backend'!$L$1,IF(ISERROR(MATCH('Analysis backend'!$M$1,E3310:I3310,0)),"Dire","Radiant"),"")</f>
        <v/>
      </c>
    </row>
    <row r="3311" spans="20:21" x14ac:dyDescent="0.3">
      <c r="T3311" t="str">
        <f>IF(ISERROR(MATCH('Analysis backend'!$M$1,E3311:N3311,0)),"",'Analysis backend'!$L$1)</f>
        <v/>
      </c>
      <c r="U3311" t="str">
        <f>IF(T3311='Analysis backend'!$L$1,IF(ISERROR(MATCH('Analysis backend'!$M$1,E3311:I3311,0)),"Dire","Radiant"),"")</f>
        <v/>
      </c>
    </row>
    <row r="3312" spans="20:21" x14ac:dyDescent="0.3">
      <c r="T3312" t="str">
        <f>IF(ISERROR(MATCH('Analysis backend'!$M$1,E3312:N3312,0)),"",'Analysis backend'!$L$1)</f>
        <v/>
      </c>
      <c r="U3312" t="str">
        <f>IF(T3312='Analysis backend'!$L$1,IF(ISERROR(MATCH('Analysis backend'!$M$1,E3312:I3312,0)),"Dire","Radiant"),"")</f>
        <v/>
      </c>
    </row>
    <row r="3313" spans="20:21" x14ac:dyDescent="0.3">
      <c r="T3313" t="str">
        <f>IF(ISERROR(MATCH('Analysis backend'!$M$1,E3313:N3313,0)),"",'Analysis backend'!$L$1)</f>
        <v/>
      </c>
      <c r="U3313" t="str">
        <f>IF(T3313='Analysis backend'!$L$1,IF(ISERROR(MATCH('Analysis backend'!$M$1,E3313:I3313,0)),"Dire","Radiant"),"")</f>
        <v/>
      </c>
    </row>
    <row r="3314" spans="20:21" x14ac:dyDescent="0.3">
      <c r="T3314" t="str">
        <f>IF(ISERROR(MATCH('Analysis backend'!$M$1,E3314:N3314,0)),"",'Analysis backend'!$L$1)</f>
        <v/>
      </c>
      <c r="U3314" t="str">
        <f>IF(T3314='Analysis backend'!$L$1,IF(ISERROR(MATCH('Analysis backend'!$M$1,E3314:I3314,0)),"Dire","Radiant"),"")</f>
        <v/>
      </c>
    </row>
    <row r="3315" spans="20:21" x14ac:dyDescent="0.3">
      <c r="T3315" t="str">
        <f>IF(ISERROR(MATCH('Analysis backend'!$M$1,E3315:N3315,0)),"",'Analysis backend'!$L$1)</f>
        <v/>
      </c>
      <c r="U3315" t="str">
        <f>IF(T3315='Analysis backend'!$L$1,IF(ISERROR(MATCH('Analysis backend'!$M$1,E3315:I3315,0)),"Dire","Radiant"),"")</f>
        <v/>
      </c>
    </row>
    <row r="3316" spans="20:21" x14ac:dyDescent="0.3">
      <c r="T3316" t="str">
        <f>IF(ISERROR(MATCH('Analysis backend'!$M$1,E3316:N3316,0)),"",'Analysis backend'!$L$1)</f>
        <v/>
      </c>
      <c r="U3316" t="str">
        <f>IF(T3316='Analysis backend'!$L$1,IF(ISERROR(MATCH('Analysis backend'!$M$1,E3316:I3316,0)),"Dire","Radiant"),"")</f>
        <v/>
      </c>
    </row>
    <row r="3317" spans="20:21" x14ac:dyDescent="0.3">
      <c r="T3317" t="str">
        <f>IF(ISERROR(MATCH('Analysis backend'!$M$1,E3317:N3317,0)),"",'Analysis backend'!$L$1)</f>
        <v/>
      </c>
      <c r="U3317" t="str">
        <f>IF(T3317='Analysis backend'!$L$1,IF(ISERROR(MATCH('Analysis backend'!$M$1,E3317:I3317,0)),"Dire","Radiant"),"")</f>
        <v/>
      </c>
    </row>
    <row r="3318" spans="20:21" x14ac:dyDescent="0.3">
      <c r="T3318" t="str">
        <f>IF(ISERROR(MATCH('Analysis backend'!$M$1,E3318:N3318,0)),"",'Analysis backend'!$L$1)</f>
        <v/>
      </c>
      <c r="U3318" t="str">
        <f>IF(T3318='Analysis backend'!$L$1,IF(ISERROR(MATCH('Analysis backend'!$M$1,E3318:I3318,0)),"Dire","Radiant"),"")</f>
        <v/>
      </c>
    </row>
    <row r="3319" spans="20:21" x14ac:dyDescent="0.3">
      <c r="T3319" t="str">
        <f>IF(ISERROR(MATCH('Analysis backend'!$M$1,E3319:N3319,0)),"",'Analysis backend'!$L$1)</f>
        <v/>
      </c>
      <c r="U3319" t="str">
        <f>IF(T3319='Analysis backend'!$L$1,IF(ISERROR(MATCH('Analysis backend'!$M$1,E3319:I3319,0)),"Dire","Radiant"),"")</f>
        <v/>
      </c>
    </row>
    <row r="3320" spans="20:21" x14ac:dyDescent="0.3">
      <c r="T3320" t="str">
        <f>IF(ISERROR(MATCH('Analysis backend'!$M$1,E3320:N3320,0)),"",'Analysis backend'!$L$1)</f>
        <v/>
      </c>
      <c r="U3320" t="str">
        <f>IF(T3320='Analysis backend'!$L$1,IF(ISERROR(MATCH('Analysis backend'!$M$1,E3320:I3320,0)),"Dire","Radiant"),"")</f>
        <v/>
      </c>
    </row>
    <row r="3321" spans="20:21" x14ac:dyDescent="0.3">
      <c r="T3321" t="str">
        <f>IF(ISERROR(MATCH('Analysis backend'!$M$1,E3321:N3321,0)),"",'Analysis backend'!$L$1)</f>
        <v/>
      </c>
      <c r="U3321" t="str">
        <f>IF(T3321='Analysis backend'!$L$1,IF(ISERROR(MATCH('Analysis backend'!$M$1,E3321:I3321,0)),"Dire","Radiant"),"")</f>
        <v/>
      </c>
    </row>
    <row r="3322" spans="20:21" x14ac:dyDescent="0.3">
      <c r="T3322" t="str">
        <f>IF(ISERROR(MATCH('Analysis backend'!$M$1,E3322:N3322,0)),"",'Analysis backend'!$L$1)</f>
        <v/>
      </c>
      <c r="U3322" t="str">
        <f>IF(T3322='Analysis backend'!$L$1,IF(ISERROR(MATCH('Analysis backend'!$M$1,E3322:I3322,0)),"Dire","Radiant"),"")</f>
        <v/>
      </c>
    </row>
    <row r="3323" spans="20:21" x14ac:dyDescent="0.3">
      <c r="T3323" t="str">
        <f>IF(ISERROR(MATCH('Analysis backend'!$M$1,E3323:N3323,0)),"",'Analysis backend'!$L$1)</f>
        <v/>
      </c>
      <c r="U3323" t="str">
        <f>IF(T3323='Analysis backend'!$L$1,IF(ISERROR(MATCH('Analysis backend'!$M$1,E3323:I3323,0)),"Dire","Radiant"),"")</f>
        <v/>
      </c>
    </row>
    <row r="3324" spans="20:21" x14ac:dyDescent="0.3">
      <c r="T3324" t="str">
        <f>IF(ISERROR(MATCH('Analysis backend'!$M$1,E3324:N3324,0)),"",'Analysis backend'!$L$1)</f>
        <v/>
      </c>
      <c r="U3324" t="str">
        <f>IF(T3324='Analysis backend'!$L$1,IF(ISERROR(MATCH('Analysis backend'!$M$1,E3324:I3324,0)),"Dire","Radiant"),"")</f>
        <v/>
      </c>
    </row>
    <row r="3325" spans="20:21" x14ac:dyDescent="0.3">
      <c r="T3325" t="str">
        <f>IF(ISERROR(MATCH('Analysis backend'!$M$1,E3325:N3325,0)),"",'Analysis backend'!$L$1)</f>
        <v/>
      </c>
      <c r="U3325" t="str">
        <f>IF(T3325='Analysis backend'!$L$1,IF(ISERROR(MATCH('Analysis backend'!$M$1,E3325:I3325,0)),"Dire","Radiant"),"")</f>
        <v/>
      </c>
    </row>
    <row r="3326" spans="20:21" x14ac:dyDescent="0.3">
      <c r="T3326" t="str">
        <f>IF(ISERROR(MATCH('Analysis backend'!$M$1,E3326:N3326,0)),"",'Analysis backend'!$L$1)</f>
        <v/>
      </c>
      <c r="U3326" t="str">
        <f>IF(T3326='Analysis backend'!$L$1,IF(ISERROR(MATCH('Analysis backend'!$M$1,E3326:I3326,0)),"Dire","Radiant"),"")</f>
        <v/>
      </c>
    </row>
    <row r="3327" spans="20:21" x14ac:dyDescent="0.3">
      <c r="T3327" t="str">
        <f>IF(ISERROR(MATCH('Analysis backend'!$M$1,E3327:N3327,0)),"",'Analysis backend'!$L$1)</f>
        <v/>
      </c>
      <c r="U3327" t="str">
        <f>IF(T3327='Analysis backend'!$L$1,IF(ISERROR(MATCH('Analysis backend'!$M$1,E3327:I3327,0)),"Dire","Radiant"),"")</f>
        <v/>
      </c>
    </row>
    <row r="3328" spans="20:21" x14ac:dyDescent="0.3">
      <c r="T3328" t="str">
        <f>IF(ISERROR(MATCH('Analysis backend'!$M$1,E3328:N3328,0)),"",'Analysis backend'!$L$1)</f>
        <v/>
      </c>
      <c r="U3328" t="str">
        <f>IF(T3328='Analysis backend'!$L$1,IF(ISERROR(MATCH('Analysis backend'!$M$1,E3328:I3328,0)),"Dire","Radiant"),"")</f>
        <v/>
      </c>
    </row>
    <row r="3329" spans="20:21" x14ac:dyDescent="0.3">
      <c r="T3329" t="str">
        <f>IF(ISERROR(MATCH('Analysis backend'!$M$1,E3329:N3329,0)),"",'Analysis backend'!$L$1)</f>
        <v/>
      </c>
      <c r="U3329" t="str">
        <f>IF(T3329='Analysis backend'!$L$1,IF(ISERROR(MATCH('Analysis backend'!$M$1,E3329:I3329,0)),"Dire","Radiant"),"")</f>
        <v/>
      </c>
    </row>
    <row r="3330" spans="20:21" x14ac:dyDescent="0.3">
      <c r="T3330" t="str">
        <f>IF(ISERROR(MATCH('Analysis backend'!$M$1,E3330:N3330,0)),"",'Analysis backend'!$L$1)</f>
        <v/>
      </c>
      <c r="U3330" t="str">
        <f>IF(T3330='Analysis backend'!$L$1,IF(ISERROR(MATCH('Analysis backend'!$M$1,E3330:I3330,0)),"Dire","Radiant"),"")</f>
        <v/>
      </c>
    </row>
    <row r="3331" spans="20:21" x14ac:dyDescent="0.3">
      <c r="T3331" t="str">
        <f>IF(ISERROR(MATCH('Analysis backend'!$M$1,E3331:N3331,0)),"",'Analysis backend'!$L$1)</f>
        <v/>
      </c>
      <c r="U3331" t="str">
        <f>IF(T3331='Analysis backend'!$L$1,IF(ISERROR(MATCH('Analysis backend'!$M$1,E3331:I3331,0)),"Dire","Radiant"),"")</f>
        <v/>
      </c>
    </row>
    <row r="3332" spans="20:21" x14ac:dyDescent="0.3">
      <c r="T3332" t="str">
        <f>IF(ISERROR(MATCH('Analysis backend'!$M$1,E3332:N3332,0)),"",'Analysis backend'!$L$1)</f>
        <v/>
      </c>
      <c r="U3332" t="str">
        <f>IF(T3332='Analysis backend'!$L$1,IF(ISERROR(MATCH('Analysis backend'!$M$1,E3332:I3332,0)),"Dire","Radiant"),"")</f>
        <v/>
      </c>
    </row>
    <row r="3333" spans="20:21" x14ac:dyDescent="0.3">
      <c r="T3333" t="str">
        <f>IF(ISERROR(MATCH('Analysis backend'!$M$1,E3333:N3333,0)),"",'Analysis backend'!$L$1)</f>
        <v/>
      </c>
      <c r="U3333" t="str">
        <f>IF(T3333='Analysis backend'!$L$1,IF(ISERROR(MATCH('Analysis backend'!$M$1,E3333:I3333,0)),"Dire","Radiant"),"")</f>
        <v/>
      </c>
    </row>
    <row r="3334" spans="20:21" x14ac:dyDescent="0.3">
      <c r="T3334" t="str">
        <f>IF(ISERROR(MATCH('Analysis backend'!$M$1,E3334:N3334,0)),"",'Analysis backend'!$L$1)</f>
        <v/>
      </c>
      <c r="U3334" t="str">
        <f>IF(T3334='Analysis backend'!$L$1,IF(ISERROR(MATCH('Analysis backend'!$M$1,E3334:I3334,0)),"Dire","Radiant"),"")</f>
        <v/>
      </c>
    </row>
    <row r="3335" spans="20:21" x14ac:dyDescent="0.3">
      <c r="T3335" t="str">
        <f>IF(ISERROR(MATCH('Analysis backend'!$M$1,E3335:N3335,0)),"",'Analysis backend'!$L$1)</f>
        <v/>
      </c>
      <c r="U3335" t="str">
        <f>IF(T3335='Analysis backend'!$L$1,IF(ISERROR(MATCH('Analysis backend'!$M$1,E3335:I3335,0)),"Dire","Radiant"),"")</f>
        <v/>
      </c>
    </row>
    <row r="3336" spans="20:21" x14ac:dyDescent="0.3">
      <c r="T3336" t="str">
        <f>IF(ISERROR(MATCH('Analysis backend'!$M$1,E3336:N3336,0)),"",'Analysis backend'!$L$1)</f>
        <v/>
      </c>
      <c r="U3336" t="str">
        <f>IF(T3336='Analysis backend'!$L$1,IF(ISERROR(MATCH('Analysis backend'!$M$1,E3336:I3336,0)),"Dire","Radiant"),"")</f>
        <v/>
      </c>
    </row>
    <row r="3337" spans="20:21" x14ac:dyDescent="0.3">
      <c r="T3337" t="str">
        <f>IF(ISERROR(MATCH('Analysis backend'!$M$1,E3337:N3337,0)),"",'Analysis backend'!$L$1)</f>
        <v/>
      </c>
      <c r="U3337" t="str">
        <f>IF(T3337='Analysis backend'!$L$1,IF(ISERROR(MATCH('Analysis backend'!$M$1,E3337:I3337,0)),"Dire","Radiant"),"")</f>
        <v/>
      </c>
    </row>
    <row r="3338" spans="20:21" x14ac:dyDescent="0.3">
      <c r="T3338" t="str">
        <f>IF(ISERROR(MATCH('Analysis backend'!$M$1,E3338:N3338,0)),"",'Analysis backend'!$L$1)</f>
        <v/>
      </c>
      <c r="U3338" t="str">
        <f>IF(T3338='Analysis backend'!$L$1,IF(ISERROR(MATCH('Analysis backend'!$M$1,E3338:I3338,0)),"Dire","Radiant"),"")</f>
        <v/>
      </c>
    </row>
    <row r="3339" spans="20:21" x14ac:dyDescent="0.3">
      <c r="T3339" t="str">
        <f>IF(ISERROR(MATCH('Analysis backend'!$M$1,E3339:N3339,0)),"",'Analysis backend'!$L$1)</f>
        <v/>
      </c>
      <c r="U3339" t="str">
        <f>IF(T3339='Analysis backend'!$L$1,IF(ISERROR(MATCH('Analysis backend'!$M$1,E3339:I3339,0)),"Dire","Radiant"),"")</f>
        <v/>
      </c>
    </row>
    <row r="3340" spans="20:21" x14ac:dyDescent="0.3">
      <c r="T3340" t="str">
        <f>IF(ISERROR(MATCH('Analysis backend'!$M$1,E3340:N3340,0)),"",'Analysis backend'!$L$1)</f>
        <v/>
      </c>
      <c r="U3340" t="str">
        <f>IF(T3340='Analysis backend'!$L$1,IF(ISERROR(MATCH('Analysis backend'!$M$1,E3340:I3340,0)),"Dire","Radiant"),"")</f>
        <v/>
      </c>
    </row>
    <row r="3341" spans="20:21" x14ac:dyDescent="0.3">
      <c r="T3341" t="str">
        <f>IF(ISERROR(MATCH('Analysis backend'!$M$1,E3341:N3341,0)),"",'Analysis backend'!$L$1)</f>
        <v/>
      </c>
      <c r="U3341" t="str">
        <f>IF(T3341='Analysis backend'!$L$1,IF(ISERROR(MATCH('Analysis backend'!$M$1,E3341:I3341,0)),"Dire","Radiant"),"")</f>
        <v/>
      </c>
    </row>
    <row r="3342" spans="20:21" x14ac:dyDescent="0.3">
      <c r="T3342" t="str">
        <f>IF(ISERROR(MATCH('Analysis backend'!$M$1,E3342:N3342,0)),"",'Analysis backend'!$L$1)</f>
        <v/>
      </c>
      <c r="U3342" t="str">
        <f>IF(T3342='Analysis backend'!$L$1,IF(ISERROR(MATCH('Analysis backend'!$M$1,E3342:I3342,0)),"Dire","Radiant"),"")</f>
        <v/>
      </c>
    </row>
    <row r="3343" spans="20:21" x14ac:dyDescent="0.3">
      <c r="T3343" t="str">
        <f>IF(ISERROR(MATCH('Analysis backend'!$M$1,E3343:N3343,0)),"",'Analysis backend'!$L$1)</f>
        <v/>
      </c>
      <c r="U3343" t="str">
        <f>IF(T3343='Analysis backend'!$L$1,IF(ISERROR(MATCH('Analysis backend'!$M$1,E3343:I3343,0)),"Dire","Radiant"),"")</f>
        <v/>
      </c>
    </row>
    <row r="3344" spans="20:21" x14ac:dyDescent="0.3">
      <c r="T3344" t="str">
        <f>IF(ISERROR(MATCH('Analysis backend'!$M$1,E3344:N3344,0)),"",'Analysis backend'!$L$1)</f>
        <v/>
      </c>
      <c r="U3344" t="str">
        <f>IF(T3344='Analysis backend'!$L$1,IF(ISERROR(MATCH('Analysis backend'!$M$1,E3344:I3344,0)),"Dire","Radiant"),"")</f>
        <v/>
      </c>
    </row>
    <row r="3345" spans="20:21" x14ac:dyDescent="0.3">
      <c r="T3345" t="str">
        <f>IF(ISERROR(MATCH('Analysis backend'!$M$1,E3345:N3345,0)),"",'Analysis backend'!$L$1)</f>
        <v/>
      </c>
      <c r="U3345" t="str">
        <f>IF(T3345='Analysis backend'!$L$1,IF(ISERROR(MATCH('Analysis backend'!$M$1,E3345:I3345,0)),"Dire","Radiant"),"")</f>
        <v/>
      </c>
    </row>
    <row r="3346" spans="20:21" x14ac:dyDescent="0.3">
      <c r="T3346" t="str">
        <f>IF(ISERROR(MATCH('Analysis backend'!$M$1,E3346:N3346,0)),"",'Analysis backend'!$L$1)</f>
        <v/>
      </c>
      <c r="U3346" t="str">
        <f>IF(T3346='Analysis backend'!$L$1,IF(ISERROR(MATCH('Analysis backend'!$M$1,E3346:I3346,0)),"Dire","Radiant"),"")</f>
        <v/>
      </c>
    </row>
    <row r="3347" spans="20:21" x14ac:dyDescent="0.3">
      <c r="T3347" t="str">
        <f>IF(ISERROR(MATCH('Analysis backend'!$M$1,E3347:N3347,0)),"",'Analysis backend'!$L$1)</f>
        <v/>
      </c>
      <c r="U3347" t="str">
        <f>IF(T3347='Analysis backend'!$L$1,IF(ISERROR(MATCH('Analysis backend'!$M$1,E3347:I3347,0)),"Dire","Radiant"),"")</f>
        <v/>
      </c>
    </row>
    <row r="3348" spans="20:21" x14ac:dyDescent="0.3">
      <c r="T3348" t="str">
        <f>IF(ISERROR(MATCH('Analysis backend'!$M$1,E3348:N3348,0)),"",'Analysis backend'!$L$1)</f>
        <v/>
      </c>
      <c r="U3348" t="str">
        <f>IF(T3348='Analysis backend'!$L$1,IF(ISERROR(MATCH('Analysis backend'!$M$1,E3348:I3348,0)),"Dire","Radiant"),"")</f>
        <v/>
      </c>
    </row>
    <row r="3349" spans="20:21" x14ac:dyDescent="0.3">
      <c r="T3349" t="str">
        <f>IF(ISERROR(MATCH('Analysis backend'!$M$1,E3349:N3349,0)),"",'Analysis backend'!$L$1)</f>
        <v/>
      </c>
      <c r="U3349" t="str">
        <f>IF(T3349='Analysis backend'!$L$1,IF(ISERROR(MATCH('Analysis backend'!$M$1,E3349:I3349,0)),"Dire","Radiant"),"")</f>
        <v/>
      </c>
    </row>
    <row r="3350" spans="20:21" x14ac:dyDescent="0.3">
      <c r="T3350" t="str">
        <f>IF(ISERROR(MATCH('Analysis backend'!$M$1,E3350:N3350,0)),"",'Analysis backend'!$L$1)</f>
        <v/>
      </c>
      <c r="U3350" t="str">
        <f>IF(T3350='Analysis backend'!$L$1,IF(ISERROR(MATCH('Analysis backend'!$M$1,E3350:I3350,0)),"Dire","Radiant"),"")</f>
        <v/>
      </c>
    </row>
    <row r="3351" spans="20:21" x14ac:dyDescent="0.3">
      <c r="T3351" t="str">
        <f>IF(ISERROR(MATCH('Analysis backend'!$M$1,E3351:N3351,0)),"",'Analysis backend'!$L$1)</f>
        <v/>
      </c>
      <c r="U3351" t="str">
        <f>IF(T3351='Analysis backend'!$L$1,IF(ISERROR(MATCH('Analysis backend'!$M$1,E3351:I3351,0)),"Dire","Radiant"),"")</f>
        <v/>
      </c>
    </row>
    <row r="3352" spans="20:21" x14ac:dyDescent="0.3">
      <c r="T3352" t="str">
        <f>IF(ISERROR(MATCH('Analysis backend'!$M$1,E3352:N3352,0)),"",'Analysis backend'!$L$1)</f>
        <v/>
      </c>
      <c r="U3352" t="str">
        <f>IF(T3352='Analysis backend'!$L$1,IF(ISERROR(MATCH('Analysis backend'!$M$1,E3352:I3352,0)),"Dire","Radiant"),"")</f>
        <v/>
      </c>
    </row>
    <row r="3353" spans="20:21" x14ac:dyDescent="0.3">
      <c r="T3353" t="str">
        <f>IF(ISERROR(MATCH('Analysis backend'!$M$1,E3353:N3353,0)),"",'Analysis backend'!$L$1)</f>
        <v/>
      </c>
      <c r="U3353" t="str">
        <f>IF(T3353='Analysis backend'!$L$1,IF(ISERROR(MATCH('Analysis backend'!$M$1,E3353:I3353,0)),"Dire","Radiant"),"")</f>
        <v/>
      </c>
    </row>
    <row r="3354" spans="20:21" x14ac:dyDescent="0.3">
      <c r="T3354" t="str">
        <f>IF(ISERROR(MATCH('Analysis backend'!$M$1,E3354:N3354,0)),"",'Analysis backend'!$L$1)</f>
        <v/>
      </c>
      <c r="U3354" t="str">
        <f>IF(T3354='Analysis backend'!$L$1,IF(ISERROR(MATCH('Analysis backend'!$M$1,E3354:I3354,0)),"Dire","Radiant"),"")</f>
        <v/>
      </c>
    </row>
    <row r="3355" spans="20:21" x14ac:dyDescent="0.3">
      <c r="T3355" t="str">
        <f>IF(ISERROR(MATCH('Analysis backend'!$M$1,E3355:N3355,0)),"",'Analysis backend'!$L$1)</f>
        <v/>
      </c>
      <c r="U3355" t="str">
        <f>IF(T3355='Analysis backend'!$L$1,IF(ISERROR(MATCH('Analysis backend'!$M$1,E3355:I3355,0)),"Dire","Radiant"),"")</f>
        <v/>
      </c>
    </row>
    <row r="3356" spans="20:21" x14ac:dyDescent="0.3">
      <c r="T3356" t="str">
        <f>IF(ISERROR(MATCH('Analysis backend'!$M$1,E3356:N3356,0)),"",'Analysis backend'!$L$1)</f>
        <v/>
      </c>
      <c r="U3356" t="str">
        <f>IF(T3356='Analysis backend'!$L$1,IF(ISERROR(MATCH('Analysis backend'!$M$1,E3356:I3356,0)),"Dire","Radiant"),"")</f>
        <v/>
      </c>
    </row>
    <row r="3357" spans="20:21" x14ac:dyDescent="0.3">
      <c r="T3357" t="str">
        <f>IF(ISERROR(MATCH('Analysis backend'!$M$1,E3357:N3357,0)),"",'Analysis backend'!$L$1)</f>
        <v/>
      </c>
      <c r="U3357" t="str">
        <f>IF(T3357='Analysis backend'!$L$1,IF(ISERROR(MATCH('Analysis backend'!$M$1,E3357:I3357,0)),"Dire","Radiant"),"")</f>
        <v/>
      </c>
    </row>
    <row r="3358" spans="20:21" x14ac:dyDescent="0.3">
      <c r="T3358" t="str">
        <f>IF(ISERROR(MATCH('Analysis backend'!$M$1,E3358:N3358,0)),"",'Analysis backend'!$L$1)</f>
        <v/>
      </c>
      <c r="U3358" t="str">
        <f>IF(T3358='Analysis backend'!$L$1,IF(ISERROR(MATCH('Analysis backend'!$M$1,E3358:I3358,0)),"Dire","Radiant"),"")</f>
        <v/>
      </c>
    </row>
    <row r="3359" spans="20:21" x14ac:dyDescent="0.3">
      <c r="T3359" t="str">
        <f>IF(ISERROR(MATCH('Analysis backend'!$M$1,E3359:N3359,0)),"",'Analysis backend'!$L$1)</f>
        <v/>
      </c>
      <c r="U3359" t="str">
        <f>IF(T3359='Analysis backend'!$L$1,IF(ISERROR(MATCH('Analysis backend'!$M$1,E3359:I3359,0)),"Dire","Radiant"),"")</f>
        <v/>
      </c>
    </row>
    <row r="3360" spans="20:21" x14ac:dyDescent="0.3">
      <c r="T3360" t="str">
        <f>IF(ISERROR(MATCH('Analysis backend'!$M$1,E3360:N3360,0)),"",'Analysis backend'!$L$1)</f>
        <v/>
      </c>
      <c r="U3360" t="str">
        <f>IF(T3360='Analysis backend'!$L$1,IF(ISERROR(MATCH('Analysis backend'!$M$1,E3360:I3360,0)),"Dire","Radiant"),"")</f>
        <v/>
      </c>
    </row>
    <row r="3361" spans="20:21" x14ac:dyDescent="0.3">
      <c r="T3361" t="str">
        <f>IF(ISERROR(MATCH('Analysis backend'!$M$1,E3361:N3361,0)),"",'Analysis backend'!$L$1)</f>
        <v/>
      </c>
      <c r="U3361" t="str">
        <f>IF(T3361='Analysis backend'!$L$1,IF(ISERROR(MATCH('Analysis backend'!$M$1,E3361:I3361,0)),"Dire","Radiant"),"")</f>
        <v/>
      </c>
    </row>
    <row r="3362" spans="20:21" x14ac:dyDescent="0.3">
      <c r="T3362" t="str">
        <f>IF(ISERROR(MATCH('Analysis backend'!$M$1,E3362:N3362,0)),"",'Analysis backend'!$L$1)</f>
        <v/>
      </c>
      <c r="U3362" t="str">
        <f>IF(T3362='Analysis backend'!$L$1,IF(ISERROR(MATCH('Analysis backend'!$M$1,E3362:I3362,0)),"Dire","Radiant"),"")</f>
        <v/>
      </c>
    </row>
    <row r="3363" spans="20:21" x14ac:dyDescent="0.3">
      <c r="T3363" t="str">
        <f>IF(ISERROR(MATCH('Analysis backend'!$M$1,E3363:N3363,0)),"",'Analysis backend'!$L$1)</f>
        <v/>
      </c>
      <c r="U3363" t="str">
        <f>IF(T3363='Analysis backend'!$L$1,IF(ISERROR(MATCH('Analysis backend'!$M$1,E3363:I3363,0)),"Dire","Radiant"),"")</f>
        <v/>
      </c>
    </row>
    <row r="3364" spans="20:21" x14ac:dyDescent="0.3">
      <c r="T3364" t="str">
        <f>IF(ISERROR(MATCH('Analysis backend'!$M$1,E3364:N3364,0)),"",'Analysis backend'!$L$1)</f>
        <v/>
      </c>
      <c r="U3364" t="str">
        <f>IF(T3364='Analysis backend'!$L$1,IF(ISERROR(MATCH('Analysis backend'!$M$1,E3364:I3364,0)),"Dire","Radiant"),"")</f>
        <v/>
      </c>
    </row>
    <row r="3365" spans="20:21" x14ac:dyDescent="0.3">
      <c r="T3365" t="str">
        <f>IF(ISERROR(MATCH('Analysis backend'!$M$1,E3365:N3365,0)),"",'Analysis backend'!$L$1)</f>
        <v/>
      </c>
      <c r="U3365" t="str">
        <f>IF(T3365='Analysis backend'!$L$1,IF(ISERROR(MATCH('Analysis backend'!$M$1,E3365:I3365,0)),"Dire","Radiant"),"")</f>
        <v/>
      </c>
    </row>
    <row r="3366" spans="20:21" x14ac:dyDescent="0.3">
      <c r="T3366" t="str">
        <f>IF(ISERROR(MATCH('Analysis backend'!$M$1,E3366:N3366,0)),"",'Analysis backend'!$L$1)</f>
        <v/>
      </c>
      <c r="U3366" t="str">
        <f>IF(T3366='Analysis backend'!$L$1,IF(ISERROR(MATCH('Analysis backend'!$M$1,E3366:I3366,0)),"Dire","Radiant"),"")</f>
        <v/>
      </c>
    </row>
    <row r="3367" spans="20:21" x14ac:dyDescent="0.3">
      <c r="T3367" t="str">
        <f>IF(ISERROR(MATCH('Analysis backend'!$M$1,E3367:N3367,0)),"",'Analysis backend'!$L$1)</f>
        <v/>
      </c>
      <c r="U3367" t="str">
        <f>IF(T3367='Analysis backend'!$L$1,IF(ISERROR(MATCH('Analysis backend'!$M$1,E3367:I3367,0)),"Dire","Radiant"),"")</f>
        <v/>
      </c>
    </row>
    <row r="3368" spans="20:21" x14ac:dyDescent="0.3">
      <c r="T3368" t="str">
        <f>IF(ISERROR(MATCH('Analysis backend'!$M$1,E3368:N3368,0)),"",'Analysis backend'!$L$1)</f>
        <v/>
      </c>
      <c r="U3368" t="str">
        <f>IF(T3368='Analysis backend'!$L$1,IF(ISERROR(MATCH('Analysis backend'!$M$1,E3368:I3368,0)),"Dire","Radiant"),"")</f>
        <v/>
      </c>
    </row>
    <row r="3369" spans="20:21" x14ac:dyDescent="0.3">
      <c r="T3369" t="str">
        <f>IF(ISERROR(MATCH('Analysis backend'!$M$1,E3369:N3369,0)),"",'Analysis backend'!$L$1)</f>
        <v/>
      </c>
      <c r="U3369" t="str">
        <f>IF(T3369='Analysis backend'!$L$1,IF(ISERROR(MATCH('Analysis backend'!$M$1,E3369:I3369,0)),"Dire","Radiant"),"")</f>
        <v/>
      </c>
    </row>
    <row r="3370" spans="20:21" x14ac:dyDescent="0.3">
      <c r="T3370" t="str">
        <f>IF(ISERROR(MATCH('Analysis backend'!$M$1,E3370:N3370,0)),"",'Analysis backend'!$L$1)</f>
        <v/>
      </c>
      <c r="U3370" t="str">
        <f>IF(T3370='Analysis backend'!$L$1,IF(ISERROR(MATCH('Analysis backend'!$M$1,E3370:I3370,0)),"Dire","Radiant"),"")</f>
        <v/>
      </c>
    </row>
    <row r="3371" spans="20:21" x14ac:dyDescent="0.3">
      <c r="T3371" t="str">
        <f>IF(ISERROR(MATCH('Analysis backend'!$M$1,E3371:N3371,0)),"",'Analysis backend'!$L$1)</f>
        <v/>
      </c>
      <c r="U3371" t="str">
        <f>IF(T3371='Analysis backend'!$L$1,IF(ISERROR(MATCH('Analysis backend'!$M$1,E3371:I3371,0)),"Dire","Radiant"),"")</f>
        <v/>
      </c>
    </row>
    <row r="3372" spans="20:21" x14ac:dyDescent="0.3">
      <c r="T3372" t="str">
        <f>IF(ISERROR(MATCH('Analysis backend'!$M$1,E3372:N3372,0)),"",'Analysis backend'!$L$1)</f>
        <v/>
      </c>
      <c r="U3372" t="str">
        <f>IF(T3372='Analysis backend'!$L$1,IF(ISERROR(MATCH('Analysis backend'!$M$1,E3372:I3372,0)),"Dire","Radiant"),"")</f>
        <v/>
      </c>
    </row>
    <row r="3373" spans="20:21" x14ac:dyDescent="0.3">
      <c r="T3373" t="str">
        <f>IF(ISERROR(MATCH('Analysis backend'!$M$1,E3373:N3373,0)),"",'Analysis backend'!$L$1)</f>
        <v/>
      </c>
      <c r="U3373" t="str">
        <f>IF(T3373='Analysis backend'!$L$1,IF(ISERROR(MATCH('Analysis backend'!$M$1,E3373:I3373,0)),"Dire","Radiant"),"")</f>
        <v/>
      </c>
    </row>
    <row r="3374" spans="20:21" x14ac:dyDescent="0.3">
      <c r="T3374" t="str">
        <f>IF(ISERROR(MATCH('Analysis backend'!$M$1,E3374:N3374,0)),"",'Analysis backend'!$L$1)</f>
        <v/>
      </c>
      <c r="U3374" t="str">
        <f>IF(T3374='Analysis backend'!$L$1,IF(ISERROR(MATCH('Analysis backend'!$M$1,E3374:I3374,0)),"Dire","Radiant"),"")</f>
        <v/>
      </c>
    </row>
    <row r="3375" spans="20:21" x14ac:dyDescent="0.3">
      <c r="T3375" t="str">
        <f>IF(ISERROR(MATCH('Analysis backend'!$M$1,E3375:N3375,0)),"",'Analysis backend'!$L$1)</f>
        <v/>
      </c>
      <c r="U3375" t="str">
        <f>IF(T3375='Analysis backend'!$L$1,IF(ISERROR(MATCH('Analysis backend'!$M$1,E3375:I3375,0)),"Dire","Radiant"),"")</f>
        <v/>
      </c>
    </row>
    <row r="3376" spans="20:21" x14ac:dyDescent="0.3">
      <c r="T3376" t="str">
        <f>IF(ISERROR(MATCH('Analysis backend'!$M$1,E3376:N3376,0)),"",'Analysis backend'!$L$1)</f>
        <v/>
      </c>
      <c r="U3376" t="str">
        <f>IF(T3376='Analysis backend'!$L$1,IF(ISERROR(MATCH('Analysis backend'!$M$1,E3376:I3376,0)),"Dire","Radiant"),"")</f>
        <v/>
      </c>
    </row>
    <row r="3377" spans="20:21" x14ac:dyDescent="0.3">
      <c r="T3377" t="str">
        <f>IF(ISERROR(MATCH('Analysis backend'!$M$1,E3377:N3377,0)),"",'Analysis backend'!$L$1)</f>
        <v/>
      </c>
      <c r="U3377" t="str">
        <f>IF(T3377='Analysis backend'!$L$1,IF(ISERROR(MATCH('Analysis backend'!$M$1,E3377:I3377,0)),"Dire","Radiant"),"")</f>
        <v/>
      </c>
    </row>
    <row r="3378" spans="20:21" x14ac:dyDescent="0.3">
      <c r="T3378" t="str">
        <f>IF(ISERROR(MATCH('Analysis backend'!$M$1,E3378:N3378,0)),"",'Analysis backend'!$L$1)</f>
        <v/>
      </c>
      <c r="U3378" t="str">
        <f>IF(T3378='Analysis backend'!$L$1,IF(ISERROR(MATCH('Analysis backend'!$M$1,E3378:I3378,0)),"Dire","Radiant"),"")</f>
        <v/>
      </c>
    </row>
    <row r="3379" spans="20:21" x14ac:dyDescent="0.3">
      <c r="T3379" t="str">
        <f>IF(ISERROR(MATCH('Analysis backend'!$M$1,E3379:N3379,0)),"",'Analysis backend'!$L$1)</f>
        <v/>
      </c>
      <c r="U3379" t="str">
        <f>IF(T3379='Analysis backend'!$L$1,IF(ISERROR(MATCH('Analysis backend'!$M$1,E3379:I3379,0)),"Dire","Radiant"),"")</f>
        <v/>
      </c>
    </row>
    <row r="3380" spans="20:21" x14ac:dyDescent="0.3">
      <c r="T3380" t="str">
        <f>IF(ISERROR(MATCH('Analysis backend'!$M$1,E3380:N3380,0)),"",'Analysis backend'!$L$1)</f>
        <v/>
      </c>
      <c r="U3380" t="str">
        <f>IF(T3380='Analysis backend'!$L$1,IF(ISERROR(MATCH('Analysis backend'!$M$1,E3380:I3380,0)),"Dire","Radiant"),"")</f>
        <v/>
      </c>
    </row>
    <row r="3381" spans="20:21" x14ac:dyDescent="0.3">
      <c r="T3381" t="str">
        <f>IF(ISERROR(MATCH('Analysis backend'!$M$1,E3381:N3381,0)),"",'Analysis backend'!$L$1)</f>
        <v/>
      </c>
      <c r="U3381" t="str">
        <f>IF(T3381='Analysis backend'!$L$1,IF(ISERROR(MATCH('Analysis backend'!$M$1,E3381:I3381,0)),"Dire","Radiant"),"")</f>
        <v/>
      </c>
    </row>
    <row r="3382" spans="20:21" x14ac:dyDescent="0.3">
      <c r="T3382" t="str">
        <f>IF(ISERROR(MATCH('Analysis backend'!$M$1,E3382:N3382,0)),"",'Analysis backend'!$L$1)</f>
        <v/>
      </c>
      <c r="U3382" t="str">
        <f>IF(T3382='Analysis backend'!$L$1,IF(ISERROR(MATCH('Analysis backend'!$M$1,E3382:I3382,0)),"Dire","Radiant"),"")</f>
        <v/>
      </c>
    </row>
    <row r="3383" spans="20:21" x14ac:dyDescent="0.3">
      <c r="T3383" t="str">
        <f>IF(ISERROR(MATCH('Analysis backend'!$M$1,E3383:N3383,0)),"",'Analysis backend'!$L$1)</f>
        <v/>
      </c>
      <c r="U3383" t="str">
        <f>IF(T3383='Analysis backend'!$L$1,IF(ISERROR(MATCH('Analysis backend'!$M$1,E3383:I3383,0)),"Dire","Radiant"),"")</f>
        <v/>
      </c>
    </row>
    <row r="3384" spans="20:21" x14ac:dyDescent="0.3">
      <c r="T3384" t="str">
        <f>IF(ISERROR(MATCH('Analysis backend'!$M$1,E3384:N3384,0)),"",'Analysis backend'!$L$1)</f>
        <v/>
      </c>
      <c r="U3384" t="str">
        <f>IF(T3384='Analysis backend'!$L$1,IF(ISERROR(MATCH('Analysis backend'!$M$1,E3384:I3384,0)),"Dire","Radiant"),"")</f>
        <v/>
      </c>
    </row>
    <row r="3385" spans="20:21" x14ac:dyDescent="0.3">
      <c r="T3385" t="str">
        <f>IF(ISERROR(MATCH('Analysis backend'!$M$1,E3385:N3385,0)),"",'Analysis backend'!$L$1)</f>
        <v/>
      </c>
      <c r="U3385" t="str">
        <f>IF(T3385='Analysis backend'!$L$1,IF(ISERROR(MATCH('Analysis backend'!$M$1,E3385:I3385,0)),"Dire","Radiant"),"")</f>
        <v/>
      </c>
    </row>
    <row r="3386" spans="20:21" x14ac:dyDescent="0.3">
      <c r="T3386" t="str">
        <f>IF(ISERROR(MATCH('Analysis backend'!$M$1,E3386:N3386,0)),"",'Analysis backend'!$L$1)</f>
        <v/>
      </c>
      <c r="U3386" t="str">
        <f>IF(T3386='Analysis backend'!$L$1,IF(ISERROR(MATCH('Analysis backend'!$M$1,E3386:I3386,0)),"Dire","Radiant"),"")</f>
        <v/>
      </c>
    </row>
    <row r="3387" spans="20:21" x14ac:dyDescent="0.3">
      <c r="T3387" t="str">
        <f>IF(ISERROR(MATCH('Analysis backend'!$M$1,E3387:N3387,0)),"",'Analysis backend'!$L$1)</f>
        <v/>
      </c>
      <c r="U3387" t="str">
        <f>IF(T3387='Analysis backend'!$L$1,IF(ISERROR(MATCH('Analysis backend'!$M$1,E3387:I3387,0)),"Dire","Radiant"),"")</f>
        <v/>
      </c>
    </row>
    <row r="3388" spans="20:21" x14ac:dyDescent="0.3">
      <c r="T3388" t="str">
        <f>IF(ISERROR(MATCH('Analysis backend'!$M$1,E3388:N3388,0)),"",'Analysis backend'!$L$1)</f>
        <v/>
      </c>
      <c r="U3388" t="str">
        <f>IF(T3388='Analysis backend'!$L$1,IF(ISERROR(MATCH('Analysis backend'!$M$1,E3388:I3388,0)),"Dire","Radiant"),"")</f>
        <v/>
      </c>
    </row>
    <row r="3389" spans="20:21" x14ac:dyDescent="0.3">
      <c r="T3389" t="str">
        <f>IF(ISERROR(MATCH('Analysis backend'!$M$1,E3389:N3389,0)),"",'Analysis backend'!$L$1)</f>
        <v/>
      </c>
      <c r="U3389" t="str">
        <f>IF(T3389='Analysis backend'!$L$1,IF(ISERROR(MATCH('Analysis backend'!$M$1,E3389:I3389,0)),"Dire","Radiant"),"")</f>
        <v/>
      </c>
    </row>
    <row r="3390" spans="20:21" x14ac:dyDescent="0.3">
      <c r="T3390" t="str">
        <f>IF(ISERROR(MATCH('Analysis backend'!$M$1,E3390:N3390,0)),"",'Analysis backend'!$L$1)</f>
        <v/>
      </c>
      <c r="U3390" t="str">
        <f>IF(T3390='Analysis backend'!$L$1,IF(ISERROR(MATCH('Analysis backend'!$M$1,E3390:I3390,0)),"Dire","Radiant"),"")</f>
        <v/>
      </c>
    </row>
    <row r="3391" spans="20:21" x14ac:dyDescent="0.3">
      <c r="T3391" t="str">
        <f>IF(ISERROR(MATCH('Analysis backend'!$M$1,E3391:N3391,0)),"",'Analysis backend'!$L$1)</f>
        <v/>
      </c>
      <c r="U3391" t="str">
        <f>IF(T3391='Analysis backend'!$L$1,IF(ISERROR(MATCH('Analysis backend'!$M$1,E3391:I3391,0)),"Dire","Radiant"),"")</f>
        <v/>
      </c>
    </row>
    <row r="3392" spans="20:21" x14ac:dyDescent="0.3">
      <c r="T3392" t="str">
        <f>IF(ISERROR(MATCH('Analysis backend'!$M$1,E3392:N3392,0)),"",'Analysis backend'!$L$1)</f>
        <v/>
      </c>
      <c r="U3392" t="str">
        <f>IF(T3392='Analysis backend'!$L$1,IF(ISERROR(MATCH('Analysis backend'!$M$1,E3392:I3392,0)),"Dire","Radiant"),"")</f>
        <v/>
      </c>
    </row>
    <row r="3393" spans="20:21" x14ac:dyDescent="0.3">
      <c r="T3393" t="str">
        <f>IF(ISERROR(MATCH('Analysis backend'!$M$1,E3393:N3393,0)),"",'Analysis backend'!$L$1)</f>
        <v/>
      </c>
      <c r="U3393" t="str">
        <f>IF(T3393='Analysis backend'!$L$1,IF(ISERROR(MATCH('Analysis backend'!$M$1,E3393:I3393,0)),"Dire","Radiant"),"")</f>
        <v/>
      </c>
    </row>
    <row r="3394" spans="20:21" x14ac:dyDescent="0.3">
      <c r="T3394" t="str">
        <f>IF(ISERROR(MATCH('Analysis backend'!$M$1,E3394:N3394,0)),"",'Analysis backend'!$L$1)</f>
        <v/>
      </c>
      <c r="U3394" t="str">
        <f>IF(T3394='Analysis backend'!$L$1,IF(ISERROR(MATCH('Analysis backend'!$M$1,E3394:I3394,0)),"Dire","Radiant"),"")</f>
        <v/>
      </c>
    </row>
    <row r="3395" spans="20:21" x14ac:dyDescent="0.3">
      <c r="T3395" t="str">
        <f>IF(ISERROR(MATCH('Analysis backend'!$M$1,E3395:N3395,0)),"",'Analysis backend'!$L$1)</f>
        <v/>
      </c>
      <c r="U3395" t="str">
        <f>IF(T3395='Analysis backend'!$L$1,IF(ISERROR(MATCH('Analysis backend'!$M$1,E3395:I3395,0)),"Dire","Radiant"),"")</f>
        <v/>
      </c>
    </row>
    <row r="3396" spans="20:21" x14ac:dyDescent="0.3">
      <c r="T3396" t="str">
        <f>IF(ISERROR(MATCH('Analysis backend'!$M$1,E3396:N3396,0)),"",'Analysis backend'!$L$1)</f>
        <v/>
      </c>
      <c r="U3396" t="str">
        <f>IF(T3396='Analysis backend'!$L$1,IF(ISERROR(MATCH('Analysis backend'!$M$1,E3396:I3396,0)),"Dire","Radiant"),"")</f>
        <v/>
      </c>
    </row>
    <row r="3397" spans="20:21" x14ac:dyDescent="0.3">
      <c r="T3397" t="str">
        <f>IF(ISERROR(MATCH('Analysis backend'!$M$1,E3397:N3397,0)),"",'Analysis backend'!$L$1)</f>
        <v/>
      </c>
      <c r="U3397" t="str">
        <f>IF(T3397='Analysis backend'!$L$1,IF(ISERROR(MATCH('Analysis backend'!$M$1,E3397:I3397,0)),"Dire","Radiant"),"")</f>
        <v/>
      </c>
    </row>
    <row r="3398" spans="20:21" x14ac:dyDescent="0.3">
      <c r="T3398" t="str">
        <f>IF(ISERROR(MATCH('Analysis backend'!$M$1,E3398:N3398,0)),"",'Analysis backend'!$L$1)</f>
        <v/>
      </c>
      <c r="U3398" t="str">
        <f>IF(T3398='Analysis backend'!$L$1,IF(ISERROR(MATCH('Analysis backend'!$M$1,E3398:I3398,0)),"Dire","Radiant"),"")</f>
        <v/>
      </c>
    </row>
    <row r="3399" spans="20:21" x14ac:dyDescent="0.3">
      <c r="T3399" t="str">
        <f>IF(ISERROR(MATCH('Analysis backend'!$M$1,E3399:N3399,0)),"",'Analysis backend'!$L$1)</f>
        <v/>
      </c>
      <c r="U3399" t="str">
        <f>IF(T3399='Analysis backend'!$L$1,IF(ISERROR(MATCH('Analysis backend'!$M$1,E3399:I3399,0)),"Dire","Radiant"),"")</f>
        <v/>
      </c>
    </row>
    <row r="3400" spans="20:21" x14ac:dyDescent="0.3">
      <c r="T3400" t="str">
        <f>IF(ISERROR(MATCH('Analysis backend'!$M$1,E3400:N3400,0)),"",'Analysis backend'!$L$1)</f>
        <v/>
      </c>
      <c r="U3400" t="str">
        <f>IF(T3400='Analysis backend'!$L$1,IF(ISERROR(MATCH('Analysis backend'!$M$1,E3400:I3400,0)),"Dire","Radiant"),"")</f>
        <v/>
      </c>
    </row>
    <row r="3401" spans="20:21" x14ac:dyDescent="0.3">
      <c r="T3401" t="str">
        <f>IF(ISERROR(MATCH('Analysis backend'!$M$1,E3401:N3401,0)),"",'Analysis backend'!$L$1)</f>
        <v/>
      </c>
      <c r="U3401" t="str">
        <f>IF(T3401='Analysis backend'!$L$1,IF(ISERROR(MATCH('Analysis backend'!$M$1,E3401:I3401,0)),"Dire","Radiant"),"")</f>
        <v/>
      </c>
    </row>
    <row r="3402" spans="20:21" x14ac:dyDescent="0.3">
      <c r="T3402" t="str">
        <f>IF(ISERROR(MATCH('Analysis backend'!$M$1,E3402:N3402,0)),"",'Analysis backend'!$L$1)</f>
        <v/>
      </c>
      <c r="U3402" t="str">
        <f>IF(T3402='Analysis backend'!$L$1,IF(ISERROR(MATCH('Analysis backend'!$M$1,E3402:I3402,0)),"Dire","Radiant"),"")</f>
        <v/>
      </c>
    </row>
    <row r="3403" spans="20:21" x14ac:dyDescent="0.3">
      <c r="T3403" t="str">
        <f>IF(ISERROR(MATCH('Analysis backend'!$M$1,E3403:N3403,0)),"",'Analysis backend'!$L$1)</f>
        <v/>
      </c>
      <c r="U3403" t="str">
        <f>IF(T3403='Analysis backend'!$L$1,IF(ISERROR(MATCH('Analysis backend'!$M$1,E3403:I3403,0)),"Dire","Radiant"),"")</f>
        <v/>
      </c>
    </row>
    <row r="3404" spans="20:21" x14ac:dyDescent="0.3">
      <c r="T3404" t="str">
        <f>IF(ISERROR(MATCH('Analysis backend'!$M$1,E3404:N3404,0)),"",'Analysis backend'!$L$1)</f>
        <v/>
      </c>
      <c r="U3404" t="str">
        <f>IF(T3404='Analysis backend'!$L$1,IF(ISERROR(MATCH('Analysis backend'!$M$1,E3404:I3404,0)),"Dire","Radiant"),"")</f>
        <v/>
      </c>
    </row>
    <row r="3405" spans="20:21" x14ac:dyDescent="0.3">
      <c r="T3405" t="str">
        <f>IF(ISERROR(MATCH('Analysis backend'!$M$1,E3405:N3405,0)),"",'Analysis backend'!$L$1)</f>
        <v/>
      </c>
      <c r="U3405" t="str">
        <f>IF(T3405='Analysis backend'!$L$1,IF(ISERROR(MATCH('Analysis backend'!$M$1,E3405:I3405,0)),"Dire","Radiant"),"")</f>
        <v/>
      </c>
    </row>
    <row r="3406" spans="20:21" x14ac:dyDescent="0.3">
      <c r="T3406" t="str">
        <f>IF(ISERROR(MATCH('Analysis backend'!$M$1,E3406:N3406,0)),"",'Analysis backend'!$L$1)</f>
        <v/>
      </c>
      <c r="U3406" t="str">
        <f>IF(T3406='Analysis backend'!$L$1,IF(ISERROR(MATCH('Analysis backend'!$M$1,E3406:I3406,0)),"Dire","Radiant"),"")</f>
        <v/>
      </c>
    </row>
    <row r="3407" spans="20:21" x14ac:dyDescent="0.3">
      <c r="T3407" t="str">
        <f>IF(ISERROR(MATCH('Analysis backend'!$M$1,E3407:N3407,0)),"",'Analysis backend'!$L$1)</f>
        <v/>
      </c>
      <c r="U3407" t="str">
        <f>IF(T3407='Analysis backend'!$L$1,IF(ISERROR(MATCH('Analysis backend'!$M$1,E3407:I3407,0)),"Dire","Radiant"),"")</f>
        <v/>
      </c>
    </row>
    <row r="3408" spans="20:21" x14ac:dyDescent="0.3">
      <c r="T3408" t="str">
        <f>IF(ISERROR(MATCH('Analysis backend'!$M$1,E3408:N3408,0)),"",'Analysis backend'!$L$1)</f>
        <v/>
      </c>
      <c r="U3408" t="str">
        <f>IF(T3408='Analysis backend'!$L$1,IF(ISERROR(MATCH('Analysis backend'!$M$1,E3408:I3408,0)),"Dire","Radiant"),"")</f>
        <v/>
      </c>
    </row>
    <row r="3409" spans="20:21" x14ac:dyDescent="0.3">
      <c r="T3409" t="str">
        <f>IF(ISERROR(MATCH('Analysis backend'!$M$1,E3409:N3409,0)),"",'Analysis backend'!$L$1)</f>
        <v/>
      </c>
      <c r="U3409" t="str">
        <f>IF(T3409='Analysis backend'!$L$1,IF(ISERROR(MATCH('Analysis backend'!$M$1,E3409:I3409,0)),"Dire","Radiant"),"")</f>
        <v/>
      </c>
    </row>
    <row r="3410" spans="20:21" x14ac:dyDescent="0.3">
      <c r="T3410" t="str">
        <f>IF(ISERROR(MATCH('Analysis backend'!$M$1,E3410:N3410,0)),"",'Analysis backend'!$L$1)</f>
        <v/>
      </c>
      <c r="U3410" t="str">
        <f>IF(T3410='Analysis backend'!$L$1,IF(ISERROR(MATCH('Analysis backend'!$M$1,E3410:I3410,0)),"Dire","Radiant"),"")</f>
        <v/>
      </c>
    </row>
    <row r="3411" spans="20:21" x14ac:dyDescent="0.3">
      <c r="T3411" t="str">
        <f>IF(ISERROR(MATCH('Analysis backend'!$M$1,E3411:N3411,0)),"",'Analysis backend'!$L$1)</f>
        <v/>
      </c>
      <c r="U3411" t="str">
        <f>IF(T3411='Analysis backend'!$L$1,IF(ISERROR(MATCH('Analysis backend'!$M$1,E3411:I3411,0)),"Dire","Radiant"),"")</f>
        <v/>
      </c>
    </row>
    <row r="3412" spans="20:21" x14ac:dyDescent="0.3">
      <c r="T3412" t="str">
        <f>IF(ISERROR(MATCH('Analysis backend'!$M$1,E3412:N3412,0)),"",'Analysis backend'!$L$1)</f>
        <v/>
      </c>
      <c r="U3412" t="str">
        <f>IF(T3412='Analysis backend'!$L$1,IF(ISERROR(MATCH('Analysis backend'!$M$1,E3412:I3412,0)),"Dire","Radiant"),"")</f>
        <v/>
      </c>
    </row>
    <row r="3413" spans="20:21" x14ac:dyDescent="0.3">
      <c r="T3413" t="str">
        <f>IF(ISERROR(MATCH('Analysis backend'!$M$1,E3413:N3413,0)),"",'Analysis backend'!$L$1)</f>
        <v/>
      </c>
      <c r="U3413" t="str">
        <f>IF(T3413='Analysis backend'!$L$1,IF(ISERROR(MATCH('Analysis backend'!$M$1,E3413:I3413,0)),"Dire","Radiant"),"")</f>
        <v/>
      </c>
    </row>
    <row r="3414" spans="20:21" x14ac:dyDescent="0.3">
      <c r="T3414" t="str">
        <f>IF(ISERROR(MATCH('Analysis backend'!$M$1,E3414:N3414,0)),"",'Analysis backend'!$L$1)</f>
        <v/>
      </c>
      <c r="U3414" t="str">
        <f>IF(T3414='Analysis backend'!$L$1,IF(ISERROR(MATCH('Analysis backend'!$M$1,E3414:I3414,0)),"Dire","Radiant"),"")</f>
        <v/>
      </c>
    </row>
    <row r="3415" spans="20:21" x14ac:dyDescent="0.3">
      <c r="T3415" t="str">
        <f>IF(ISERROR(MATCH('Analysis backend'!$M$1,E3415:N3415,0)),"",'Analysis backend'!$L$1)</f>
        <v/>
      </c>
      <c r="U3415" t="str">
        <f>IF(T3415='Analysis backend'!$L$1,IF(ISERROR(MATCH('Analysis backend'!$M$1,E3415:I3415,0)),"Dire","Radiant"),"")</f>
        <v/>
      </c>
    </row>
    <row r="3416" spans="20:21" x14ac:dyDescent="0.3">
      <c r="T3416" t="str">
        <f>IF(ISERROR(MATCH('Analysis backend'!$M$1,E3416:N3416,0)),"",'Analysis backend'!$L$1)</f>
        <v/>
      </c>
      <c r="U3416" t="str">
        <f>IF(T3416='Analysis backend'!$L$1,IF(ISERROR(MATCH('Analysis backend'!$M$1,E3416:I3416,0)),"Dire","Radiant"),"")</f>
        <v/>
      </c>
    </row>
    <row r="3417" spans="20:21" x14ac:dyDescent="0.3">
      <c r="T3417" t="str">
        <f>IF(ISERROR(MATCH('Analysis backend'!$M$1,E3417:N3417,0)),"",'Analysis backend'!$L$1)</f>
        <v/>
      </c>
      <c r="U3417" t="str">
        <f>IF(T3417='Analysis backend'!$L$1,IF(ISERROR(MATCH('Analysis backend'!$M$1,E3417:I3417,0)),"Dire","Radiant"),"")</f>
        <v/>
      </c>
    </row>
    <row r="3418" spans="20:21" x14ac:dyDescent="0.3">
      <c r="T3418" t="str">
        <f>IF(ISERROR(MATCH('Analysis backend'!$M$1,E3418:N3418,0)),"",'Analysis backend'!$L$1)</f>
        <v/>
      </c>
      <c r="U3418" t="str">
        <f>IF(T3418='Analysis backend'!$L$1,IF(ISERROR(MATCH('Analysis backend'!$M$1,E3418:I3418,0)),"Dire","Radiant"),"")</f>
        <v/>
      </c>
    </row>
    <row r="3419" spans="20:21" x14ac:dyDescent="0.3">
      <c r="T3419" t="str">
        <f>IF(ISERROR(MATCH('Analysis backend'!$M$1,E3419:N3419,0)),"",'Analysis backend'!$L$1)</f>
        <v/>
      </c>
      <c r="U3419" t="str">
        <f>IF(T3419='Analysis backend'!$L$1,IF(ISERROR(MATCH('Analysis backend'!$M$1,E3419:I3419,0)),"Dire","Radiant"),"")</f>
        <v/>
      </c>
    </row>
    <row r="3420" spans="20:21" x14ac:dyDescent="0.3">
      <c r="T3420" t="str">
        <f>IF(ISERROR(MATCH('Analysis backend'!$M$1,E3420:N3420,0)),"",'Analysis backend'!$L$1)</f>
        <v/>
      </c>
      <c r="U3420" t="str">
        <f>IF(T3420='Analysis backend'!$L$1,IF(ISERROR(MATCH('Analysis backend'!$M$1,E3420:I3420,0)),"Dire","Radiant"),"")</f>
        <v/>
      </c>
    </row>
    <row r="3421" spans="20:21" x14ac:dyDescent="0.3">
      <c r="T3421" t="str">
        <f>IF(ISERROR(MATCH('Analysis backend'!$M$1,E3421:N3421,0)),"",'Analysis backend'!$L$1)</f>
        <v/>
      </c>
      <c r="U3421" t="str">
        <f>IF(T3421='Analysis backend'!$L$1,IF(ISERROR(MATCH('Analysis backend'!$M$1,E3421:I3421,0)),"Dire","Radiant"),"")</f>
        <v/>
      </c>
    </row>
    <row r="3422" spans="20:21" x14ac:dyDescent="0.3">
      <c r="T3422" t="str">
        <f>IF(ISERROR(MATCH('Analysis backend'!$M$1,E3422:N3422,0)),"",'Analysis backend'!$L$1)</f>
        <v/>
      </c>
      <c r="U3422" t="str">
        <f>IF(T3422='Analysis backend'!$L$1,IF(ISERROR(MATCH('Analysis backend'!$M$1,E3422:I3422,0)),"Dire","Radiant"),"")</f>
        <v/>
      </c>
    </row>
    <row r="3423" spans="20:21" x14ac:dyDescent="0.3">
      <c r="T3423" t="str">
        <f>IF(ISERROR(MATCH('Analysis backend'!$M$1,E3423:N3423,0)),"",'Analysis backend'!$L$1)</f>
        <v/>
      </c>
      <c r="U3423" t="str">
        <f>IF(T3423='Analysis backend'!$L$1,IF(ISERROR(MATCH('Analysis backend'!$M$1,E3423:I3423,0)),"Dire","Radiant"),"")</f>
        <v/>
      </c>
    </row>
    <row r="3424" spans="20:21" x14ac:dyDescent="0.3">
      <c r="T3424" t="str">
        <f>IF(ISERROR(MATCH('Analysis backend'!$M$1,E3424:N3424,0)),"",'Analysis backend'!$L$1)</f>
        <v/>
      </c>
      <c r="U3424" t="str">
        <f>IF(T3424='Analysis backend'!$L$1,IF(ISERROR(MATCH('Analysis backend'!$M$1,E3424:I3424,0)),"Dire","Radiant"),"")</f>
        <v/>
      </c>
    </row>
    <row r="3425" spans="20:21" x14ac:dyDescent="0.3">
      <c r="T3425" t="str">
        <f>IF(ISERROR(MATCH('Analysis backend'!$M$1,E3425:N3425,0)),"",'Analysis backend'!$L$1)</f>
        <v/>
      </c>
      <c r="U3425" t="str">
        <f>IF(T3425='Analysis backend'!$L$1,IF(ISERROR(MATCH('Analysis backend'!$M$1,E3425:I3425,0)),"Dire","Radiant"),"")</f>
        <v/>
      </c>
    </row>
    <row r="3426" spans="20:21" x14ac:dyDescent="0.3">
      <c r="T3426" t="str">
        <f>IF(ISERROR(MATCH('Analysis backend'!$M$1,E3426:N3426,0)),"",'Analysis backend'!$L$1)</f>
        <v/>
      </c>
      <c r="U3426" t="str">
        <f>IF(T3426='Analysis backend'!$L$1,IF(ISERROR(MATCH('Analysis backend'!$M$1,E3426:I3426,0)),"Dire","Radiant"),"")</f>
        <v/>
      </c>
    </row>
    <row r="3427" spans="20:21" x14ac:dyDescent="0.3">
      <c r="T3427" t="str">
        <f>IF(ISERROR(MATCH('Analysis backend'!$M$1,E3427:N3427,0)),"",'Analysis backend'!$L$1)</f>
        <v/>
      </c>
      <c r="U3427" t="str">
        <f>IF(T3427='Analysis backend'!$L$1,IF(ISERROR(MATCH('Analysis backend'!$M$1,E3427:I3427,0)),"Dire","Radiant"),"")</f>
        <v/>
      </c>
    </row>
    <row r="3428" spans="20:21" x14ac:dyDescent="0.3">
      <c r="T3428" t="str">
        <f>IF(ISERROR(MATCH('Analysis backend'!$M$1,E3428:N3428,0)),"",'Analysis backend'!$L$1)</f>
        <v/>
      </c>
      <c r="U3428" t="str">
        <f>IF(T3428='Analysis backend'!$L$1,IF(ISERROR(MATCH('Analysis backend'!$M$1,E3428:I3428,0)),"Dire","Radiant"),"")</f>
        <v/>
      </c>
    </row>
    <row r="3429" spans="20:21" x14ac:dyDescent="0.3">
      <c r="T3429" t="str">
        <f>IF(ISERROR(MATCH('Analysis backend'!$M$1,E3429:N3429,0)),"",'Analysis backend'!$L$1)</f>
        <v/>
      </c>
      <c r="U3429" t="str">
        <f>IF(T3429='Analysis backend'!$L$1,IF(ISERROR(MATCH('Analysis backend'!$M$1,E3429:I3429,0)),"Dire","Radiant"),"")</f>
        <v/>
      </c>
    </row>
    <row r="3430" spans="20:21" x14ac:dyDescent="0.3">
      <c r="T3430" t="str">
        <f>IF(ISERROR(MATCH('Analysis backend'!$M$1,E3430:N3430,0)),"",'Analysis backend'!$L$1)</f>
        <v/>
      </c>
      <c r="U3430" t="str">
        <f>IF(T3430='Analysis backend'!$L$1,IF(ISERROR(MATCH('Analysis backend'!$M$1,E3430:I3430,0)),"Dire","Radiant"),"")</f>
        <v/>
      </c>
    </row>
    <row r="3431" spans="20:21" x14ac:dyDescent="0.3">
      <c r="T3431" t="str">
        <f>IF(ISERROR(MATCH('Analysis backend'!$M$1,E3431:N3431,0)),"",'Analysis backend'!$L$1)</f>
        <v/>
      </c>
      <c r="U3431" t="str">
        <f>IF(T3431='Analysis backend'!$L$1,IF(ISERROR(MATCH('Analysis backend'!$M$1,E3431:I3431,0)),"Dire","Radiant"),"")</f>
        <v/>
      </c>
    </row>
    <row r="3432" spans="20:21" x14ac:dyDescent="0.3">
      <c r="T3432" t="str">
        <f>IF(ISERROR(MATCH('Analysis backend'!$M$1,E3432:N3432,0)),"",'Analysis backend'!$L$1)</f>
        <v/>
      </c>
      <c r="U3432" t="str">
        <f>IF(T3432='Analysis backend'!$L$1,IF(ISERROR(MATCH('Analysis backend'!$M$1,E3432:I3432,0)),"Dire","Radiant"),"")</f>
        <v/>
      </c>
    </row>
    <row r="3433" spans="20:21" x14ac:dyDescent="0.3">
      <c r="T3433" t="str">
        <f>IF(ISERROR(MATCH('Analysis backend'!$M$1,E3433:N3433,0)),"",'Analysis backend'!$L$1)</f>
        <v/>
      </c>
      <c r="U3433" t="str">
        <f>IF(T3433='Analysis backend'!$L$1,IF(ISERROR(MATCH('Analysis backend'!$M$1,E3433:I3433,0)),"Dire","Radiant"),"")</f>
        <v/>
      </c>
    </row>
    <row r="3434" spans="20:21" x14ac:dyDescent="0.3">
      <c r="T3434" t="str">
        <f>IF(ISERROR(MATCH('Analysis backend'!$M$1,E3434:N3434,0)),"",'Analysis backend'!$L$1)</f>
        <v/>
      </c>
      <c r="U3434" t="str">
        <f>IF(T3434='Analysis backend'!$L$1,IF(ISERROR(MATCH('Analysis backend'!$M$1,E3434:I3434,0)),"Dire","Radiant"),"")</f>
        <v/>
      </c>
    </row>
    <row r="3435" spans="20:21" x14ac:dyDescent="0.3">
      <c r="T3435" t="str">
        <f>IF(ISERROR(MATCH('Analysis backend'!$M$1,E3435:N3435,0)),"",'Analysis backend'!$L$1)</f>
        <v/>
      </c>
      <c r="U3435" t="str">
        <f>IF(T3435='Analysis backend'!$L$1,IF(ISERROR(MATCH('Analysis backend'!$M$1,E3435:I3435,0)),"Dire","Radiant"),"")</f>
        <v/>
      </c>
    </row>
    <row r="3436" spans="20:21" x14ac:dyDescent="0.3">
      <c r="T3436" t="str">
        <f>IF(ISERROR(MATCH('Analysis backend'!$M$1,E3436:N3436,0)),"",'Analysis backend'!$L$1)</f>
        <v/>
      </c>
      <c r="U3436" t="str">
        <f>IF(T3436='Analysis backend'!$L$1,IF(ISERROR(MATCH('Analysis backend'!$M$1,E3436:I3436,0)),"Dire","Radiant"),"")</f>
        <v/>
      </c>
    </row>
    <row r="3437" spans="20:21" x14ac:dyDescent="0.3">
      <c r="T3437" t="str">
        <f>IF(ISERROR(MATCH('Analysis backend'!$M$1,E3437:N3437,0)),"",'Analysis backend'!$L$1)</f>
        <v/>
      </c>
      <c r="U3437" t="str">
        <f>IF(T3437='Analysis backend'!$L$1,IF(ISERROR(MATCH('Analysis backend'!$M$1,E3437:I3437,0)),"Dire","Radiant"),"")</f>
        <v/>
      </c>
    </row>
    <row r="3438" spans="20:21" x14ac:dyDescent="0.3">
      <c r="T3438" t="str">
        <f>IF(ISERROR(MATCH('Analysis backend'!$M$1,E3438:N3438,0)),"",'Analysis backend'!$L$1)</f>
        <v/>
      </c>
      <c r="U3438" t="str">
        <f>IF(T3438='Analysis backend'!$L$1,IF(ISERROR(MATCH('Analysis backend'!$M$1,E3438:I3438,0)),"Dire","Radiant"),"")</f>
        <v/>
      </c>
    </row>
    <row r="3439" spans="20:21" x14ac:dyDescent="0.3">
      <c r="T3439" t="str">
        <f>IF(ISERROR(MATCH('Analysis backend'!$M$1,E3439:N3439,0)),"",'Analysis backend'!$L$1)</f>
        <v/>
      </c>
      <c r="U3439" t="str">
        <f>IF(T3439='Analysis backend'!$L$1,IF(ISERROR(MATCH('Analysis backend'!$M$1,E3439:I3439,0)),"Dire","Radiant"),"")</f>
        <v/>
      </c>
    </row>
    <row r="3440" spans="20:21" x14ac:dyDescent="0.3">
      <c r="T3440" t="str">
        <f>IF(ISERROR(MATCH('Analysis backend'!$M$1,E3440:N3440,0)),"",'Analysis backend'!$L$1)</f>
        <v/>
      </c>
      <c r="U3440" t="str">
        <f>IF(T3440='Analysis backend'!$L$1,IF(ISERROR(MATCH('Analysis backend'!$M$1,E3440:I3440,0)),"Dire","Radiant"),"")</f>
        <v/>
      </c>
    </row>
    <row r="3441" spans="20:21" x14ac:dyDescent="0.3">
      <c r="T3441" t="str">
        <f>IF(ISERROR(MATCH('Analysis backend'!$M$1,E3441:N3441,0)),"",'Analysis backend'!$L$1)</f>
        <v/>
      </c>
      <c r="U3441" t="str">
        <f>IF(T3441='Analysis backend'!$L$1,IF(ISERROR(MATCH('Analysis backend'!$M$1,E3441:I3441,0)),"Dire","Radiant"),"")</f>
        <v/>
      </c>
    </row>
    <row r="3442" spans="20:21" x14ac:dyDescent="0.3">
      <c r="T3442" t="str">
        <f>IF(ISERROR(MATCH('Analysis backend'!$M$1,E3442:N3442,0)),"",'Analysis backend'!$L$1)</f>
        <v/>
      </c>
      <c r="U3442" t="str">
        <f>IF(T3442='Analysis backend'!$L$1,IF(ISERROR(MATCH('Analysis backend'!$M$1,E3442:I3442,0)),"Dire","Radiant"),"")</f>
        <v/>
      </c>
    </row>
    <row r="3443" spans="20:21" x14ac:dyDescent="0.3">
      <c r="T3443" t="str">
        <f>IF(ISERROR(MATCH('Analysis backend'!$M$1,E3443:N3443,0)),"",'Analysis backend'!$L$1)</f>
        <v/>
      </c>
      <c r="U3443" t="str">
        <f>IF(T3443='Analysis backend'!$L$1,IF(ISERROR(MATCH('Analysis backend'!$M$1,E3443:I3443,0)),"Dire","Radiant"),"")</f>
        <v/>
      </c>
    </row>
    <row r="3444" spans="20:21" x14ac:dyDescent="0.3">
      <c r="T3444" t="str">
        <f>IF(ISERROR(MATCH('Analysis backend'!$M$1,E3444:N3444,0)),"",'Analysis backend'!$L$1)</f>
        <v/>
      </c>
      <c r="U3444" t="str">
        <f>IF(T3444='Analysis backend'!$L$1,IF(ISERROR(MATCH('Analysis backend'!$M$1,E3444:I3444,0)),"Dire","Radiant"),"")</f>
        <v/>
      </c>
    </row>
    <row r="3445" spans="20:21" x14ac:dyDescent="0.3">
      <c r="T3445" t="str">
        <f>IF(ISERROR(MATCH('Analysis backend'!$M$1,E3445:N3445,0)),"",'Analysis backend'!$L$1)</f>
        <v/>
      </c>
      <c r="U3445" t="str">
        <f>IF(T3445='Analysis backend'!$L$1,IF(ISERROR(MATCH('Analysis backend'!$M$1,E3445:I3445,0)),"Dire","Radiant"),"")</f>
        <v/>
      </c>
    </row>
    <row r="3446" spans="20:21" x14ac:dyDescent="0.3">
      <c r="T3446" t="str">
        <f>IF(ISERROR(MATCH('Analysis backend'!$M$1,E3446:N3446,0)),"",'Analysis backend'!$L$1)</f>
        <v/>
      </c>
      <c r="U3446" t="str">
        <f>IF(T3446='Analysis backend'!$L$1,IF(ISERROR(MATCH('Analysis backend'!$M$1,E3446:I3446,0)),"Dire","Radiant"),"")</f>
        <v/>
      </c>
    </row>
    <row r="3447" spans="20:21" x14ac:dyDescent="0.3">
      <c r="T3447" t="str">
        <f>IF(ISERROR(MATCH('Analysis backend'!$M$1,E3447:N3447,0)),"",'Analysis backend'!$L$1)</f>
        <v/>
      </c>
      <c r="U3447" t="str">
        <f>IF(T3447='Analysis backend'!$L$1,IF(ISERROR(MATCH('Analysis backend'!$M$1,E3447:I3447,0)),"Dire","Radiant"),"")</f>
        <v/>
      </c>
    </row>
    <row r="3448" spans="20:21" x14ac:dyDescent="0.3">
      <c r="T3448" t="str">
        <f>IF(ISERROR(MATCH('Analysis backend'!$M$1,E3448:N3448,0)),"",'Analysis backend'!$L$1)</f>
        <v/>
      </c>
      <c r="U3448" t="str">
        <f>IF(T3448='Analysis backend'!$L$1,IF(ISERROR(MATCH('Analysis backend'!$M$1,E3448:I3448,0)),"Dire","Radiant"),"")</f>
        <v/>
      </c>
    </row>
    <row r="3449" spans="20:21" x14ac:dyDescent="0.3">
      <c r="T3449" t="str">
        <f>IF(ISERROR(MATCH('Analysis backend'!$M$1,E3449:N3449,0)),"",'Analysis backend'!$L$1)</f>
        <v/>
      </c>
      <c r="U3449" t="str">
        <f>IF(T3449='Analysis backend'!$L$1,IF(ISERROR(MATCH('Analysis backend'!$M$1,E3449:I3449,0)),"Dire","Radiant"),"")</f>
        <v/>
      </c>
    </row>
    <row r="3450" spans="20:21" x14ac:dyDescent="0.3">
      <c r="T3450" t="str">
        <f>IF(ISERROR(MATCH('Analysis backend'!$M$1,E3450:N3450,0)),"",'Analysis backend'!$L$1)</f>
        <v/>
      </c>
      <c r="U3450" t="str">
        <f>IF(T3450='Analysis backend'!$L$1,IF(ISERROR(MATCH('Analysis backend'!$M$1,E3450:I3450,0)),"Dire","Radiant"),"")</f>
        <v/>
      </c>
    </row>
    <row r="3451" spans="20:21" x14ac:dyDescent="0.3">
      <c r="T3451" t="str">
        <f>IF(ISERROR(MATCH('Analysis backend'!$M$1,E3451:N3451,0)),"",'Analysis backend'!$L$1)</f>
        <v/>
      </c>
      <c r="U3451" t="str">
        <f>IF(T3451='Analysis backend'!$L$1,IF(ISERROR(MATCH('Analysis backend'!$M$1,E3451:I3451,0)),"Dire","Radiant"),"")</f>
        <v/>
      </c>
    </row>
    <row r="3452" spans="20:21" x14ac:dyDescent="0.3">
      <c r="T3452" t="str">
        <f>IF(ISERROR(MATCH('Analysis backend'!$M$1,E3452:N3452,0)),"",'Analysis backend'!$L$1)</f>
        <v/>
      </c>
      <c r="U3452" t="str">
        <f>IF(T3452='Analysis backend'!$L$1,IF(ISERROR(MATCH('Analysis backend'!$M$1,E3452:I3452,0)),"Dire","Radiant"),"")</f>
        <v/>
      </c>
    </row>
    <row r="3453" spans="20:21" x14ac:dyDescent="0.3">
      <c r="T3453" t="str">
        <f>IF(ISERROR(MATCH('Analysis backend'!$M$1,E3453:N3453,0)),"",'Analysis backend'!$L$1)</f>
        <v/>
      </c>
      <c r="U3453" t="str">
        <f>IF(T3453='Analysis backend'!$L$1,IF(ISERROR(MATCH('Analysis backend'!$M$1,E3453:I3453,0)),"Dire","Radiant"),"")</f>
        <v/>
      </c>
    </row>
    <row r="3454" spans="20:21" x14ac:dyDescent="0.3">
      <c r="T3454" t="str">
        <f>IF(ISERROR(MATCH('Analysis backend'!$M$1,E3454:N3454,0)),"",'Analysis backend'!$L$1)</f>
        <v/>
      </c>
      <c r="U3454" t="str">
        <f>IF(T3454='Analysis backend'!$L$1,IF(ISERROR(MATCH('Analysis backend'!$M$1,E3454:I3454,0)),"Dire","Radiant"),"")</f>
        <v/>
      </c>
    </row>
    <row r="3455" spans="20:21" x14ac:dyDescent="0.3">
      <c r="T3455" t="str">
        <f>IF(ISERROR(MATCH('Analysis backend'!$M$1,E3455:N3455,0)),"",'Analysis backend'!$L$1)</f>
        <v/>
      </c>
      <c r="U3455" t="str">
        <f>IF(T3455='Analysis backend'!$L$1,IF(ISERROR(MATCH('Analysis backend'!$M$1,E3455:I3455,0)),"Dire","Radiant"),"")</f>
        <v/>
      </c>
    </row>
    <row r="3456" spans="20:21" x14ac:dyDescent="0.3">
      <c r="T3456" t="str">
        <f>IF(ISERROR(MATCH('Analysis backend'!$M$1,E3456:N3456,0)),"",'Analysis backend'!$L$1)</f>
        <v/>
      </c>
      <c r="U3456" t="str">
        <f>IF(T3456='Analysis backend'!$L$1,IF(ISERROR(MATCH('Analysis backend'!$M$1,E3456:I3456,0)),"Dire","Radiant"),"")</f>
        <v/>
      </c>
    </row>
    <row r="3457" spans="20:21" x14ac:dyDescent="0.3">
      <c r="T3457" t="str">
        <f>IF(ISERROR(MATCH('Analysis backend'!$M$1,E3457:N3457,0)),"",'Analysis backend'!$L$1)</f>
        <v/>
      </c>
      <c r="U3457" t="str">
        <f>IF(T3457='Analysis backend'!$L$1,IF(ISERROR(MATCH('Analysis backend'!$M$1,E3457:I3457,0)),"Dire","Radiant"),"")</f>
        <v/>
      </c>
    </row>
    <row r="3458" spans="20:21" x14ac:dyDescent="0.3">
      <c r="T3458" t="str">
        <f>IF(ISERROR(MATCH('Analysis backend'!$M$1,E3458:N3458,0)),"",'Analysis backend'!$L$1)</f>
        <v/>
      </c>
      <c r="U3458" t="str">
        <f>IF(T3458='Analysis backend'!$L$1,IF(ISERROR(MATCH('Analysis backend'!$M$1,E3458:I3458,0)),"Dire","Radiant"),"")</f>
        <v/>
      </c>
    </row>
    <row r="3459" spans="20:21" x14ac:dyDescent="0.3">
      <c r="T3459" t="str">
        <f>IF(ISERROR(MATCH('Analysis backend'!$M$1,E3459:N3459,0)),"",'Analysis backend'!$L$1)</f>
        <v/>
      </c>
      <c r="U3459" t="str">
        <f>IF(T3459='Analysis backend'!$L$1,IF(ISERROR(MATCH('Analysis backend'!$M$1,E3459:I3459,0)),"Dire","Radiant"),"")</f>
        <v/>
      </c>
    </row>
    <row r="3460" spans="20:21" x14ac:dyDescent="0.3">
      <c r="T3460" t="str">
        <f>IF(ISERROR(MATCH('Analysis backend'!$M$1,E3460:N3460,0)),"",'Analysis backend'!$L$1)</f>
        <v/>
      </c>
      <c r="U3460" t="str">
        <f>IF(T3460='Analysis backend'!$L$1,IF(ISERROR(MATCH('Analysis backend'!$M$1,E3460:I3460,0)),"Dire","Radiant"),"")</f>
        <v/>
      </c>
    </row>
    <row r="3461" spans="20:21" x14ac:dyDescent="0.3">
      <c r="T3461" t="str">
        <f>IF(ISERROR(MATCH('Analysis backend'!$M$1,E3461:N3461,0)),"",'Analysis backend'!$L$1)</f>
        <v/>
      </c>
      <c r="U3461" t="str">
        <f>IF(T3461='Analysis backend'!$L$1,IF(ISERROR(MATCH('Analysis backend'!$M$1,E3461:I3461,0)),"Dire","Radiant"),"")</f>
        <v/>
      </c>
    </row>
    <row r="3462" spans="20:21" x14ac:dyDescent="0.3">
      <c r="T3462" t="str">
        <f>IF(ISERROR(MATCH('Analysis backend'!$M$1,E3462:N3462,0)),"",'Analysis backend'!$L$1)</f>
        <v/>
      </c>
      <c r="U3462" t="str">
        <f>IF(T3462='Analysis backend'!$L$1,IF(ISERROR(MATCH('Analysis backend'!$M$1,E3462:I3462,0)),"Dire","Radiant"),"")</f>
        <v/>
      </c>
    </row>
    <row r="3463" spans="20:21" x14ac:dyDescent="0.3">
      <c r="T3463" t="str">
        <f>IF(ISERROR(MATCH('Analysis backend'!$M$1,E3463:N3463,0)),"",'Analysis backend'!$L$1)</f>
        <v/>
      </c>
      <c r="U3463" t="str">
        <f>IF(T3463='Analysis backend'!$L$1,IF(ISERROR(MATCH('Analysis backend'!$M$1,E3463:I3463,0)),"Dire","Radiant"),"")</f>
        <v/>
      </c>
    </row>
    <row r="3464" spans="20:21" x14ac:dyDescent="0.3">
      <c r="T3464" t="str">
        <f>IF(ISERROR(MATCH('Analysis backend'!$M$1,E3464:N3464,0)),"",'Analysis backend'!$L$1)</f>
        <v/>
      </c>
      <c r="U3464" t="str">
        <f>IF(T3464='Analysis backend'!$L$1,IF(ISERROR(MATCH('Analysis backend'!$M$1,E3464:I3464,0)),"Dire","Radiant"),"")</f>
        <v/>
      </c>
    </row>
    <row r="3465" spans="20:21" x14ac:dyDescent="0.3">
      <c r="T3465" t="str">
        <f>IF(ISERROR(MATCH('Analysis backend'!$M$1,E3465:N3465,0)),"",'Analysis backend'!$L$1)</f>
        <v/>
      </c>
      <c r="U3465" t="str">
        <f>IF(T3465='Analysis backend'!$L$1,IF(ISERROR(MATCH('Analysis backend'!$M$1,E3465:I3465,0)),"Dire","Radiant"),"")</f>
        <v/>
      </c>
    </row>
    <row r="3466" spans="20:21" x14ac:dyDescent="0.3">
      <c r="T3466" t="str">
        <f>IF(ISERROR(MATCH('Analysis backend'!$M$1,E3466:N3466,0)),"",'Analysis backend'!$L$1)</f>
        <v/>
      </c>
      <c r="U3466" t="str">
        <f>IF(T3466='Analysis backend'!$L$1,IF(ISERROR(MATCH('Analysis backend'!$M$1,E3466:I3466,0)),"Dire","Radiant"),"")</f>
        <v/>
      </c>
    </row>
    <row r="3467" spans="20:21" x14ac:dyDescent="0.3">
      <c r="T3467" t="str">
        <f>IF(ISERROR(MATCH('Analysis backend'!$M$1,E3467:N3467,0)),"",'Analysis backend'!$L$1)</f>
        <v/>
      </c>
      <c r="U3467" t="str">
        <f>IF(T3467='Analysis backend'!$L$1,IF(ISERROR(MATCH('Analysis backend'!$M$1,E3467:I3467,0)),"Dire","Radiant"),"")</f>
        <v/>
      </c>
    </row>
    <row r="3468" spans="20:21" x14ac:dyDescent="0.3">
      <c r="T3468" t="str">
        <f>IF(ISERROR(MATCH('Analysis backend'!$M$1,E3468:N3468,0)),"",'Analysis backend'!$L$1)</f>
        <v/>
      </c>
      <c r="U3468" t="str">
        <f>IF(T3468='Analysis backend'!$L$1,IF(ISERROR(MATCH('Analysis backend'!$M$1,E3468:I3468,0)),"Dire","Radiant"),"")</f>
        <v/>
      </c>
    </row>
    <row r="3469" spans="20:21" x14ac:dyDescent="0.3">
      <c r="T3469" t="str">
        <f>IF(ISERROR(MATCH('Analysis backend'!$M$1,E3469:N3469,0)),"",'Analysis backend'!$L$1)</f>
        <v/>
      </c>
      <c r="U3469" t="str">
        <f>IF(T3469='Analysis backend'!$L$1,IF(ISERROR(MATCH('Analysis backend'!$M$1,E3469:I3469,0)),"Dire","Radiant"),"")</f>
        <v/>
      </c>
    </row>
    <row r="3470" spans="20:21" x14ac:dyDescent="0.3">
      <c r="T3470" t="str">
        <f>IF(ISERROR(MATCH('Analysis backend'!$M$1,E3470:N3470,0)),"",'Analysis backend'!$L$1)</f>
        <v/>
      </c>
      <c r="U3470" t="str">
        <f>IF(T3470='Analysis backend'!$L$1,IF(ISERROR(MATCH('Analysis backend'!$M$1,E3470:I3470,0)),"Dire","Radiant"),"")</f>
        <v/>
      </c>
    </row>
    <row r="3471" spans="20:21" x14ac:dyDescent="0.3">
      <c r="T3471" t="str">
        <f>IF(ISERROR(MATCH('Analysis backend'!$M$1,E3471:N3471,0)),"",'Analysis backend'!$L$1)</f>
        <v/>
      </c>
      <c r="U3471" t="str">
        <f>IF(T3471='Analysis backend'!$L$1,IF(ISERROR(MATCH('Analysis backend'!$M$1,E3471:I3471,0)),"Dire","Radiant"),"")</f>
        <v/>
      </c>
    </row>
    <row r="3472" spans="20:21" x14ac:dyDescent="0.3">
      <c r="T3472" t="str">
        <f>IF(ISERROR(MATCH('Analysis backend'!$M$1,E3472:N3472,0)),"",'Analysis backend'!$L$1)</f>
        <v/>
      </c>
      <c r="U3472" t="str">
        <f>IF(T3472='Analysis backend'!$L$1,IF(ISERROR(MATCH('Analysis backend'!$M$1,E3472:I3472,0)),"Dire","Radiant"),"")</f>
        <v/>
      </c>
    </row>
    <row r="3473" spans="20:21" x14ac:dyDescent="0.3">
      <c r="T3473" t="str">
        <f>IF(ISERROR(MATCH('Analysis backend'!$M$1,E3473:N3473,0)),"",'Analysis backend'!$L$1)</f>
        <v/>
      </c>
      <c r="U3473" t="str">
        <f>IF(T3473='Analysis backend'!$L$1,IF(ISERROR(MATCH('Analysis backend'!$M$1,E3473:I3473,0)),"Dire","Radiant"),"")</f>
        <v/>
      </c>
    </row>
    <row r="3474" spans="20:21" x14ac:dyDescent="0.3">
      <c r="T3474" t="str">
        <f>IF(ISERROR(MATCH('Analysis backend'!$M$1,E3474:N3474,0)),"",'Analysis backend'!$L$1)</f>
        <v/>
      </c>
      <c r="U3474" t="str">
        <f>IF(T3474='Analysis backend'!$L$1,IF(ISERROR(MATCH('Analysis backend'!$M$1,E3474:I3474,0)),"Dire","Radiant"),"")</f>
        <v/>
      </c>
    </row>
    <row r="3475" spans="20:21" x14ac:dyDescent="0.3">
      <c r="T3475" t="str">
        <f>IF(ISERROR(MATCH('Analysis backend'!$M$1,E3475:N3475,0)),"",'Analysis backend'!$L$1)</f>
        <v/>
      </c>
      <c r="U3475" t="str">
        <f>IF(T3475='Analysis backend'!$L$1,IF(ISERROR(MATCH('Analysis backend'!$M$1,E3475:I3475,0)),"Dire","Radiant"),"")</f>
        <v/>
      </c>
    </row>
    <row r="3476" spans="20:21" x14ac:dyDescent="0.3">
      <c r="T3476" t="str">
        <f>IF(ISERROR(MATCH('Analysis backend'!$M$1,E3476:N3476,0)),"",'Analysis backend'!$L$1)</f>
        <v/>
      </c>
      <c r="U3476" t="str">
        <f>IF(T3476='Analysis backend'!$L$1,IF(ISERROR(MATCH('Analysis backend'!$M$1,E3476:I3476,0)),"Dire","Radiant"),"")</f>
        <v/>
      </c>
    </row>
    <row r="3477" spans="20:21" x14ac:dyDescent="0.3">
      <c r="T3477" t="str">
        <f>IF(ISERROR(MATCH('Analysis backend'!$M$1,E3477:N3477,0)),"",'Analysis backend'!$L$1)</f>
        <v/>
      </c>
      <c r="U3477" t="str">
        <f>IF(T3477='Analysis backend'!$L$1,IF(ISERROR(MATCH('Analysis backend'!$M$1,E3477:I3477,0)),"Dire","Radiant"),"")</f>
        <v/>
      </c>
    </row>
    <row r="3478" spans="20:21" x14ac:dyDescent="0.3">
      <c r="T3478" t="str">
        <f>IF(ISERROR(MATCH('Analysis backend'!$M$1,E3478:N3478,0)),"",'Analysis backend'!$L$1)</f>
        <v/>
      </c>
      <c r="U3478" t="str">
        <f>IF(T3478='Analysis backend'!$L$1,IF(ISERROR(MATCH('Analysis backend'!$M$1,E3478:I3478,0)),"Dire","Radiant"),"")</f>
        <v/>
      </c>
    </row>
    <row r="3479" spans="20:21" x14ac:dyDescent="0.3">
      <c r="T3479" t="str">
        <f>IF(ISERROR(MATCH('Analysis backend'!$M$1,E3479:N3479,0)),"",'Analysis backend'!$L$1)</f>
        <v/>
      </c>
      <c r="U3479" t="str">
        <f>IF(T3479='Analysis backend'!$L$1,IF(ISERROR(MATCH('Analysis backend'!$M$1,E3479:I3479,0)),"Dire","Radiant"),"")</f>
        <v/>
      </c>
    </row>
    <row r="3480" spans="20:21" x14ac:dyDescent="0.3">
      <c r="T3480" t="str">
        <f>IF(ISERROR(MATCH('Analysis backend'!$M$1,E3480:N3480,0)),"",'Analysis backend'!$L$1)</f>
        <v/>
      </c>
      <c r="U3480" t="str">
        <f>IF(T3480='Analysis backend'!$L$1,IF(ISERROR(MATCH('Analysis backend'!$M$1,E3480:I3480,0)),"Dire","Radiant"),"")</f>
        <v/>
      </c>
    </row>
    <row r="3481" spans="20:21" x14ac:dyDescent="0.3">
      <c r="T3481" t="str">
        <f>IF(ISERROR(MATCH('Analysis backend'!$M$1,E3481:N3481,0)),"",'Analysis backend'!$L$1)</f>
        <v/>
      </c>
      <c r="U3481" t="str">
        <f>IF(T3481='Analysis backend'!$L$1,IF(ISERROR(MATCH('Analysis backend'!$M$1,E3481:I3481,0)),"Dire","Radiant"),"")</f>
        <v/>
      </c>
    </row>
    <row r="3482" spans="20:21" x14ac:dyDescent="0.3">
      <c r="T3482" t="str">
        <f>IF(ISERROR(MATCH('Analysis backend'!$M$1,E3482:N3482,0)),"",'Analysis backend'!$L$1)</f>
        <v/>
      </c>
      <c r="U3482" t="str">
        <f>IF(T3482='Analysis backend'!$L$1,IF(ISERROR(MATCH('Analysis backend'!$M$1,E3482:I3482,0)),"Dire","Radiant"),"")</f>
        <v/>
      </c>
    </row>
    <row r="3483" spans="20:21" x14ac:dyDescent="0.3">
      <c r="T3483" t="str">
        <f>IF(ISERROR(MATCH('Analysis backend'!$M$1,E3483:N3483,0)),"",'Analysis backend'!$L$1)</f>
        <v/>
      </c>
      <c r="U3483" t="str">
        <f>IF(T3483='Analysis backend'!$L$1,IF(ISERROR(MATCH('Analysis backend'!$M$1,E3483:I3483,0)),"Dire","Radiant"),"")</f>
        <v/>
      </c>
    </row>
    <row r="3484" spans="20:21" x14ac:dyDescent="0.3">
      <c r="T3484" t="str">
        <f>IF(ISERROR(MATCH('Analysis backend'!$M$1,E3484:N3484,0)),"",'Analysis backend'!$L$1)</f>
        <v/>
      </c>
      <c r="U3484" t="str">
        <f>IF(T3484='Analysis backend'!$L$1,IF(ISERROR(MATCH('Analysis backend'!$M$1,E3484:I3484,0)),"Dire","Radiant"),"")</f>
        <v/>
      </c>
    </row>
    <row r="3485" spans="20:21" x14ac:dyDescent="0.3">
      <c r="T3485" t="str">
        <f>IF(ISERROR(MATCH('Analysis backend'!$M$1,E3485:N3485,0)),"",'Analysis backend'!$L$1)</f>
        <v/>
      </c>
      <c r="U3485" t="str">
        <f>IF(T3485='Analysis backend'!$L$1,IF(ISERROR(MATCH('Analysis backend'!$M$1,E3485:I3485,0)),"Dire","Radiant"),"")</f>
        <v/>
      </c>
    </row>
    <row r="3486" spans="20:21" x14ac:dyDescent="0.3">
      <c r="T3486" t="str">
        <f>IF(ISERROR(MATCH('Analysis backend'!$M$1,E3486:N3486,0)),"",'Analysis backend'!$L$1)</f>
        <v/>
      </c>
      <c r="U3486" t="str">
        <f>IF(T3486='Analysis backend'!$L$1,IF(ISERROR(MATCH('Analysis backend'!$M$1,E3486:I3486,0)),"Dire","Radiant"),"")</f>
        <v/>
      </c>
    </row>
    <row r="3487" spans="20:21" x14ac:dyDescent="0.3">
      <c r="T3487" t="str">
        <f>IF(ISERROR(MATCH('Analysis backend'!$M$1,E3487:N3487,0)),"",'Analysis backend'!$L$1)</f>
        <v/>
      </c>
      <c r="U3487" t="str">
        <f>IF(T3487='Analysis backend'!$L$1,IF(ISERROR(MATCH('Analysis backend'!$M$1,E3487:I3487,0)),"Dire","Radiant"),"")</f>
        <v/>
      </c>
    </row>
    <row r="3488" spans="20:21" x14ac:dyDescent="0.3">
      <c r="T3488" t="str">
        <f>IF(ISERROR(MATCH('Analysis backend'!$M$1,E3488:N3488,0)),"",'Analysis backend'!$L$1)</f>
        <v/>
      </c>
      <c r="U3488" t="str">
        <f>IF(T3488='Analysis backend'!$L$1,IF(ISERROR(MATCH('Analysis backend'!$M$1,E3488:I3488,0)),"Dire","Radiant"),"")</f>
        <v/>
      </c>
    </row>
    <row r="3489" spans="20:21" x14ac:dyDescent="0.3">
      <c r="T3489" t="str">
        <f>IF(ISERROR(MATCH('Analysis backend'!$M$1,E3489:N3489,0)),"",'Analysis backend'!$L$1)</f>
        <v/>
      </c>
      <c r="U3489" t="str">
        <f>IF(T3489='Analysis backend'!$L$1,IF(ISERROR(MATCH('Analysis backend'!$M$1,E3489:I3489,0)),"Dire","Radiant"),"")</f>
        <v/>
      </c>
    </row>
    <row r="3490" spans="20:21" x14ac:dyDescent="0.3">
      <c r="T3490" t="str">
        <f>IF(ISERROR(MATCH('Analysis backend'!$M$1,E3490:N3490,0)),"",'Analysis backend'!$L$1)</f>
        <v/>
      </c>
      <c r="U3490" t="str">
        <f>IF(T3490='Analysis backend'!$L$1,IF(ISERROR(MATCH('Analysis backend'!$M$1,E3490:I3490,0)),"Dire","Radiant"),"")</f>
        <v/>
      </c>
    </row>
    <row r="3491" spans="20:21" x14ac:dyDescent="0.3">
      <c r="T3491" t="str">
        <f>IF(ISERROR(MATCH('Analysis backend'!$M$1,E3491:N3491,0)),"",'Analysis backend'!$L$1)</f>
        <v/>
      </c>
      <c r="U3491" t="str">
        <f>IF(T3491='Analysis backend'!$L$1,IF(ISERROR(MATCH('Analysis backend'!$M$1,E3491:I3491,0)),"Dire","Radiant"),"")</f>
        <v/>
      </c>
    </row>
    <row r="3492" spans="20:21" x14ac:dyDescent="0.3">
      <c r="T3492" t="str">
        <f>IF(ISERROR(MATCH('Analysis backend'!$M$1,E3492:N3492,0)),"",'Analysis backend'!$L$1)</f>
        <v/>
      </c>
      <c r="U3492" t="str">
        <f>IF(T3492='Analysis backend'!$L$1,IF(ISERROR(MATCH('Analysis backend'!$M$1,E3492:I3492,0)),"Dire","Radiant"),"")</f>
        <v/>
      </c>
    </row>
    <row r="3493" spans="20:21" x14ac:dyDescent="0.3">
      <c r="T3493" t="str">
        <f>IF(ISERROR(MATCH('Analysis backend'!$M$1,E3493:N3493,0)),"",'Analysis backend'!$L$1)</f>
        <v/>
      </c>
      <c r="U3493" t="str">
        <f>IF(T3493='Analysis backend'!$L$1,IF(ISERROR(MATCH('Analysis backend'!$M$1,E3493:I3493,0)),"Dire","Radiant"),"")</f>
        <v/>
      </c>
    </row>
    <row r="3494" spans="20:21" x14ac:dyDescent="0.3">
      <c r="T3494" t="str">
        <f>IF(ISERROR(MATCH('Analysis backend'!$M$1,E3494:N3494,0)),"",'Analysis backend'!$L$1)</f>
        <v/>
      </c>
      <c r="U3494" t="str">
        <f>IF(T3494='Analysis backend'!$L$1,IF(ISERROR(MATCH('Analysis backend'!$M$1,E3494:I3494,0)),"Dire","Radiant"),"")</f>
        <v/>
      </c>
    </row>
    <row r="3495" spans="20:21" x14ac:dyDescent="0.3">
      <c r="T3495" t="str">
        <f>IF(ISERROR(MATCH('Analysis backend'!$M$1,E3495:N3495,0)),"",'Analysis backend'!$L$1)</f>
        <v/>
      </c>
      <c r="U3495" t="str">
        <f>IF(T3495='Analysis backend'!$L$1,IF(ISERROR(MATCH('Analysis backend'!$M$1,E3495:I3495,0)),"Dire","Radiant"),"")</f>
        <v/>
      </c>
    </row>
    <row r="3496" spans="20:21" x14ac:dyDescent="0.3">
      <c r="T3496" t="str">
        <f>IF(ISERROR(MATCH('Analysis backend'!$M$1,E3496:N3496,0)),"",'Analysis backend'!$L$1)</f>
        <v/>
      </c>
      <c r="U3496" t="str">
        <f>IF(T3496='Analysis backend'!$L$1,IF(ISERROR(MATCH('Analysis backend'!$M$1,E3496:I3496,0)),"Dire","Radiant"),"")</f>
        <v/>
      </c>
    </row>
    <row r="3497" spans="20:21" x14ac:dyDescent="0.3">
      <c r="T3497" t="str">
        <f>IF(ISERROR(MATCH('Analysis backend'!$M$1,E3497:N3497,0)),"",'Analysis backend'!$L$1)</f>
        <v/>
      </c>
      <c r="U3497" t="str">
        <f>IF(T3497='Analysis backend'!$L$1,IF(ISERROR(MATCH('Analysis backend'!$M$1,E3497:I3497,0)),"Dire","Radiant"),"")</f>
        <v/>
      </c>
    </row>
    <row r="3498" spans="20:21" x14ac:dyDescent="0.3">
      <c r="T3498" t="str">
        <f>IF(ISERROR(MATCH('Analysis backend'!$M$1,E3498:N3498,0)),"",'Analysis backend'!$L$1)</f>
        <v/>
      </c>
      <c r="U3498" t="str">
        <f>IF(T3498='Analysis backend'!$L$1,IF(ISERROR(MATCH('Analysis backend'!$M$1,E3498:I3498,0)),"Dire","Radiant"),"")</f>
        <v/>
      </c>
    </row>
    <row r="3499" spans="20:21" x14ac:dyDescent="0.3">
      <c r="T3499" t="str">
        <f>IF(ISERROR(MATCH('Analysis backend'!$M$1,E3499:N3499,0)),"",'Analysis backend'!$L$1)</f>
        <v/>
      </c>
      <c r="U3499" t="str">
        <f>IF(T3499='Analysis backend'!$L$1,IF(ISERROR(MATCH('Analysis backend'!$M$1,E3499:I3499,0)),"Dire","Radiant"),"")</f>
        <v/>
      </c>
    </row>
    <row r="3500" spans="20:21" x14ac:dyDescent="0.3">
      <c r="T3500" t="str">
        <f>IF(ISERROR(MATCH('Analysis backend'!$M$1,E3500:N3500,0)),"",'Analysis backend'!$L$1)</f>
        <v/>
      </c>
      <c r="U3500" t="str">
        <f>IF(T3500='Analysis backend'!$L$1,IF(ISERROR(MATCH('Analysis backend'!$M$1,E3500:I3500,0)),"Dire","Radiant"),"")</f>
        <v/>
      </c>
    </row>
    <row r="3501" spans="20:21" x14ac:dyDescent="0.3">
      <c r="T3501" t="str">
        <f>IF(ISERROR(MATCH('Analysis backend'!$M$1,E3501:N3501,0)),"",'Analysis backend'!$L$1)</f>
        <v/>
      </c>
      <c r="U3501" t="str">
        <f>IF(T3501='Analysis backend'!$L$1,IF(ISERROR(MATCH('Analysis backend'!$M$1,E3501:I3501,0)),"Dire","Radiant"),"")</f>
        <v/>
      </c>
    </row>
    <row r="3502" spans="20:21" x14ac:dyDescent="0.3">
      <c r="T3502" t="str">
        <f>IF(ISERROR(MATCH('Analysis backend'!$M$1,E3502:N3502,0)),"",'Analysis backend'!$L$1)</f>
        <v/>
      </c>
      <c r="U3502" t="str">
        <f>IF(T3502='Analysis backend'!$L$1,IF(ISERROR(MATCH('Analysis backend'!$M$1,E3502:I3502,0)),"Dire","Radiant"),"")</f>
        <v/>
      </c>
    </row>
    <row r="3503" spans="20:21" x14ac:dyDescent="0.3">
      <c r="T3503" t="str">
        <f>IF(ISERROR(MATCH('Analysis backend'!$M$1,E3503:N3503,0)),"",'Analysis backend'!$L$1)</f>
        <v/>
      </c>
      <c r="U3503" t="str">
        <f>IF(T3503='Analysis backend'!$L$1,IF(ISERROR(MATCH('Analysis backend'!$M$1,E3503:I3503,0)),"Dire","Radiant"),"")</f>
        <v/>
      </c>
    </row>
    <row r="3504" spans="20:21" x14ac:dyDescent="0.3">
      <c r="T3504" t="str">
        <f>IF(ISERROR(MATCH('Analysis backend'!$M$1,E3504:N3504,0)),"",'Analysis backend'!$L$1)</f>
        <v/>
      </c>
      <c r="U3504" t="str">
        <f>IF(T3504='Analysis backend'!$L$1,IF(ISERROR(MATCH('Analysis backend'!$M$1,E3504:I3504,0)),"Dire","Radiant"),"")</f>
        <v/>
      </c>
    </row>
    <row r="3505" spans="20:21" x14ac:dyDescent="0.3">
      <c r="T3505" t="str">
        <f>IF(ISERROR(MATCH('Analysis backend'!$M$1,E3505:N3505,0)),"",'Analysis backend'!$L$1)</f>
        <v/>
      </c>
      <c r="U3505" t="str">
        <f>IF(T3505='Analysis backend'!$L$1,IF(ISERROR(MATCH('Analysis backend'!$M$1,E3505:I3505,0)),"Dire","Radiant"),"")</f>
        <v/>
      </c>
    </row>
    <row r="3506" spans="20:21" x14ac:dyDescent="0.3">
      <c r="T3506" t="str">
        <f>IF(ISERROR(MATCH('Analysis backend'!$M$1,E3506:N3506,0)),"",'Analysis backend'!$L$1)</f>
        <v/>
      </c>
      <c r="U3506" t="str">
        <f>IF(T3506='Analysis backend'!$L$1,IF(ISERROR(MATCH('Analysis backend'!$M$1,E3506:I3506,0)),"Dire","Radiant"),"")</f>
        <v/>
      </c>
    </row>
    <row r="3507" spans="20:21" x14ac:dyDescent="0.3">
      <c r="T3507" t="str">
        <f>IF(ISERROR(MATCH('Analysis backend'!$M$1,E3507:N3507,0)),"",'Analysis backend'!$L$1)</f>
        <v/>
      </c>
      <c r="U3507" t="str">
        <f>IF(T3507='Analysis backend'!$L$1,IF(ISERROR(MATCH('Analysis backend'!$M$1,E3507:I3507,0)),"Dire","Radiant"),"")</f>
        <v/>
      </c>
    </row>
    <row r="3508" spans="20:21" x14ac:dyDescent="0.3">
      <c r="T3508" t="str">
        <f>IF(ISERROR(MATCH('Analysis backend'!$M$1,E3508:N3508,0)),"",'Analysis backend'!$L$1)</f>
        <v/>
      </c>
      <c r="U3508" t="str">
        <f>IF(T3508='Analysis backend'!$L$1,IF(ISERROR(MATCH('Analysis backend'!$M$1,E3508:I3508,0)),"Dire","Radiant"),"")</f>
        <v/>
      </c>
    </row>
    <row r="3509" spans="20:21" x14ac:dyDescent="0.3">
      <c r="T3509" t="str">
        <f>IF(ISERROR(MATCH('Analysis backend'!$M$1,E3509:N3509,0)),"",'Analysis backend'!$L$1)</f>
        <v/>
      </c>
      <c r="U3509" t="str">
        <f>IF(T3509='Analysis backend'!$L$1,IF(ISERROR(MATCH('Analysis backend'!$M$1,E3509:I3509,0)),"Dire","Radiant"),"")</f>
        <v/>
      </c>
    </row>
    <row r="3510" spans="20:21" x14ac:dyDescent="0.3">
      <c r="T3510" t="str">
        <f>IF(ISERROR(MATCH('Analysis backend'!$M$1,E3510:N3510,0)),"",'Analysis backend'!$L$1)</f>
        <v/>
      </c>
      <c r="U3510" t="str">
        <f>IF(T3510='Analysis backend'!$L$1,IF(ISERROR(MATCH('Analysis backend'!$M$1,E3510:I3510,0)),"Dire","Radiant"),"")</f>
        <v/>
      </c>
    </row>
    <row r="3511" spans="20:21" x14ac:dyDescent="0.3">
      <c r="T3511" t="str">
        <f>IF(ISERROR(MATCH('Analysis backend'!$M$1,E3511:N3511,0)),"",'Analysis backend'!$L$1)</f>
        <v/>
      </c>
      <c r="U3511" t="str">
        <f>IF(T3511='Analysis backend'!$L$1,IF(ISERROR(MATCH('Analysis backend'!$M$1,E3511:I3511,0)),"Dire","Radiant"),"")</f>
        <v/>
      </c>
    </row>
    <row r="3512" spans="20:21" x14ac:dyDescent="0.3">
      <c r="T3512" t="str">
        <f>IF(ISERROR(MATCH('Analysis backend'!$M$1,E3512:N3512,0)),"",'Analysis backend'!$L$1)</f>
        <v/>
      </c>
      <c r="U3512" t="str">
        <f>IF(T3512='Analysis backend'!$L$1,IF(ISERROR(MATCH('Analysis backend'!$M$1,E3512:I3512,0)),"Dire","Radiant"),"")</f>
        <v/>
      </c>
    </row>
    <row r="3513" spans="20:21" x14ac:dyDescent="0.3">
      <c r="T3513" t="str">
        <f>IF(ISERROR(MATCH('Analysis backend'!$M$1,E3513:N3513,0)),"",'Analysis backend'!$L$1)</f>
        <v/>
      </c>
      <c r="U3513" t="str">
        <f>IF(T3513='Analysis backend'!$L$1,IF(ISERROR(MATCH('Analysis backend'!$M$1,E3513:I3513,0)),"Dire","Radiant"),"")</f>
        <v/>
      </c>
    </row>
    <row r="3514" spans="20:21" x14ac:dyDescent="0.3">
      <c r="T3514" t="str">
        <f>IF(ISERROR(MATCH('Analysis backend'!$M$1,E3514:N3514,0)),"",'Analysis backend'!$L$1)</f>
        <v/>
      </c>
      <c r="U3514" t="str">
        <f>IF(T3514='Analysis backend'!$L$1,IF(ISERROR(MATCH('Analysis backend'!$M$1,E3514:I3514,0)),"Dire","Radiant"),"")</f>
        <v/>
      </c>
    </row>
    <row r="3515" spans="20:21" x14ac:dyDescent="0.3">
      <c r="T3515" t="str">
        <f>IF(ISERROR(MATCH('Analysis backend'!$M$1,E3515:N3515,0)),"",'Analysis backend'!$L$1)</f>
        <v/>
      </c>
      <c r="U3515" t="str">
        <f>IF(T3515='Analysis backend'!$L$1,IF(ISERROR(MATCH('Analysis backend'!$M$1,E3515:I3515,0)),"Dire","Radiant"),"")</f>
        <v/>
      </c>
    </row>
    <row r="3516" spans="20:21" x14ac:dyDescent="0.3">
      <c r="T3516" t="str">
        <f>IF(ISERROR(MATCH('Analysis backend'!$M$1,E3516:N3516,0)),"",'Analysis backend'!$L$1)</f>
        <v/>
      </c>
      <c r="U3516" t="str">
        <f>IF(T3516='Analysis backend'!$L$1,IF(ISERROR(MATCH('Analysis backend'!$M$1,E3516:I3516,0)),"Dire","Radiant"),"")</f>
        <v/>
      </c>
    </row>
    <row r="3517" spans="20:21" x14ac:dyDescent="0.3">
      <c r="T3517" t="str">
        <f>IF(ISERROR(MATCH('Analysis backend'!$M$1,E3517:N3517,0)),"",'Analysis backend'!$L$1)</f>
        <v/>
      </c>
      <c r="U3517" t="str">
        <f>IF(T3517='Analysis backend'!$L$1,IF(ISERROR(MATCH('Analysis backend'!$M$1,E3517:I3517,0)),"Dire","Radiant"),"")</f>
        <v/>
      </c>
    </row>
    <row r="3518" spans="20:21" x14ac:dyDescent="0.3">
      <c r="T3518" t="str">
        <f>IF(ISERROR(MATCH('Analysis backend'!$M$1,E3518:N3518,0)),"",'Analysis backend'!$L$1)</f>
        <v/>
      </c>
      <c r="U3518" t="str">
        <f>IF(T3518='Analysis backend'!$L$1,IF(ISERROR(MATCH('Analysis backend'!$M$1,E3518:I3518,0)),"Dire","Radiant"),"")</f>
        <v/>
      </c>
    </row>
    <row r="3519" spans="20:21" x14ac:dyDescent="0.3">
      <c r="T3519" t="str">
        <f>IF(ISERROR(MATCH('Analysis backend'!$M$1,E3519:N3519,0)),"",'Analysis backend'!$L$1)</f>
        <v/>
      </c>
      <c r="U3519" t="str">
        <f>IF(T3519='Analysis backend'!$L$1,IF(ISERROR(MATCH('Analysis backend'!$M$1,E3519:I3519,0)),"Dire","Radiant"),"")</f>
        <v/>
      </c>
    </row>
    <row r="3520" spans="20:21" x14ac:dyDescent="0.3">
      <c r="T3520" t="str">
        <f>IF(ISERROR(MATCH('Analysis backend'!$M$1,E3520:N3520,0)),"",'Analysis backend'!$L$1)</f>
        <v/>
      </c>
      <c r="U3520" t="str">
        <f>IF(T3520='Analysis backend'!$L$1,IF(ISERROR(MATCH('Analysis backend'!$M$1,E3520:I3520,0)),"Dire","Radiant"),"")</f>
        <v/>
      </c>
    </row>
    <row r="3521" spans="20:21" x14ac:dyDescent="0.3">
      <c r="T3521" t="str">
        <f>IF(ISERROR(MATCH('Analysis backend'!$M$1,E3521:N3521,0)),"",'Analysis backend'!$L$1)</f>
        <v/>
      </c>
      <c r="U3521" t="str">
        <f>IF(T3521='Analysis backend'!$L$1,IF(ISERROR(MATCH('Analysis backend'!$M$1,E3521:I3521,0)),"Dire","Radiant"),"")</f>
        <v/>
      </c>
    </row>
    <row r="3522" spans="20:21" x14ac:dyDescent="0.3">
      <c r="T3522" t="str">
        <f>IF(ISERROR(MATCH('Analysis backend'!$M$1,E3522:N3522,0)),"",'Analysis backend'!$L$1)</f>
        <v/>
      </c>
      <c r="U3522" t="str">
        <f>IF(T3522='Analysis backend'!$L$1,IF(ISERROR(MATCH('Analysis backend'!$M$1,E3522:I3522,0)),"Dire","Radiant"),"")</f>
        <v/>
      </c>
    </row>
    <row r="3523" spans="20:21" x14ac:dyDescent="0.3">
      <c r="T3523" t="str">
        <f>IF(ISERROR(MATCH('Analysis backend'!$M$1,E3523:N3523,0)),"",'Analysis backend'!$L$1)</f>
        <v/>
      </c>
      <c r="U3523" t="str">
        <f>IF(T3523='Analysis backend'!$L$1,IF(ISERROR(MATCH('Analysis backend'!$M$1,E3523:I3523,0)),"Dire","Radiant"),"")</f>
        <v/>
      </c>
    </row>
    <row r="3524" spans="20:21" x14ac:dyDescent="0.3">
      <c r="T3524" t="str">
        <f>IF(ISERROR(MATCH('Analysis backend'!$M$1,E3524:N3524,0)),"",'Analysis backend'!$L$1)</f>
        <v/>
      </c>
      <c r="U3524" t="str">
        <f>IF(T3524='Analysis backend'!$L$1,IF(ISERROR(MATCH('Analysis backend'!$M$1,E3524:I3524,0)),"Dire","Radiant"),"")</f>
        <v/>
      </c>
    </row>
    <row r="3525" spans="20:21" x14ac:dyDescent="0.3">
      <c r="T3525" t="str">
        <f>IF(ISERROR(MATCH('Analysis backend'!$M$1,E3525:N3525,0)),"",'Analysis backend'!$L$1)</f>
        <v/>
      </c>
      <c r="U3525" t="str">
        <f>IF(T3525='Analysis backend'!$L$1,IF(ISERROR(MATCH('Analysis backend'!$M$1,E3525:I3525,0)),"Dire","Radiant"),"")</f>
        <v/>
      </c>
    </row>
    <row r="3526" spans="20:21" x14ac:dyDescent="0.3">
      <c r="T3526" t="str">
        <f>IF(ISERROR(MATCH('Analysis backend'!$M$1,E3526:N3526,0)),"",'Analysis backend'!$L$1)</f>
        <v/>
      </c>
      <c r="U3526" t="str">
        <f>IF(T3526='Analysis backend'!$L$1,IF(ISERROR(MATCH('Analysis backend'!$M$1,E3526:I3526,0)),"Dire","Radiant"),"")</f>
        <v/>
      </c>
    </row>
    <row r="3527" spans="20:21" x14ac:dyDescent="0.3">
      <c r="T3527" t="str">
        <f>IF(ISERROR(MATCH('Analysis backend'!$M$1,E3527:N3527,0)),"",'Analysis backend'!$L$1)</f>
        <v/>
      </c>
      <c r="U3527" t="str">
        <f>IF(T3527='Analysis backend'!$L$1,IF(ISERROR(MATCH('Analysis backend'!$M$1,E3527:I3527,0)),"Dire","Radiant"),"")</f>
        <v/>
      </c>
    </row>
    <row r="3528" spans="20:21" x14ac:dyDescent="0.3">
      <c r="T3528" t="str">
        <f>IF(ISERROR(MATCH('Analysis backend'!$M$1,E3528:N3528,0)),"",'Analysis backend'!$L$1)</f>
        <v/>
      </c>
      <c r="U3528" t="str">
        <f>IF(T3528='Analysis backend'!$L$1,IF(ISERROR(MATCH('Analysis backend'!$M$1,E3528:I3528,0)),"Dire","Radiant"),"")</f>
        <v/>
      </c>
    </row>
    <row r="3529" spans="20:21" x14ac:dyDescent="0.3">
      <c r="T3529" t="str">
        <f>IF(ISERROR(MATCH('Analysis backend'!$M$1,E3529:N3529,0)),"",'Analysis backend'!$L$1)</f>
        <v/>
      </c>
      <c r="U3529" t="str">
        <f>IF(T3529='Analysis backend'!$L$1,IF(ISERROR(MATCH('Analysis backend'!$M$1,E3529:I3529,0)),"Dire","Radiant"),"")</f>
        <v/>
      </c>
    </row>
    <row r="3530" spans="20:21" x14ac:dyDescent="0.3">
      <c r="T3530" t="str">
        <f>IF(ISERROR(MATCH('Analysis backend'!$M$1,E3530:N3530,0)),"",'Analysis backend'!$L$1)</f>
        <v/>
      </c>
      <c r="U3530" t="str">
        <f>IF(T3530='Analysis backend'!$L$1,IF(ISERROR(MATCH('Analysis backend'!$M$1,E3530:I3530,0)),"Dire","Radiant"),"")</f>
        <v/>
      </c>
    </row>
    <row r="3531" spans="20:21" x14ac:dyDescent="0.3">
      <c r="T3531" t="str">
        <f>IF(ISERROR(MATCH('Analysis backend'!$M$1,E3531:N3531,0)),"",'Analysis backend'!$L$1)</f>
        <v/>
      </c>
      <c r="U3531" t="str">
        <f>IF(T3531='Analysis backend'!$L$1,IF(ISERROR(MATCH('Analysis backend'!$M$1,E3531:I3531,0)),"Dire","Radiant"),"")</f>
        <v/>
      </c>
    </row>
    <row r="3532" spans="20:21" x14ac:dyDescent="0.3">
      <c r="T3532" t="str">
        <f>IF(ISERROR(MATCH('Analysis backend'!$M$1,E3532:N3532,0)),"",'Analysis backend'!$L$1)</f>
        <v/>
      </c>
      <c r="U3532" t="str">
        <f>IF(T3532='Analysis backend'!$L$1,IF(ISERROR(MATCH('Analysis backend'!$M$1,E3532:I3532,0)),"Dire","Radiant"),"")</f>
        <v/>
      </c>
    </row>
    <row r="3533" spans="20:21" x14ac:dyDescent="0.3">
      <c r="T3533" t="str">
        <f>IF(ISERROR(MATCH('Analysis backend'!$M$1,E3533:N3533,0)),"",'Analysis backend'!$L$1)</f>
        <v/>
      </c>
      <c r="U3533" t="str">
        <f>IF(T3533='Analysis backend'!$L$1,IF(ISERROR(MATCH('Analysis backend'!$M$1,E3533:I3533,0)),"Dire","Radiant"),"")</f>
        <v/>
      </c>
    </row>
    <row r="3534" spans="20:21" x14ac:dyDescent="0.3">
      <c r="T3534" t="str">
        <f>IF(ISERROR(MATCH('Analysis backend'!$M$1,E3534:N3534,0)),"",'Analysis backend'!$L$1)</f>
        <v/>
      </c>
      <c r="U3534" t="str">
        <f>IF(T3534='Analysis backend'!$L$1,IF(ISERROR(MATCH('Analysis backend'!$M$1,E3534:I3534,0)),"Dire","Radiant"),"")</f>
        <v/>
      </c>
    </row>
    <row r="3535" spans="20:21" x14ac:dyDescent="0.3">
      <c r="T3535" t="str">
        <f>IF(ISERROR(MATCH('Analysis backend'!$M$1,E3535:N3535,0)),"",'Analysis backend'!$L$1)</f>
        <v/>
      </c>
      <c r="U3535" t="str">
        <f>IF(T3535='Analysis backend'!$L$1,IF(ISERROR(MATCH('Analysis backend'!$M$1,E3535:I3535,0)),"Dire","Radiant"),"")</f>
        <v/>
      </c>
    </row>
    <row r="3536" spans="20:21" x14ac:dyDescent="0.3">
      <c r="T3536" t="str">
        <f>IF(ISERROR(MATCH('Analysis backend'!$M$1,E3536:N3536,0)),"",'Analysis backend'!$L$1)</f>
        <v/>
      </c>
      <c r="U3536" t="str">
        <f>IF(T3536='Analysis backend'!$L$1,IF(ISERROR(MATCH('Analysis backend'!$M$1,E3536:I3536,0)),"Dire","Radiant"),"")</f>
        <v/>
      </c>
    </row>
    <row r="3537" spans="20:21" x14ac:dyDescent="0.3">
      <c r="T3537" t="str">
        <f>IF(ISERROR(MATCH('Analysis backend'!$M$1,E3537:N3537,0)),"",'Analysis backend'!$L$1)</f>
        <v/>
      </c>
      <c r="U3537" t="str">
        <f>IF(T3537='Analysis backend'!$L$1,IF(ISERROR(MATCH('Analysis backend'!$M$1,E3537:I3537,0)),"Dire","Radiant"),"")</f>
        <v/>
      </c>
    </row>
    <row r="3538" spans="20:21" x14ac:dyDescent="0.3">
      <c r="T3538" t="str">
        <f>IF(ISERROR(MATCH('Analysis backend'!$M$1,E3538:N3538,0)),"",'Analysis backend'!$L$1)</f>
        <v/>
      </c>
      <c r="U3538" t="str">
        <f>IF(T3538='Analysis backend'!$L$1,IF(ISERROR(MATCH('Analysis backend'!$M$1,E3538:I3538,0)),"Dire","Radiant"),"")</f>
        <v/>
      </c>
    </row>
    <row r="3539" spans="20:21" x14ac:dyDescent="0.3">
      <c r="T3539" t="str">
        <f>IF(ISERROR(MATCH('Analysis backend'!$M$1,E3539:N3539,0)),"",'Analysis backend'!$L$1)</f>
        <v/>
      </c>
      <c r="U3539" t="str">
        <f>IF(T3539='Analysis backend'!$L$1,IF(ISERROR(MATCH('Analysis backend'!$M$1,E3539:I3539,0)),"Dire","Radiant"),"")</f>
        <v/>
      </c>
    </row>
    <row r="3540" spans="20:21" x14ac:dyDescent="0.3">
      <c r="T3540" t="str">
        <f>IF(ISERROR(MATCH('Analysis backend'!$M$1,E3540:N3540,0)),"",'Analysis backend'!$L$1)</f>
        <v/>
      </c>
      <c r="U3540" t="str">
        <f>IF(T3540='Analysis backend'!$L$1,IF(ISERROR(MATCH('Analysis backend'!$M$1,E3540:I3540,0)),"Dire","Radiant"),"")</f>
        <v/>
      </c>
    </row>
    <row r="3541" spans="20:21" x14ac:dyDescent="0.3">
      <c r="T3541" t="str">
        <f>IF(ISERROR(MATCH('Analysis backend'!$M$1,E3541:N3541,0)),"",'Analysis backend'!$L$1)</f>
        <v/>
      </c>
      <c r="U3541" t="str">
        <f>IF(T3541='Analysis backend'!$L$1,IF(ISERROR(MATCH('Analysis backend'!$M$1,E3541:I3541,0)),"Dire","Radiant"),"")</f>
        <v/>
      </c>
    </row>
    <row r="3542" spans="20:21" x14ac:dyDescent="0.3">
      <c r="T3542" t="str">
        <f>IF(ISERROR(MATCH('Analysis backend'!$M$1,E3542:N3542,0)),"",'Analysis backend'!$L$1)</f>
        <v/>
      </c>
      <c r="U3542" t="str">
        <f>IF(T3542='Analysis backend'!$L$1,IF(ISERROR(MATCH('Analysis backend'!$M$1,E3542:I3542,0)),"Dire","Radiant"),"")</f>
        <v/>
      </c>
    </row>
    <row r="3543" spans="20:21" x14ac:dyDescent="0.3">
      <c r="T3543" t="str">
        <f>IF(ISERROR(MATCH('Analysis backend'!$M$1,E3543:N3543,0)),"",'Analysis backend'!$L$1)</f>
        <v/>
      </c>
      <c r="U3543" t="str">
        <f>IF(T3543='Analysis backend'!$L$1,IF(ISERROR(MATCH('Analysis backend'!$M$1,E3543:I3543,0)),"Dire","Radiant"),"")</f>
        <v/>
      </c>
    </row>
    <row r="3544" spans="20:21" x14ac:dyDescent="0.3">
      <c r="T3544" t="str">
        <f>IF(ISERROR(MATCH('Analysis backend'!$M$1,E3544:N3544,0)),"",'Analysis backend'!$L$1)</f>
        <v/>
      </c>
      <c r="U3544" t="str">
        <f>IF(T3544='Analysis backend'!$L$1,IF(ISERROR(MATCH('Analysis backend'!$M$1,E3544:I3544,0)),"Dire","Radiant"),"")</f>
        <v/>
      </c>
    </row>
    <row r="3545" spans="20:21" x14ac:dyDescent="0.3">
      <c r="T3545" t="str">
        <f>IF(ISERROR(MATCH('Analysis backend'!$M$1,E3545:N3545,0)),"",'Analysis backend'!$L$1)</f>
        <v/>
      </c>
      <c r="U3545" t="str">
        <f>IF(T3545='Analysis backend'!$L$1,IF(ISERROR(MATCH('Analysis backend'!$M$1,E3545:I3545,0)),"Dire","Radiant"),"")</f>
        <v/>
      </c>
    </row>
    <row r="3546" spans="20:21" x14ac:dyDescent="0.3">
      <c r="T3546" t="str">
        <f>IF(ISERROR(MATCH('Analysis backend'!$M$1,E3546:N3546,0)),"",'Analysis backend'!$L$1)</f>
        <v/>
      </c>
      <c r="U3546" t="str">
        <f>IF(T3546='Analysis backend'!$L$1,IF(ISERROR(MATCH('Analysis backend'!$M$1,E3546:I3546,0)),"Dire","Radiant"),"")</f>
        <v/>
      </c>
    </row>
    <row r="3547" spans="20:21" x14ac:dyDescent="0.3">
      <c r="T3547" t="str">
        <f>IF(ISERROR(MATCH('Analysis backend'!$M$1,E3547:N3547,0)),"",'Analysis backend'!$L$1)</f>
        <v/>
      </c>
      <c r="U3547" t="str">
        <f>IF(T3547='Analysis backend'!$L$1,IF(ISERROR(MATCH('Analysis backend'!$M$1,E3547:I3547,0)),"Dire","Radiant"),"")</f>
        <v/>
      </c>
    </row>
    <row r="3548" spans="20:21" x14ac:dyDescent="0.3">
      <c r="T3548" t="str">
        <f>IF(ISERROR(MATCH('Analysis backend'!$M$1,E3548:N3548,0)),"",'Analysis backend'!$L$1)</f>
        <v/>
      </c>
      <c r="U3548" t="str">
        <f>IF(T3548='Analysis backend'!$L$1,IF(ISERROR(MATCH('Analysis backend'!$M$1,E3548:I3548,0)),"Dire","Radiant"),"")</f>
        <v/>
      </c>
    </row>
    <row r="3549" spans="20:21" x14ac:dyDescent="0.3">
      <c r="T3549" t="str">
        <f>IF(ISERROR(MATCH('Analysis backend'!$M$1,E3549:N3549,0)),"",'Analysis backend'!$L$1)</f>
        <v/>
      </c>
      <c r="U3549" t="str">
        <f>IF(T3549='Analysis backend'!$L$1,IF(ISERROR(MATCH('Analysis backend'!$M$1,E3549:I3549,0)),"Dire","Radiant"),"")</f>
        <v/>
      </c>
    </row>
    <row r="3550" spans="20:21" x14ac:dyDescent="0.3">
      <c r="T3550" t="str">
        <f>IF(ISERROR(MATCH('Analysis backend'!$M$1,E3550:N3550,0)),"",'Analysis backend'!$L$1)</f>
        <v/>
      </c>
      <c r="U3550" t="str">
        <f>IF(T3550='Analysis backend'!$L$1,IF(ISERROR(MATCH('Analysis backend'!$M$1,E3550:I3550,0)),"Dire","Radiant"),"")</f>
        <v/>
      </c>
    </row>
    <row r="3551" spans="20:21" x14ac:dyDescent="0.3">
      <c r="T3551" t="str">
        <f>IF(ISERROR(MATCH('Analysis backend'!$M$1,E3551:N3551,0)),"",'Analysis backend'!$L$1)</f>
        <v/>
      </c>
      <c r="U3551" t="str">
        <f>IF(T3551='Analysis backend'!$L$1,IF(ISERROR(MATCH('Analysis backend'!$M$1,E3551:I3551,0)),"Dire","Radiant"),"")</f>
        <v/>
      </c>
    </row>
    <row r="3552" spans="20:21" x14ac:dyDescent="0.3">
      <c r="T3552" t="str">
        <f>IF(ISERROR(MATCH('Analysis backend'!$M$1,E3552:N3552,0)),"",'Analysis backend'!$L$1)</f>
        <v/>
      </c>
      <c r="U3552" t="str">
        <f>IF(T3552='Analysis backend'!$L$1,IF(ISERROR(MATCH('Analysis backend'!$M$1,E3552:I3552,0)),"Dire","Radiant"),"")</f>
        <v/>
      </c>
    </row>
    <row r="3553" spans="20:21" x14ac:dyDescent="0.3">
      <c r="T3553" t="str">
        <f>IF(ISERROR(MATCH('Analysis backend'!$M$1,E3553:N3553,0)),"",'Analysis backend'!$L$1)</f>
        <v/>
      </c>
      <c r="U3553" t="str">
        <f>IF(T3553='Analysis backend'!$L$1,IF(ISERROR(MATCH('Analysis backend'!$M$1,E3553:I3553,0)),"Dire","Radiant"),"")</f>
        <v/>
      </c>
    </row>
    <row r="3554" spans="20:21" x14ac:dyDescent="0.3">
      <c r="T3554" t="str">
        <f>IF(ISERROR(MATCH('Analysis backend'!$M$1,E3554:N3554,0)),"",'Analysis backend'!$L$1)</f>
        <v/>
      </c>
      <c r="U3554" t="str">
        <f>IF(T3554='Analysis backend'!$L$1,IF(ISERROR(MATCH('Analysis backend'!$M$1,E3554:I3554,0)),"Dire","Radiant"),"")</f>
        <v/>
      </c>
    </row>
    <row r="3555" spans="20:21" x14ac:dyDescent="0.3">
      <c r="T3555" t="str">
        <f>IF(ISERROR(MATCH('Analysis backend'!$M$1,E3555:N3555,0)),"",'Analysis backend'!$L$1)</f>
        <v/>
      </c>
      <c r="U3555" t="str">
        <f>IF(T3555='Analysis backend'!$L$1,IF(ISERROR(MATCH('Analysis backend'!$M$1,E3555:I3555,0)),"Dire","Radiant"),"")</f>
        <v/>
      </c>
    </row>
    <row r="3556" spans="20:21" x14ac:dyDescent="0.3">
      <c r="T3556" t="str">
        <f>IF(ISERROR(MATCH('Analysis backend'!$M$1,E3556:N3556,0)),"",'Analysis backend'!$L$1)</f>
        <v/>
      </c>
      <c r="U3556" t="str">
        <f>IF(T3556='Analysis backend'!$L$1,IF(ISERROR(MATCH('Analysis backend'!$M$1,E3556:I3556,0)),"Dire","Radiant"),"")</f>
        <v/>
      </c>
    </row>
    <row r="3557" spans="20:21" x14ac:dyDescent="0.3">
      <c r="T3557" t="str">
        <f>IF(ISERROR(MATCH('Analysis backend'!$M$1,E3557:N3557,0)),"",'Analysis backend'!$L$1)</f>
        <v/>
      </c>
      <c r="U3557" t="str">
        <f>IF(T3557='Analysis backend'!$L$1,IF(ISERROR(MATCH('Analysis backend'!$M$1,E3557:I3557,0)),"Dire","Radiant"),"")</f>
        <v/>
      </c>
    </row>
    <row r="3558" spans="20:21" x14ac:dyDescent="0.3">
      <c r="T3558" t="str">
        <f>IF(ISERROR(MATCH('Analysis backend'!$M$1,E3558:N3558,0)),"",'Analysis backend'!$L$1)</f>
        <v/>
      </c>
      <c r="U3558" t="str">
        <f>IF(T3558='Analysis backend'!$L$1,IF(ISERROR(MATCH('Analysis backend'!$M$1,E3558:I3558,0)),"Dire","Radiant"),"")</f>
        <v/>
      </c>
    </row>
    <row r="3559" spans="20:21" x14ac:dyDescent="0.3">
      <c r="T3559" t="str">
        <f>IF(ISERROR(MATCH('Analysis backend'!$M$1,E3559:N3559,0)),"",'Analysis backend'!$L$1)</f>
        <v/>
      </c>
      <c r="U3559" t="str">
        <f>IF(T3559='Analysis backend'!$L$1,IF(ISERROR(MATCH('Analysis backend'!$M$1,E3559:I3559,0)),"Dire","Radiant"),"")</f>
        <v/>
      </c>
    </row>
    <row r="3560" spans="20:21" x14ac:dyDescent="0.3">
      <c r="T3560" t="str">
        <f>IF(ISERROR(MATCH('Analysis backend'!$M$1,E3560:N3560,0)),"",'Analysis backend'!$L$1)</f>
        <v/>
      </c>
      <c r="U3560" t="str">
        <f>IF(T3560='Analysis backend'!$L$1,IF(ISERROR(MATCH('Analysis backend'!$M$1,E3560:I3560,0)),"Dire","Radiant"),"")</f>
        <v/>
      </c>
    </row>
    <row r="3561" spans="20:21" x14ac:dyDescent="0.3">
      <c r="T3561" t="str">
        <f>IF(ISERROR(MATCH('Analysis backend'!$M$1,E3561:N3561,0)),"",'Analysis backend'!$L$1)</f>
        <v/>
      </c>
      <c r="U3561" t="str">
        <f>IF(T3561='Analysis backend'!$L$1,IF(ISERROR(MATCH('Analysis backend'!$M$1,E3561:I3561,0)),"Dire","Radiant"),"")</f>
        <v/>
      </c>
    </row>
    <row r="3562" spans="20:21" x14ac:dyDescent="0.3">
      <c r="T3562" t="str">
        <f>IF(ISERROR(MATCH('Analysis backend'!$M$1,E3562:N3562,0)),"",'Analysis backend'!$L$1)</f>
        <v/>
      </c>
      <c r="U3562" t="str">
        <f>IF(T3562='Analysis backend'!$L$1,IF(ISERROR(MATCH('Analysis backend'!$M$1,E3562:I3562,0)),"Dire","Radiant"),"")</f>
        <v/>
      </c>
    </row>
    <row r="3563" spans="20:21" x14ac:dyDescent="0.3">
      <c r="T3563" t="str">
        <f>IF(ISERROR(MATCH('Analysis backend'!$M$1,E3563:N3563,0)),"",'Analysis backend'!$L$1)</f>
        <v/>
      </c>
      <c r="U3563" t="str">
        <f>IF(T3563='Analysis backend'!$L$1,IF(ISERROR(MATCH('Analysis backend'!$M$1,E3563:I3563,0)),"Dire","Radiant"),"")</f>
        <v/>
      </c>
    </row>
    <row r="3564" spans="20:21" x14ac:dyDescent="0.3">
      <c r="T3564" t="str">
        <f>IF(ISERROR(MATCH('Analysis backend'!$M$1,E3564:N3564,0)),"",'Analysis backend'!$L$1)</f>
        <v/>
      </c>
      <c r="U3564" t="str">
        <f>IF(T3564='Analysis backend'!$L$1,IF(ISERROR(MATCH('Analysis backend'!$M$1,E3564:I3564,0)),"Dire","Radiant"),"")</f>
        <v/>
      </c>
    </row>
    <row r="3565" spans="20:21" x14ac:dyDescent="0.3">
      <c r="T3565" t="str">
        <f>IF(ISERROR(MATCH('Analysis backend'!$M$1,E3565:N3565,0)),"",'Analysis backend'!$L$1)</f>
        <v/>
      </c>
      <c r="U3565" t="str">
        <f>IF(T3565='Analysis backend'!$L$1,IF(ISERROR(MATCH('Analysis backend'!$M$1,E3565:I3565,0)),"Dire","Radiant"),"")</f>
        <v/>
      </c>
    </row>
    <row r="3566" spans="20:21" x14ac:dyDescent="0.3">
      <c r="T3566" t="str">
        <f>IF(ISERROR(MATCH('Analysis backend'!$M$1,E3566:N3566,0)),"",'Analysis backend'!$L$1)</f>
        <v/>
      </c>
      <c r="U3566" t="str">
        <f>IF(T3566='Analysis backend'!$L$1,IF(ISERROR(MATCH('Analysis backend'!$M$1,E3566:I3566,0)),"Dire","Radiant"),"")</f>
        <v/>
      </c>
    </row>
    <row r="3567" spans="20:21" x14ac:dyDescent="0.3">
      <c r="T3567" t="str">
        <f>IF(ISERROR(MATCH('Analysis backend'!$M$1,E3567:N3567,0)),"",'Analysis backend'!$L$1)</f>
        <v/>
      </c>
      <c r="U3567" t="str">
        <f>IF(T3567='Analysis backend'!$L$1,IF(ISERROR(MATCH('Analysis backend'!$M$1,E3567:I3567,0)),"Dire","Radiant"),"")</f>
        <v/>
      </c>
    </row>
    <row r="3568" spans="20:21" x14ac:dyDescent="0.3">
      <c r="T3568" t="str">
        <f>IF(ISERROR(MATCH('Analysis backend'!$M$1,E3568:N3568,0)),"",'Analysis backend'!$L$1)</f>
        <v/>
      </c>
      <c r="U3568" t="str">
        <f>IF(T3568='Analysis backend'!$L$1,IF(ISERROR(MATCH('Analysis backend'!$M$1,E3568:I3568,0)),"Dire","Radiant"),"")</f>
        <v/>
      </c>
    </row>
    <row r="3569" spans="20:21" x14ac:dyDescent="0.3">
      <c r="T3569" t="str">
        <f>IF(ISERROR(MATCH('Analysis backend'!$M$1,E3569:N3569,0)),"",'Analysis backend'!$L$1)</f>
        <v/>
      </c>
      <c r="U3569" t="str">
        <f>IF(T3569='Analysis backend'!$L$1,IF(ISERROR(MATCH('Analysis backend'!$M$1,E3569:I3569,0)),"Dire","Radiant"),"")</f>
        <v/>
      </c>
    </row>
    <row r="3570" spans="20:21" x14ac:dyDescent="0.3">
      <c r="T3570" t="str">
        <f>IF(ISERROR(MATCH('Analysis backend'!$M$1,E3570:N3570,0)),"",'Analysis backend'!$L$1)</f>
        <v/>
      </c>
      <c r="U3570" t="str">
        <f>IF(T3570='Analysis backend'!$L$1,IF(ISERROR(MATCH('Analysis backend'!$M$1,E3570:I3570,0)),"Dire","Radiant"),"")</f>
        <v/>
      </c>
    </row>
    <row r="3571" spans="20:21" x14ac:dyDescent="0.3">
      <c r="T3571" t="str">
        <f>IF(ISERROR(MATCH('Analysis backend'!$M$1,E3571:N3571,0)),"",'Analysis backend'!$L$1)</f>
        <v/>
      </c>
      <c r="U3571" t="str">
        <f>IF(T3571='Analysis backend'!$L$1,IF(ISERROR(MATCH('Analysis backend'!$M$1,E3571:I3571,0)),"Dire","Radiant"),"")</f>
        <v/>
      </c>
    </row>
    <row r="3572" spans="20:21" x14ac:dyDescent="0.3">
      <c r="T3572" t="str">
        <f>IF(ISERROR(MATCH('Analysis backend'!$M$1,E3572:N3572,0)),"",'Analysis backend'!$L$1)</f>
        <v/>
      </c>
      <c r="U3572" t="str">
        <f>IF(T3572='Analysis backend'!$L$1,IF(ISERROR(MATCH('Analysis backend'!$M$1,E3572:I3572,0)),"Dire","Radiant"),"")</f>
        <v/>
      </c>
    </row>
    <row r="3573" spans="20:21" x14ac:dyDescent="0.3">
      <c r="T3573" t="str">
        <f>IF(ISERROR(MATCH('Analysis backend'!$M$1,E3573:N3573,0)),"",'Analysis backend'!$L$1)</f>
        <v/>
      </c>
      <c r="U3573" t="str">
        <f>IF(T3573='Analysis backend'!$L$1,IF(ISERROR(MATCH('Analysis backend'!$M$1,E3573:I3573,0)),"Dire","Radiant"),"")</f>
        <v/>
      </c>
    </row>
    <row r="3574" spans="20:21" x14ac:dyDescent="0.3">
      <c r="T3574" t="str">
        <f>IF(ISERROR(MATCH('Analysis backend'!$M$1,E3574:N3574,0)),"",'Analysis backend'!$L$1)</f>
        <v/>
      </c>
      <c r="U3574" t="str">
        <f>IF(T3574='Analysis backend'!$L$1,IF(ISERROR(MATCH('Analysis backend'!$M$1,E3574:I3574,0)),"Dire","Radiant"),"")</f>
        <v/>
      </c>
    </row>
    <row r="3575" spans="20:21" x14ac:dyDescent="0.3">
      <c r="T3575" t="str">
        <f>IF(ISERROR(MATCH('Analysis backend'!$M$1,E3575:N3575,0)),"",'Analysis backend'!$L$1)</f>
        <v/>
      </c>
      <c r="U3575" t="str">
        <f>IF(T3575='Analysis backend'!$L$1,IF(ISERROR(MATCH('Analysis backend'!$M$1,E3575:I3575,0)),"Dire","Radiant"),"")</f>
        <v/>
      </c>
    </row>
    <row r="3576" spans="20:21" x14ac:dyDescent="0.3">
      <c r="T3576" t="str">
        <f>IF(ISERROR(MATCH('Analysis backend'!$M$1,E3576:N3576,0)),"",'Analysis backend'!$L$1)</f>
        <v/>
      </c>
      <c r="U3576" t="str">
        <f>IF(T3576='Analysis backend'!$L$1,IF(ISERROR(MATCH('Analysis backend'!$M$1,E3576:I3576,0)),"Dire","Radiant"),"")</f>
        <v/>
      </c>
    </row>
    <row r="3577" spans="20:21" x14ac:dyDescent="0.3">
      <c r="T3577" t="str">
        <f>IF(ISERROR(MATCH('Analysis backend'!$M$1,E3577:N3577,0)),"",'Analysis backend'!$L$1)</f>
        <v/>
      </c>
      <c r="U3577" t="str">
        <f>IF(T3577='Analysis backend'!$L$1,IF(ISERROR(MATCH('Analysis backend'!$M$1,E3577:I3577,0)),"Dire","Radiant"),"")</f>
        <v/>
      </c>
    </row>
    <row r="3578" spans="20:21" x14ac:dyDescent="0.3">
      <c r="T3578" t="str">
        <f>IF(ISERROR(MATCH('Analysis backend'!$M$1,E3578:N3578,0)),"",'Analysis backend'!$L$1)</f>
        <v/>
      </c>
      <c r="U3578" t="str">
        <f>IF(T3578='Analysis backend'!$L$1,IF(ISERROR(MATCH('Analysis backend'!$M$1,E3578:I3578,0)),"Dire","Radiant"),"")</f>
        <v/>
      </c>
    </row>
    <row r="3579" spans="20:21" x14ac:dyDescent="0.3">
      <c r="T3579" t="str">
        <f>IF(ISERROR(MATCH('Analysis backend'!$M$1,E3579:N3579,0)),"",'Analysis backend'!$L$1)</f>
        <v/>
      </c>
      <c r="U3579" t="str">
        <f>IF(T3579='Analysis backend'!$L$1,IF(ISERROR(MATCH('Analysis backend'!$M$1,E3579:I3579,0)),"Dire","Radiant"),"")</f>
        <v/>
      </c>
    </row>
    <row r="3580" spans="20:21" x14ac:dyDescent="0.3">
      <c r="T3580" t="str">
        <f>IF(ISERROR(MATCH('Analysis backend'!$M$1,E3580:N3580,0)),"",'Analysis backend'!$L$1)</f>
        <v/>
      </c>
      <c r="U3580" t="str">
        <f>IF(T3580='Analysis backend'!$L$1,IF(ISERROR(MATCH('Analysis backend'!$M$1,E3580:I3580,0)),"Dire","Radiant"),"")</f>
        <v/>
      </c>
    </row>
    <row r="3581" spans="20:21" x14ac:dyDescent="0.3">
      <c r="T3581" t="str">
        <f>IF(ISERROR(MATCH('Analysis backend'!$M$1,E3581:N3581,0)),"",'Analysis backend'!$L$1)</f>
        <v/>
      </c>
      <c r="U3581" t="str">
        <f>IF(T3581='Analysis backend'!$L$1,IF(ISERROR(MATCH('Analysis backend'!$M$1,E3581:I3581,0)),"Dire","Radiant"),"")</f>
        <v/>
      </c>
    </row>
    <row r="3582" spans="20:21" x14ac:dyDescent="0.3">
      <c r="T3582" t="str">
        <f>IF(ISERROR(MATCH('Analysis backend'!$M$1,E3582:N3582,0)),"",'Analysis backend'!$L$1)</f>
        <v/>
      </c>
      <c r="U3582" t="str">
        <f>IF(T3582='Analysis backend'!$L$1,IF(ISERROR(MATCH('Analysis backend'!$M$1,E3582:I3582,0)),"Dire","Radiant"),"")</f>
        <v/>
      </c>
    </row>
    <row r="3583" spans="20:21" x14ac:dyDescent="0.3">
      <c r="T3583" t="str">
        <f>IF(ISERROR(MATCH('Analysis backend'!$M$1,E3583:N3583,0)),"",'Analysis backend'!$L$1)</f>
        <v/>
      </c>
      <c r="U3583" t="str">
        <f>IF(T3583='Analysis backend'!$L$1,IF(ISERROR(MATCH('Analysis backend'!$M$1,E3583:I3583,0)),"Dire","Radiant"),"")</f>
        <v/>
      </c>
    </row>
    <row r="3584" spans="20:21" x14ac:dyDescent="0.3">
      <c r="T3584" t="str">
        <f>IF(ISERROR(MATCH('Analysis backend'!$M$1,E3584:N3584,0)),"",'Analysis backend'!$L$1)</f>
        <v/>
      </c>
      <c r="U3584" t="str">
        <f>IF(T3584='Analysis backend'!$L$1,IF(ISERROR(MATCH('Analysis backend'!$M$1,E3584:I3584,0)),"Dire","Radiant"),"")</f>
        <v/>
      </c>
    </row>
    <row r="3585" spans="20:21" x14ac:dyDescent="0.3">
      <c r="T3585" t="str">
        <f>IF(ISERROR(MATCH('Analysis backend'!$M$1,E3585:N3585,0)),"",'Analysis backend'!$L$1)</f>
        <v/>
      </c>
      <c r="U3585" t="str">
        <f>IF(T3585='Analysis backend'!$L$1,IF(ISERROR(MATCH('Analysis backend'!$M$1,E3585:I3585,0)),"Dire","Radiant"),"")</f>
        <v/>
      </c>
    </row>
    <row r="3586" spans="20:21" x14ac:dyDescent="0.3">
      <c r="T3586" t="str">
        <f>IF(ISERROR(MATCH('Analysis backend'!$M$1,E3586:N3586,0)),"",'Analysis backend'!$L$1)</f>
        <v/>
      </c>
      <c r="U3586" t="str">
        <f>IF(T3586='Analysis backend'!$L$1,IF(ISERROR(MATCH('Analysis backend'!$M$1,E3586:I3586,0)),"Dire","Radiant"),"")</f>
        <v/>
      </c>
    </row>
    <row r="3587" spans="20:21" x14ac:dyDescent="0.3">
      <c r="T3587" t="str">
        <f>IF(ISERROR(MATCH('Analysis backend'!$M$1,E3587:N3587,0)),"",'Analysis backend'!$L$1)</f>
        <v/>
      </c>
      <c r="U3587" t="str">
        <f>IF(T3587='Analysis backend'!$L$1,IF(ISERROR(MATCH('Analysis backend'!$M$1,E3587:I3587,0)),"Dire","Radiant"),"")</f>
        <v/>
      </c>
    </row>
    <row r="3588" spans="20:21" x14ac:dyDescent="0.3">
      <c r="T3588" t="str">
        <f>IF(ISERROR(MATCH('Analysis backend'!$M$1,E3588:N3588,0)),"",'Analysis backend'!$L$1)</f>
        <v/>
      </c>
      <c r="U3588" t="str">
        <f>IF(T3588='Analysis backend'!$L$1,IF(ISERROR(MATCH('Analysis backend'!$M$1,E3588:I3588,0)),"Dire","Radiant"),"")</f>
        <v/>
      </c>
    </row>
    <row r="3589" spans="20:21" x14ac:dyDescent="0.3">
      <c r="T3589" t="str">
        <f>IF(ISERROR(MATCH('Analysis backend'!$M$1,E3589:N3589,0)),"",'Analysis backend'!$L$1)</f>
        <v/>
      </c>
      <c r="U3589" t="str">
        <f>IF(T3589='Analysis backend'!$L$1,IF(ISERROR(MATCH('Analysis backend'!$M$1,E3589:I3589,0)),"Dire","Radiant"),"")</f>
        <v/>
      </c>
    </row>
    <row r="3590" spans="20:21" x14ac:dyDescent="0.3">
      <c r="T3590" t="str">
        <f>IF(ISERROR(MATCH('Analysis backend'!$M$1,E3590:N3590,0)),"",'Analysis backend'!$L$1)</f>
        <v/>
      </c>
      <c r="U3590" t="str">
        <f>IF(T3590='Analysis backend'!$L$1,IF(ISERROR(MATCH('Analysis backend'!$M$1,E3590:I3590,0)),"Dire","Radiant"),"")</f>
        <v/>
      </c>
    </row>
    <row r="3591" spans="20:21" x14ac:dyDescent="0.3">
      <c r="T3591" t="str">
        <f>IF(ISERROR(MATCH('Analysis backend'!$M$1,E3591:N3591,0)),"",'Analysis backend'!$L$1)</f>
        <v/>
      </c>
      <c r="U3591" t="str">
        <f>IF(T3591='Analysis backend'!$L$1,IF(ISERROR(MATCH('Analysis backend'!$M$1,E3591:I3591,0)),"Dire","Radiant"),"")</f>
        <v/>
      </c>
    </row>
    <row r="3592" spans="20:21" x14ac:dyDescent="0.3">
      <c r="T3592" t="str">
        <f>IF(ISERROR(MATCH('Analysis backend'!$M$1,E3592:N3592,0)),"",'Analysis backend'!$L$1)</f>
        <v/>
      </c>
      <c r="U3592" t="str">
        <f>IF(T3592='Analysis backend'!$L$1,IF(ISERROR(MATCH('Analysis backend'!$M$1,E3592:I3592,0)),"Dire","Radiant"),"")</f>
        <v/>
      </c>
    </row>
    <row r="3593" spans="20:21" x14ac:dyDescent="0.3">
      <c r="T3593" t="str">
        <f>IF(ISERROR(MATCH('Analysis backend'!$M$1,E3593:N3593,0)),"",'Analysis backend'!$L$1)</f>
        <v/>
      </c>
      <c r="U3593" t="str">
        <f>IF(T3593='Analysis backend'!$L$1,IF(ISERROR(MATCH('Analysis backend'!$M$1,E3593:I3593,0)),"Dire","Radiant"),"")</f>
        <v/>
      </c>
    </row>
    <row r="3594" spans="20:21" x14ac:dyDescent="0.3">
      <c r="T3594" t="str">
        <f>IF(ISERROR(MATCH('Analysis backend'!$M$1,E3594:N3594,0)),"",'Analysis backend'!$L$1)</f>
        <v/>
      </c>
      <c r="U3594" t="str">
        <f>IF(T3594='Analysis backend'!$L$1,IF(ISERROR(MATCH('Analysis backend'!$M$1,E3594:I3594,0)),"Dire","Radiant"),"")</f>
        <v/>
      </c>
    </row>
    <row r="3595" spans="20:21" x14ac:dyDescent="0.3">
      <c r="T3595" t="str">
        <f>IF(ISERROR(MATCH('Analysis backend'!$M$1,E3595:N3595,0)),"",'Analysis backend'!$L$1)</f>
        <v/>
      </c>
      <c r="U3595" t="str">
        <f>IF(T3595='Analysis backend'!$L$1,IF(ISERROR(MATCH('Analysis backend'!$M$1,E3595:I3595,0)),"Dire","Radiant"),"")</f>
        <v/>
      </c>
    </row>
    <row r="3596" spans="20:21" x14ac:dyDescent="0.3">
      <c r="T3596" t="str">
        <f>IF(ISERROR(MATCH('Analysis backend'!$M$1,E3596:N3596,0)),"",'Analysis backend'!$L$1)</f>
        <v/>
      </c>
      <c r="U3596" t="str">
        <f>IF(T3596='Analysis backend'!$L$1,IF(ISERROR(MATCH('Analysis backend'!$M$1,E3596:I3596,0)),"Dire","Radiant"),"")</f>
        <v/>
      </c>
    </row>
    <row r="3597" spans="20:21" x14ac:dyDescent="0.3">
      <c r="T3597" t="str">
        <f>IF(ISERROR(MATCH('Analysis backend'!$M$1,E3597:N3597,0)),"",'Analysis backend'!$L$1)</f>
        <v/>
      </c>
      <c r="U3597" t="str">
        <f>IF(T3597='Analysis backend'!$L$1,IF(ISERROR(MATCH('Analysis backend'!$M$1,E3597:I3597,0)),"Dire","Radiant"),"")</f>
        <v/>
      </c>
    </row>
    <row r="3598" spans="20:21" x14ac:dyDescent="0.3">
      <c r="T3598" t="str">
        <f>IF(ISERROR(MATCH('Analysis backend'!$M$1,E3598:N3598,0)),"",'Analysis backend'!$L$1)</f>
        <v/>
      </c>
      <c r="U3598" t="str">
        <f>IF(T3598='Analysis backend'!$L$1,IF(ISERROR(MATCH('Analysis backend'!$M$1,E3598:I3598,0)),"Dire","Radiant"),"")</f>
        <v/>
      </c>
    </row>
    <row r="3599" spans="20:21" x14ac:dyDescent="0.3">
      <c r="T3599" t="str">
        <f>IF(ISERROR(MATCH('Analysis backend'!$M$1,E3599:N3599,0)),"",'Analysis backend'!$L$1)</f>
        <v/>
      </c>
      <c r="U3599" t="str">
        <f>IF(T3599='Analysis backend'!$L$1,IF(ISERROR(MATCH('Analysis backend'!$M$1,E3599:I3599,0)),"Dire","Radiant"),"")</f>
        <v/>
      </c>
    </row>
    <row r="3600" spans="20:21" x14ac:dyDescent="0.3">
      <c r="T3600" t="str">
        <f>IF(ISERROR(MATCH('Analysis backend'!$M$1,E3600:N3600,0)),"",'Analysis backend'!$L$1)</f>
        <v/>
      </c>
      <c r="U3600" t="str">
        <f>IF(T3600='Analysis backend'!$L$1,IF(ISERROR(MATCH('Analysis backend'!$M$1,E3600:I3600,0)),"Dire","Radiant"),"")</f>
        <v/>
      </c>
    </row>
    <row r="3601" spans="20:21" x14ac:dyDescent="0.3">
      <c r="T3601" t="str">
        <f>IF(ISERROR(MATCH('Analysis backend'!$M$1,E3601:N3601,0)),"",'Analysis backend'!$L$1)</f>
        <v/>
      </c>
      <c r="U3601" t="str">
        <f>IF(T3601='Analysis backend'!$L$1,IF(ISERROR(MATCH('Analysis backend'!$M$1,E3601:I3601,0)),"Dire","Radiant"),"")</f>
        <v/>
      </c>
    </row>
    <row r="3602" spans="20:21" x14ac:dyDescent="0.3">
      <c r="T3602" t="str">
        <f>IF(ISERROR(MATCH('Analysis backend'!$M$1,E3602:N3602,0)),"",'Analysis backend'!$L$1)</f>
        <v/>
      </c>
      <c r="U3602" t="str">
        <f>IF(T3602='Analysis backend'!$L$1,IF(ISERROR(MATCH('Analysis backend'!$M$1,E3602:I3602,0)),"Dire","Radiant"),"")</f>
        <v/>
      </c>
    </row>
    <row r="3603" spans="20:21" x14ac:dyDescent="0.3">
      <c r="T3603" t="str">
        <f>IF(ISERROR(MATCH('Analysis backend'!$M$1,E3603:N3603,0)),"",'Analysis backend'!$L$1)</f>
        <v/>
      </c>
      <c r="U3603" t="str">
        <f>IF(T3603='Analysis backend'!$L$1,IF(ISERROR(MATCH('Analysis backend'!$M$1,E3603:I3603,0)),"Dire","Radiant"),"")</f>
        <v/>
      </c>
    </row>
    <row r="3604" spans="20:21" x14ac:dyDescent="0.3">
      <c r="T3604" t="str">
        <f>IF(ISERROR(MATCH('Analysis backend'!$M$1,E3604:N3604,0)),"",'Analysis backend'!$L$1)</f>
        <v/>
      </c>
      <c r="U3604" t="str">
        <f>IF(T3604='Analysis backend'!$L$1,IF(ISERROR(MATCH('Analysis backend'!$M$1,E3604:I3604,0)),"Dire","Radiant"),"")</f>
        <v/>
      </c>
    </row>
    <row r="3605" spans="20:21" x14ac:dyDescent="0.3">
      <c r="T3605" t="str">
        <f>IF(ISERROR(MATCH('Analysis backend'!$M$1,E3605:N3605,0)),"",'Analysis backend'!$L$1)</f>
        <v/>
      </c>
      <c r="U3605" t="str">
        <f>IF(T3605='Analysis backend'!$L$1,IF(ISERROR(MATCH('Analysis backend'!$M$1,E3605:I3605,0)),"Dire","Radiant"),"")</f>
        <v/>
      </c>
    </row>
    <row r="3606" spans="20:21" x14ac:dyDescent="0.3">
      <c r="T3606" t="str">
        <f>IF(ISERROR(MATCH('Analysis backend'!$M$1,E3606:N3606,0)),"",'Analysis backend'!$L$1)</f>
        <v/>
      </c>
      <c r="U3606" t="str">
        <f>IF(T3606='Analysis backend'!$L$1,IF(ISERROR(MATCH('Analysis backend'!$M$1,E3606:I3606,0)),"Dire","Radiant"),"")</f>
        <v/>
      </c>
    </row>
    <row r="3607" spans="20:21" x14ac:dyDescent="0.3">
      <c r="T3607" t="str">
        <f>IF(ISERROR(MATCH('Analysis backend'!$M$1,E3607:N3607,0)),"",'Analysis backend'!$L$1)</f>
        <v/>
      </c>
      <c r="U3607" t="str">
        <f>IF(T3607='Analysis backend'!$L$1,IF(ISERROR(MATCH('Analysis backend'!$M$1,E3607:I3607,0)),"Dire","Radiant"),"")</f>
        <v/>
      </c>
    </row>
    <row r="3608" spans="20:21" x14ac:dyDescent="0.3">
      <c r="T3608" t="str">
        <f>IF(ISERROR(MATCH('Analysis backend'!$M$1,E3608:N3608,0)),"",'Analysis backend'!$L$1)</f>
        <v/>
      </c>
      <c r="U3608" t="str">
        <f>IF(T3608='Analysis backend'!$L$1,IF(ISERROR(MATCH('Analysis backend'!$M$1,E3608:I3608,0)),"Dire","Radiant"),"")</f>
        <v/>
      </c>
    </row>
    <row r="3609" spans="20:21" x14ac:dyDescent="0.3">
      <c r="T3609" t="str">
        <f>IF(ISERROR(MATCH('Analysis backend'!$M$1,E3609:N3609,0)),"",'Analysis backend'!$L$1)</f>
        <v/>
      </c>
      <c r="U3609" t="str">
        <f>IF(T3609='Analysis backend'!$L$1,IF(ISERROR(MATCH('Analysis backend'!$M$1,E3609:I3609,0)),"Dire","Radiant"),"")</f>
        <v/>
      </c>
    </row>
    <row r="3610" spans="20:21" x14ac:dyDescent="0.3">
      <c r="T3610" t="str">
        <f>IF(ISERROR(MATCH('Analysis backend'!$M$1,E3610:N3610,0)),"",'Analysis backend'!$L$1)</f>
        <v/>
      </c>
      <c r="U3610" t="str">
        <f>IF(T3610='Analysis backend'!$L$1,IF(ISERROR(MATCH('Analysis backend'!$M$1,E3610:I3610,0)),"Dire","Radiant"),"")</f>
        <v/>
      </c>
    </row>
    <row r="3611" spans="20:21" x14ac:dyDescent="0.3">
      <c r="T3611" t="str">
        <f>IF(ISERROR(MATCH('Analysis backend'!$M$1,E3611:N3611,0)),"",'Analysis backend'!$L$1)</f>
        <v/>
      </c>
      <c r="U3611" t="str">
        <f>IF(T3611='Analysis backend'!$L$1,IF(ISERROR(MATCH('Analysis backend'!$M$1,E3611:I3611,0)),"Dire","Radiant"),"")</f>
        <v/>
      </c>
    </row>
    <row r="3612" spans="20:21" x14ac:dyDescent="0.3">
      <c r="T3612" t="str">
        <f>IF(ISERROR(MATCH('Analysis backend'!$M$1,E3612:N3612,0)),"",'Analysis backend'!$L$1)</f>
        <v/>
      </c>
      <c r="U3612" t="str">
        <f>IF(T3612='Analysis backend'!$L$1,IF(ISERROR(MATCH('Analysis backend'!$M$1,E3612:I3612,0)),"Dire","Radiant"),"")</f>
        <v/>
      </c>
    </row>
    <row r="3613" spans="20:21" x14ac:dyDescent="0.3">
      <c r="T3613" t="str">
        <f>IF(ISERROR(MATCH('Analysis backend'!$M$1,E3613:N3613,0)),"",'Analysis backend'!$L$1)</f>
        <v/>
      </c>
      <c r="U3613" t="str">
        <f>IF(T3613='Analysis backend'!$L$1,IF(ISERROR(MATCH('Analysis backend'!$M$1,E3613:I3613,0)),"Dire","Radiant"),"")</f>
        <v/>
      </c>
    </row>
    <row r="3614" spans="20:21" x14ac:dyDescent="0.3">
      <c r="T3614" t="str">
        <f>IF(ISERROR(MATCH('Analysis backend'!$M$1,E3614:N3614,0)),"",'Analysis backend'!$L$1)</f>
        <v/>
      </c>
      <c r="U3614" t="str">
        <f>IF(T3614='Analysis backend'!$L$1,IF(ISERROR(MATCH('Analysis backend'!$M$1,E3614:I3614,0)),"Dire","Radiant"),"")</f>
        <v/>
      </c>
    </row>
    <row r="3615" spans="20:21" x14ac:dyDescent="0.3">
      <c r="T3615" t="str">
        <f>IF(ISERROR(MATCH('Analysis backend'!$M$1,E3615:N3615,0)),"",'Analysis backend'!$L$1)</f>
        <v/>
      </c>
      <c r="U3615" t="str">
        <f>IF(T3615='Analysis backend'!$L$1,IF(ISERROR(MATCH('Analysis backend'!$M$1,E3615:I3615,0)),"Dire","Radiant"),"")</f>
        <v/>
      </c>
    </row>
    <row r="3616" spans="20:21" x14ac:dyDescent="0.3">
      <c r="T3616" t="str">
        <f>IF(ISERROR(MATCH('Analysis backend'!$M$1,E3616:N3616,0)),"",'Analysis backend'!$L$1)</f>
        <v/>
      </c>
      <c r="U3616" t="str">
        <f>IF(T3616='Analysis backend'!$L$1,IF(ISERROR(MATCH('Analysis backend'!$M$1,E3616:I3616,0)),"Dire","Radiant"),"")</f>
        <v/>
      </c>
    </row>
    <row r="3617" spans="20:21" x14ac:dyDescent="0.3">
      <c r="T3617" t="str">
        <f>IF(ISERROR(MATCH('Analysis backend'!$M$1,E3617:N3617,0)),"",'Analysis backend'!$L$1)</f>
        <v/>
      </c>
      <c r="U3617" t="str">
        <f>IF(T3617='Analysis backend'!$L$1,IF(ISERROR(MATCH('Analysis backend'!$M$1,E3617:I3617,0)),"Dire","Radiant"),"")</f>
        <v/>
      </c>
    </row>
    <row r="3618" spans="20:21" x14ac:dyDescent="0.3">
      <c r="T3618" t="str">
        <f>IF(ISERROR(MATCH('Analysis backend'!$M$1,E3618:N3618,0)),"",'Analysis backend'!$L$1)</f>
        <v/>
      </c>
      <c r="U3618" t="str">
        <f>IF(T3618='Analysis backend'!$L$1,IF(ISERROR(MATCH('Analysis backend'!$M$1,E3618:I3618,0)),"Dire","Radiant"),"")</f>
        <v/>
      </c>
    </row>
    <row r="3619" spans="20:21" x14ac:dyDescent="0.3">
      <c r="T3619" t="str">
        <f>IF(ISERROR(MATCH('Analysis backend'!$M$1,E3619:N3619,0)),"",'Analysis backend'!$L$1)</f>
        <v/>
      </c>
      <c r="U3619" t="str">
        <f>IF(T3619='Analysis backend'!$L$1,IF(ISERROR(MATCH('Analysis backend'!$M$1,E3619:I3619,0)),"Dire","Radiant"),"")</f>
        <v/>
      </c>
    </row>
    <row r="3620" spans="20:21" x14ac:dyDescent="0.3">
      <c r="T3620" t="str">
        <f>IF(ISERROR(MATCH('Analysis backend'!$M$1,E3620:N3620,0)),"",'Analysis backend'!$L$1)</f>
        <v/>
      </c>
      <c r="U3620" t="str">
        <f>IF(T3620='Analysis backend'!$L$1,IF(ISERROR(MATCH('Analysis backend'!$M$1,E3620:I3620,0)),"Dire","Radiant"),"")</f>
        <v/>
      </c>
    </row>
    <row r="3621" spans="20:21" x14ac:dyDescent="0.3">
      <c r="T3621" t="str">
        <f>IF(ISERROR(MATCH('Analysis backend'!$M$1,E3621:N3621,0)),"",'Analysis backend'!$L$1)</f>
        <v/>
      </c>
      <c r="U3621" t="str">
        <f>IF(T3621='Analysis backend'!$L$1,IF(ISERROR(MATCH('Analysis backend'!$M$1,E3621:I3621,0)),"Dire","Radiant"),"")</f>
        <v/>
      </c>
    </row>
    <row r="3622" spans="20:21" x14ac:dyDescent="0.3">
      <c r="T3622" t="str">
        <f>IF(ISERROR(MATCH('Analysis backend'!$M$1,E3622:N3622,0)),"",'Analysis backend'!$L$1)</f>
        <v/>
      </c>
      <c r="U3622" t="str">
        <f>IF(T3622='Analysis backend'!$L$1,IF(ISERROR(MATCH('Analysis backend'!$M$1,E3622:I3622,0)),"Dire","Radiant"),"")</f>
        <v/>
      </c>
    </row>
    <row r="3623" spans="20:21" x14ac:dyDescent="0.3">
      <c r="T3623" t="str">
        <f>IF(ISERROR(MATCH('Analysis backend'!$M$1,E3623:N3623,0)),"",'Analysis backend'!$L$1)</f>
        <v/>
      </c>
      <c r="U3623" t="str">
        <f>IF(T3623='Analysis backend'!$L$1,IF(ISERROR(MATCH('Analysis backend'!$M$1,E3623:I3623,0)),"Dire","Radiant"),"")</f>
        <v/>
      </c>
    </row>
    <row r="3624" spans="20:21" x14ac:dyDescent="0.3">
      <c r="T3624" t="str">
        <f>IF(ISERROR(MATCH('Analysis backend'!$M$1,E3624:N3624,0)),"",'Analysis backend'!$L$1)</f>
        <v/>
      </c>
      <c r="U3624" t="str">
        <f>IF(T3624='Analysis backend'!$L$1,IF(ISERROR(MATCH('Analysis backend'!$M$1,E3624:I3624,0)),"Dire","Radiant"),"")</f>
        <v/>
      </c>
    </row>
    <row r="3625" spans="20:21" x14ac:dyDescent="0.3">
      <c r="T3625" t="str">
        <f>IF(ISERROR(MATCH('Analysis backend'!$M$1,E3625:N3625,0)),"",'Analysis backend'!$L$1)</f>
        <v/>
      </c>
      <c r="U3625" t="str">
        <f>IF(T3625='Analysis backend'!$L$1,IF(ISERROR(MATCH('Analysis backend'!$M$1,E3625:I3625,0)),"Dire","Radiant"),"")</f>
        <v/>
      </c>
    </row>
    <row r="3626" spans="20:21" x14ac:dyDescent="0.3">
      <c r="T3626" t="str">
        <f>IF(ISERROR(MATCH('Analysis backend'!$M$1,E3626:N3626,0)),"",'Analysis backend'!$L$1)</f>
        <v/>
      </c>
      <c r="U3626" t="str">
        <f>IF(T3626='Analysis backend'!$L$1,IF(ISERROR(MATCH('Analysis backend'!$M$1,E3626:I3626,0)),"Dire","Radiant"),"")</f>
        <v/>
      </c>
    </row>
    <row r="3627" spans="20:21" x14ac:dyDescent="0.3">
      <c r="T3627" t="str">
        <f>IF(ISERROR(MATCH('Analysis backend'!$M$1,E3627:N3627,0)),"",'Analysis backend'!$L$1)</f>
        <v/>
      </c>
      <c r="U3627" t="str">
        <f>IF(T3627='Analysis backend'!$L$1,IF(ISERROR(MATCH('Analysis backend'!$M$1,E3627:I3627,0)),"Dire","Radiant"),"")</f>
        <v/>
      </c>
    </row>
    <row r="3628" spans="20:21" x14ac:dyDescent="0.3">
      <c r="T3628" t="str">
        <f>IF(ISERROR(MATCH('Analysis backend'!$M$1,E3628:N3628,0)),"",'Analysis backend'!$L$1)</f>
        <v/>
      </c>
      <c r="U3628" t="str">
        <f>IF(T3628='Analysis backend'!$L$1,IF(ISERROR(MATCH('Analysis backend'!$M$1,E3628:I3628,0)),"Dire","Radiant"),"")</f>
        <v/>
      </c>
    </row>
    <row r="3629" spans="20:21" x14ac:dyDescent="0.3">
      <c r="T3629" t="str">
        <f>IF(ISERROR(MATCH('Analysis backend'!$M$1,E3629:N3629,0)),"",'Analysis backend'!$L$1)</f>
        <v/>
      </c>
      <c r="U3629" t="str">
        <f>IF(T3629='Analysis backend'!$L$1,IF(ISERROR(MATCH('Analysis backend'!$M$1,E3629:I3629,0)),"Dire","Radiant"),"")</f>
        <v/>
      </c>
    </row>
    <row r="3630" spans="20:21" x14ac:dyDescent="0.3">
      <c r="T3630" t="str">
        <f>IF(ISERROR(MATCH('Analysis backend'!$M$1,E3630:N3630,0)),"",'Analysis backend'!$L$1)</f>
        <v/>
      </c>
      <c r="U3630" t="str">
        <f>IF(T3630='Analysis backend'!$L$1,IF(ISERROR(MATCH('Analysis backend'!$M$1,E3630:I3630,0)),"Dire","Radiant"),"")</f>
        <v/>
      </c>
    </row>
    <row r="3631" spans="20:21" x14ac:dyDescent="0.3">
      <c r="T3631" t="str">
        <f>IF(ISERROR(MATCH('Analysis backend'!$M$1,E3631:N3631,0)),"",'Analysis backend'!$L$1)</f>
        <v/>
      </c>
      <c r="U3631" t="str">
        <f>IF(T3631='Analysis backend'!$L$1,IF(ISERROR(MATCH('Analysis backend'!$M$1,E3631:I3631,0)),"Dire","Radiant"),"")</f>
        <v/>
      </c>
    </row>
    <row r="3632" spans="20:21" x14ac:dyDescent="0.3">
      <c r="T3632" t="str">
        <f>IF(ISERROR(MATCH('Analysis backend'!$M$1,E3632:N3632,0)),"",'Analysis backend'!$L$1)</f>
        <v/>
      </c>
      <c r="U3632" t="str">
        <f>IF(T3632='Analysis backend'!$L$1,IF(ISERROR(MATCH('Analysis backend'!$M$1,E3632:I3632,0)),"Dire","Radiant"),"")</f>
        <v/>
      </c>
    </row>
    <row r="3633" spans="20:21" x14ac:dyDescent="0.3">
      <c r="T3633" t="str">
        <f>IF(ISERROR(MATCH('Analysis backend'!$M$1,E3633:N3633,0)),"",'Analysis backend'!$L$1)</f>
        <v/>
      </c>
      <c r="U3633" t="str">
        <f>IF(T3633='Analysis backend'!$L$1,IF(ISERROR(MATCH('Analysis backend'!$M$1,E3633:I3633,0)),"Dire","Radiant"),"")</f>
        <v/>
      </c>
    </row>
    <row r="3634" spans="20:21" x14ac:dyDescent="0.3">
      <c r="T3634" t="str">
        <f>IF(ISERROR(MATCH('Analysis backend'!$M$1,E3634:N3634,0)),"",'Analysis backend'!$L$1)</f>
        <v/>
      </c>
      <c r="U3634" t="str">
        <f>IF(T3634='Analysis backend'!$L$1,IF(ISERROR(MATCH('Analysis backend'!$M$1,E3634:I3634,0)),"Dire","Radiant"),"")</f>
        <v/>
      </c>
    </row>
    <row r="3635" spans="20:21" x14ac:dyDescent="0.3">
      <c r="T3635" t="str">
        <f>IF(ISERROR(MATCH('Analysis backend'!$M$1,E3635:N3635,0)),"",'Analysis backend'!$L$1)</f>
        <v/>
      </c>
      <c r="U3635" t="str">
        <f>IF(T3635='Analysis backend'!$L$1,IF(ISERROR(MATCH('Analysis backend'!$M$1,E3635:I3635,0)),"Dire","Radiant"),"")</f>
        <v/>
      </c>
    </row>
    <row r="3636" spans="20:21" x14ac:dyDescent="0.3">
      <c r="T3636" t="str">
        <f>IF(ISERROR(MATCH('Analysis backend'!$M$1,E3636:N3636,0)),"",'Analysis backend'!$L$1)</f>
        <v/>
      </c>
      <c r="U3636" t="str">
        <f>IF(T3636='Analysis backend'!$L$1,IF(ISERROR(MATCH('Analysis backend'!$M$1,E3636:I3636,0)),"Dire","Radiant"),"")</f>
        <v/>
      </c>
    </row>
    <row r="3637" spans="20:21" x14ac:dyDescent="0.3">
      <c r="T3637" t="str">
        <f>IF(ISERROR(MATCH('Analysis backend'!$M$1,E3637:N3637,0)),"",'Analysis backend'!$L$1)</f>
        <v/>
      </c>
      <c r="U3637" t="str">
        <f>IF(T3637='Analysis backend'!$L$1,IF(ISERROR(MATCH('Analysis backend'!$M$1,E3637:I3637,0)),"Dire","Radiant"),"")</f>
        <v/>
      </c>
    </row>
    <row r="3638" spans="20:21" x14ac:dyDescent="0.3">
      <c r="T3638" t="str">
        <f>IF(ISERROR(MATCH('Analysis backend'!$M$1,E3638:N3638,0)),"",'Analysis backend'!$L$1)</f>
        <v/>
      </c>
      <c r="U3638" t="str">
        <f>IF(T3638='Analysis backend'!$L$1,IF(ISERROR(MATCH('Analysis backend'!$M$1,E3638:I3638,0)),"Dire","Radiant"),"")</f>
        <v/>
      </c>
    </row>
    <row r="3639" spans="20:21" x14ac:dyDescent="0.3">
      <c r="T3639" t="str">
        <f>IF(ISERROR(MATCH('Analysis backend'!$M$1,E3639:N3639,0)),"",'Analysis backend'!$L$1)</f>
        <v/>
      </c>
      <c r="U3639" t="str">
        <f>IF(T3639='Analysis backend'!$L$1,IF(ISERROR(MATCH('Analysis backend'!$M$1,E3639:I3639,0)),"Dire","Radiant"),"")</f>
        <v/>
      </c>
    </row>
    <row r="3640" spans="20:21" x14ac:dyDescent="0.3">
      <c r="T3640" t="str">
        <f>IF(ISERROR(MATCH('Analysis backend'!$M$1,E3640:N3640,0)),"",'Analysis backend'!$L$1)</f>
        <v/>
      </c>
      <c r="U3640" t="str">
        <f>IF(T3640='Analysis backend'!$L$1,IF(ISERROR(MATCH('Analysis backend'!$M$1,E3640:I3640,0)),"Dire","Radiant"),"")</f>
        <v/>
      </c>
    </row>
    <row r="3641" spans="20:21" x14ac:dyDescent="0.3">
      <c r="T3641" t="str">
        <f>IF(ISERROR(MATCH('Analysis backend'!$M$1,E3641:N3641,0)),"",'Analysis backend'!$L$1)</f>
        <v/>
      </c>
      <c r="U3641" t="str">
        <f>IF(T3641='Analysis backend'!$L$1,IF(ISERROR(MATCH('Analysis backend'!$M$1,E3641:I3641,0)),"Dire","Radiant"),"")</f>
        <v/>
      </c>
    </row>
    <row r="3642" spans="20:21" x14ac:dyDescent="0.3">
      <c r="T3642" t="str">
        <f>IF(ISERROR(MATCH('Analysis backend'!$M$1,E3642:N3642,0)),"",'Analysis backend'!$L$1)</f>
        <v/>
      </c>
      <c r="U3642" t="str">
        <f>IF(T3642='Analysis backend'!$L$1,IF(ISERROR(MATCH('Analysis backend'!$M$1,E3642:I3642,0)),"Dire","Radiant"),"")</f>
        <v/>
      </c>
    </row>
    <row r="3643" spans="20:21" x14ac:dyDescent="0.3">
      <c r="T3643" t="str">
        <f>IF(ISERROR(MATCH('Analysis backend'!$M$1,E3643:N3643,0)),"",'Analysis backend'!$L$1)</f>
        <v/>
      </c>
      <c r="U3643" t="str">
        <f>IF(T3643='Analysis backend'!$L$1,IF(ISERROR(MATCH('Analysis backend'!$M$1,E3643:I3643,0)),"Dire","Radiant"),"")</f>
        <v/>
      </c>
    </row>
    <row r="3644" spans="20:21" x14ac:dyDescent="0.3">
      <c r="T3644" t="str">
        <f>IF(ISERROR(MATCH('Analysis backend'!$M$1,E3644:N3644,0)),"",'Analysis backend'!$L$1)</f>
        <v/>
      </c>
      <c r="U3644" t="str">
        <f>IF(T3644='Analysis backend'!$L$1,IF(ISERROR(MATCH('Analysis backend'!$M$1,E3644:I3644,0)),"Dire","Radiant"),"")</f>
        <v/>
      </c>
    </row>
    <row r="3645" spans="20:21" x14ac:dyDescent="0.3">
      <c r="T3645" t="str">
        <f>IF(ISERROR(MATCH('Analysis backend'!$M$1,E3645:N3645,0)),"",'Analysis backend'!$L$1)</f>
        <v/>
      </c>
      <c r="U3645" t="str">
        <f>IF(T3645='Analysis backend'!$L$1,IF(ISERROR(MATCH('Analysis backend'!$M$1,E3645:I3645,0)),"Dire","Radiant"),"")</f>
        <v/>
      </c>
    </row>
    <row r="3646" spans="20:21" x14ac:dyDescent="0.3">
      <c r="T3646" t="str">
        <f>IF(ISERROR(MATCH('Analysis backend'!$M$1,E3646:N3646,0)),"",'Analysis backend'!$L$1)</f>
        <v/>
      </c>
      <c r="U3646" t="str">
        <f>IF(T3646='Analysis backend'!$L$1,IF(ISERROR(MATCH('Analysis backend'!$M$1,E3646:I3646,0)),"Dire","Radiant"),"")</f>
        <v/>
      </c>
    </row>
    <row r="3647" spans="20:21" x14ac:dyDescent="0.3">
      <c r="T3647" t="str">
        <f>IF(ISERROR(MATCH('Analysis backend'!$M$1,E3647:N3647,0)),"",'Analysis backend'!$L$1)</f>
        <v/>
      </c>
      <c r="U3647" t="str">
        <f>IF(T3647='Analysis backend'!$L$1,IF(ISERROR(MATCH('Analysis backend'!$M$1,E3647:I3647,0)),"Dire","Radiant"),"")</f>
        <v/>
      </c>
    </row>
    <row r="3648" spans="20:21" x14ac:dyDescent="0.3">
      <c r="T3648" t="str">
        <f>IF(ISERROR(MATCH('Analysis backend'!$M$1,E3648:N3648,0)),"",'Analysis backend'!$L$1)</f>
        <v/>
      </c>
      <c r="U3648" t="str">
        <f>IF(T3648='Analysis backend'!$L$1,IF(ISERROR(MATCH('Analysis backend'!$M$1,E3648:I3648,0)),"Dire","Radiant"),"")</f>
        <v/>
      </c>
    </row>
    <row r="3649" spans="20:21" x14ac:dyDescent="0.3">
      <c r="T3649" t="str">
        <f>IF(ISERROR(MATCH('Analysis backend'!$M$1,E3649:N3649,0)),"",'Analysis backend'!$L$1)</f>
        <v/>
      </c>
      <c r="U3649" t="str">
        <f>IF(T3649='Analysis backend'!$L$1,IF(ISERROR(MATCH('Analysis backend'!$M$1,E3649:I3649,0)),"Dire","Radiant"),"")</f>
        <v/>
      </c>
    </row>
    <row r="3650" spans="20:21" x14ac:dyDescent="0.3">
      <c r="T3650" t="str">
        <f>IF(ISERROR(MATCH('Analysis backend'!$M$1,E3650:N3650,0)),"",'Analysis backend'!$L$1)</f>
        <v/>
      </c>
      <c r="U3650" t="str">
        <f>IF(T3650='Analysis backend'!$L$1,IF(ISERROR(MATCH('Analysis backend'!$M$1,E3650:I3650,0)),"Dire","Radiant"),"")</f>
        <v/>
      </c>
    </row>
    <row r="3651" spans="20:21" x14ac:dyDescent="0.3">
      <c r="T3651" t="str">
        <f>IF(ISERROR(MATCH('Analysis backend'!$M$1,E3651:N3651,0)),"",'Analysis backend'!$L$1)</f>
        <v/>
      </c>
      <c r="U3651" t="str">
        <f>IF(T3651='Analysis backend'!$L$1,IF(ISERROR(MATCH('Analysis backend'!$M$1,E3651:I3651,0)),"Dire","Radiant"),"")</f>
        <v/>
      </c>
    </row>
    <row r="3652" spans="20:21" x14ac:dyDescent="0.3">
      <c r="T3652" t="str">
        <f>IF(ISERROR(MATCH('Analysis backend'!$M$1,E3652:N3652,0)),"",'Analysis backend'!$L$1)</f>
        <v/>
      </c>
      <c r="U3652" t="str">
        <f>IF(T3652='Analysis backend'!$L$1,IF(ISERROR(MATCH('Analysis backend'!$M$1,E3652:I3652,0)),"Dire","Radiant"),"")</f>
        <v/>
      </c>
    </row>
    <row r="3653" spans="20:21" x14ac:dyDescent="0.3">
      <c r="T3653" t="str">
        <f>IF(ISERROR(MATCH('Analysis backend'!$M$1,E3653:N3653,0)),"",'Analysis backend'!$L$1)</f>
        <v/>
      </c>
      <c r="U3653" t="str">
        <f>IF(T3653='Analysis backend'!$L$1,IF(ISERROR(MATCH('Analysis backend'!$M$1,E3653:I3653,0)),"Dire","Radiant"),"")</f>
        <v/>
      </c>
    </row>
    <row r="3654" spans="20:21" x14ac:dyDescent="0.3">
      <c r="T3654" t="str">
        <f>IF(ISERROR(MATCH('Analysis backend'!$M$1,E3654:N3654,0)),"",'Analysis backend'!$L$1)</f>
        <v/>
      </c>
      <c r="U3654" t="str">
        <f>IF(T3654='Analysis backend'!$L$1,IF(ISERROR(MATCH('Analysis backend'!$M$1,E3654:I3654,0)),"Dire","Radiant"),"")</f>
        <v/>
      </c>
    </row>
    <row r="3655" spans="20:21" x14ac:dyDescent="0.3">
      <c r="T3655" t="str">
        <f>IF(ISERROR(MATCH('Analysis backend'!$M$1,E3655:N3655,0)),"",'Analysis backend'!$L$1)</f>
        <v/>
      </c>
      <c r="U3655" t="str">
        <f>IF(T3655='Analysis backend'!$L$1,IF(ISERROR(MATCH('Analysis backend'!$M$1,E3655:I3655,0)),"Dire","Radiant"),"")</f>
        <v/>
      </c>
    </row>
    <row r="3656" spans="20:21" x14ac:dyDescent="0.3">
      <c r="T3656" t="str">
        <f>IF(ISERROR(MATCH('Analysis backend'!$M$1,E3656:N3656,0)),"",'Analysis backend'!$L$1)</f>
        <v/>
      </c>
      <c r="U3656" t="str">
        <f>IF(T3656='Analysis backend'!$L$1,IF(ISERROR(MATCH('Analysis backend'!$M$1,E3656:I3656,0)),"Dire","Radiant"),"")</f>
        <v/>
      </c>
    </row>
    <row r="3657" spans="20:21" x14ac:dyDescent="0.3">
      <c r="T3657" t="str">
        <f>IF(ISERROR(MATCH('Analysis backend'!$M$1,E3657:N3657,0)),"",'Analysis backend'!$L$1)</f>
        <v/>
      </c>
      <c r="U3657" t="str">
        <f>IF(T3657='Analysis backend'!$L$1,IF(ISERROR(MATCH('Analysis backend'!$M$1,E3657:I3657,0)),"Dire","Radiant"),"")</f>
        <v/>
      </c>
    </row>
    <row r="3658" spans="20:21" x14ac:dyDescent="0.3">
      <c r="T3658" t="str">
        <f>IF(ISERROR(MATCH('Analysis backend'!$M$1,E3658:N3658,0)),"",'Analysis backend'!$L$1)</f>
        <v/>
      </c>
      <c r="U3658" t="str">
        <f>IF(T3658='Analysis backend'!$L$1,IF(ISERROR(MATCH('Analysis backend'!$M$1,E3658:I3658,0)),"Dire","Radiant"),"")</f>
        <v/>
      </c>
    </row>
    <row r="3659" spans="20:21" x14ac:dyDescent="0.3">
      <c r="T3659" t="str">
        <f>IF(ISERROR(MATCH('Analysis backend'!$M$1,E3659:N3659,0)),"",'Analysis backend'!$L$1)</f>
        <v/>
      </c>
      <c r="U3659" t="str">
        <f>IF(T3659='Analysis backend'!$L$1,IF(ISERROR(MATCH('Analysis backend'!$M$1,E3659:I3659,0)),"Dire","Radiant"),"")</f>
        <v/>
      </c>
    </row>
    <row r="3660" spans="20:21" x14ac:dyDescent="0.3">
      <c r="T3660" t="str">
        <f>IF(ISERROR(MATCH('Analysis backend'!$M$1,E3660:N3660,0)),"",'Analysis backend'!$L$1)</f>
        <v/>
      </c>
      <c r="U3660" t="str">
        <f>IF(T3660='Analysis backend'!$L$1,IF(ISERROR(MATCH('Analysis backend'!$M$1,E3660:I3660,0)),"Dire","Radiant"),"")</f>
        <v/>
      </c>
    </row>
    <row r="3661" spans="20:21" x14ac:dyDescent="0.3">
      <c r="T3661" t="str">
        <f>IF(ISERROR(MATCH('Analysis backend'!$M$1,E3661:N3661,0)),"",'Analysis backend'!$L$1)</f>
        <v/>
      </c>
      <c r="U3661" t="str">
        <f>IF(T3661='Analysis backend'!$L$1,IF(ISERROR(MATCH('Analysis backend'!$M$1,E3661:I3661,0)),"Dire","Radiant"),"")</f>
        <v/>
      </c>
    </row>
    <row r="3662" spans="20:21" x14ac:dyDescent="0.3">
      <c r="T3662" t="str">
        <f>IF(ISERROR(MATCH('Analysis backend'!$M$1,E3662:N3662,0)),"",'Analysis backend'!$L$1)</f>
        <v/>
      </c>
      <c r="U3662" t="str">
        <f>IF(T3662='Analysis backend'!$L$1,IF(ISERROR(MATCH('Analysis backend'!$M$1,E3662:I3662,0)),"Dire","Radiant"),"")</f>
        <v/>
      </c>
    </row>
    <row r="3663" spans="20:21" x14ac:dyDescent="0.3">
      <c r="T3663" t="str">
        <f>IF(ISERROR(MATCH('Analysis backend'!$M$1,E3663:N3663,0)),"",'Analysis backend'!$L$1)</f>
        <v/>
      </c>
      <c r="U3663" t="str">
        <f>IF(T3663='Analysis backend'!$L$1,IF(ISERROR(MATCH('Analysis backend'!$M$1,E3663:I3663,0)),"Dire","Radiant"),"")</f>
        <v/>
      </c>
    </row>
    <row r="3664" spans="20:21" x14ac:dyDescent="0.3">
      <c r="T3664" t="str">
        <f>IF(ISERROR(MATCH('Analysis backend'!$M$1,E3664:N3664,0)),"",'Analysis backend'!$L$1)</f>
        <v/>
      </c>
      <c r="U3664" t="str">
        <f>IF(T3664='Analysis backend'!$L$1,IF(ISERROR(MATCH('Analysis backend'!$M$1,E3664:I3664,0)),"Dire","Radiant"),"")</f>
        <v/>
      </c>
    </row>
    <row r="3665" spans="20:21" x14ac:dyDescent="0.3">
      <c r="T3665" t="str">
        <f>IF(ISERROR(MATCH('Analysis backend'!$M$1,E3665:N3665,0)),"",'Analysis backend'!$L$1)</f>
        <v/>
      </c>
      <c r="U3665" t="str">
        <f>IF(T3665='Analysis backend'!$L$1,IF(ISERROR(MATCH('Analysis backend'!$M$1,E3665:I3665,0)),"Dire","Radiant"),"")</f>
        <v/>
      </c>
    </row>
    <row r="3666" spans="20:21" x14ac:dyDescent="0.3">
      <c r="T3666" t="str">
        <f>IF(ISERROR(MATCH('Analysis backend'!$M$1,E3666:N3666,0)),"",'Analysis backend'!$L$1)</f>
        <v/>
      </c>
      <c r="U3666" t="str">
        <f>IF(T3666='Analysis backend'!$L$1,IF(ISERROR(MATCH('Analysis backend'!$M$1,E3666:I3666,0)),"Dire","Radiant"),"")</f>
        <v/>
      </c>
    </row>
    <row r="3667" spans="20:21" x14ac:dyDescent="0.3">
      <c r="T3667" t="str">
        <f>IF(ISERROR(MATCH('Analysis backend'!$M$1,E3667:N3667,0)),"",'Analysis backend'!$L$1)</f>
        <v/>
      </c>
      <c r="U3667" t="str">
        <f>IF(T3667='Analysis backend'!$L$1,IF(ISERROR(MATCH('Analysis backend'!$M$1,E3667:I3667,0)),"Dire","Radiant"),"")</f>
        <v/>
      </c>
    </row>
    <row r="3668" spans="20:21" x14ac:dyDescent="0.3">
      <c r="T3668" t="str">
        <f>IF(ISERROR(MATCH('Analysis backend'!$M$1,E3668:N3668,0)),"",'Analysis backend'!$L$1)</f>
        <v/>
      </c>
      <c r="U3668" t="str">
        <f>IF(T3668='Analysis backend'!$L$1,IF(ISERROR(MATCH('Analysis backend'!$M$1,E3668:I3668,0)),"Dire","Radiant"),"")</f>
        <v/>
      </c>
    </row>
    <row r="3669" spans="20:21" x14ac:dyDescent="0.3">
      <c r="T3669" t="str">
        <f>IF(ISERROR(MATCH('Analysis backend'!$M$1,E3669:N3669,0)),"",'Analysis backend'!$L$1)</f>
        <v/>
      </c>
      <c r="U3669" t="str">
        <f>IF(T3669='Analysis backend'!$L$1,IF(ISERROR(MATCH('Analysis backend'!$M$1,E3669:I3669,0)),"Dire","Radiant"),"")</f>
        <v/>
      </c>
    </row>
    <row r="3670" spans="20:21" x14ac:dyDescent="0.3">
      <c r="T3670" t="str">
        <f>IF(ISERROR(MATCH('Analysis backend'!$M$1,E3670:N3670,0)),"",'Analysis backend'!$L$1)</f>
        <v/>
      </c>
      <c r="U3670" t="str">
        <f>IF(T3670='Analysis backend'!$L$1,IF(ISERROR(MATCH('Analysis backend'!$M$1,E3670:I3670,0)),"Dire","Radiant"),"")</f>
        <v/>
      </c>
    </row>
    <row r="3671" spans="20:21" x14ac:dyDescent="0.3">
      <c r="T3671" t="str">
        <f>IF(ISERROR(MATCH('Analysis backend'!$M$1,E3671:N3671,0)),"",'Analysis backend'!$L$1)</f>
        <v/>
      </c>
      <c r="U3671" t="str">
        <f>IF(T3671='Analysis backend'!$L$1,IF(ISERROR(MATCH('Analysis backend'!$M$1,E3671:I3671,0)),"Dire","Radiant"),"")</f>
        <v/>
      </c>
    </row>
    <row r="3672" spans="20:21" x14ac:dyDescent="0.3">
      <c r="T3672" t="str">
        <f>IF(ISERROR(MATCH('Analysis backend'!$M$1,E3672:N3672,0)),"",'Analysis backend'!$L$1)</f>
        <v/>
      </c>
      <c r="U3672" t="str">
        <f>IF(T3672='Analysis backend'!$L$1,IF(ISERROR(MATCH('Analysis backend'!$M$1,E3672:I3672,0)),"Dire","Radiant"),"")</f>
        <v/>
      </c>
    </row>
    <row r="3673" spans="20:21" x14ac:dyDescent="0.3">
      <c r="T3673" t="str">
        <f>IF(ISERROR(MATCH('Analysis backend'!$M$1,E3673:N3673,0)),"",'Analysis backend'!$L$1)</f>
        <v/>
      </c>
      <c r="U3673" t="str">
        <f>IF(T3673='Analysis backend'!$L$1,IF(ISERROR(MATCH('Analysis backend'!$M$1,E3673:I3673,0)),"Dire","Radiant"),"")</f>
        <v/>
      </c>
    </row>
    <row r="3674" spans="20:21" x14ac:dyDescent="0.3">
      <c r="T3674" t="str">
        <f>IF(ISERROR(MATCH('Analysis backend'!$M$1,E3674:N3674,0)),"",'Analysis backend'!$L$1)</f>
        <v/>
      </c>
      <c r="U3674" t="str">
        <f>IF(T3674='Analysis backend'!$L$1,IF(ISERROR(MATCH('Analysis backend'!$M$1,E3674:I3674,0)),"Dire","Radiant"),"")</f>
        <v/>
      </c>
    </row>
    <row r="3675" spans="20:21" x14ac:dyDescent="0.3">
      <c r="T3675" t="str">
        <f>IF(ISERROR(MATCH('Analysis backend'!$M$1,E3675:N3675,0)),"",'Analysis backend'!$L$1)</f>
        <v/>
      </c>
      <c r="U3675" t="str">
        <f>IF(T3675='Analysis backend'!$L$1,IF(ISERROR(MATCH('Analysis backend'!$M$1,E3675:I3675,0)),"Dire","Radiant"),"")</f>
        <v/>
      </c>
    </row>
    <row r="3676" spans="20:21" x14ac:dyDescent="0.3">
      <c r="T3676" t="str">
        <f>IF(ISERROR(MATCH('Analysis backend'!$M$1,E3676:N3676,0)),"",'Analysis backend'!$L$1)</f>
        <v/>
      </c>
      <c r="U3676" t="str">
        <f>IF(T3676='Analysis backend'!$L$1,IF(ISERROR(MATCH('Analysis backend'!$M$1,E3676:I3676,0)),"Dire","Radiant"),"")</f>
        <v/>
      </c>
    </row>
    <row r="3677" spans="20:21" x14ac:dyDescent="0.3">
      <c r="T3677" t="str">
        <f>IF(ISERROR(MATCH('Analysis backend'!$M$1,E3677:N3677,0)),"",'Analysis backend'!$L$1)</f>
        <v/>
      </c>
      <c r="U3677" t="str">
        <f>IF(T3677='Analysis backend'!$L$1,IF(ISERROR(MATCH('Analysis backend'!$M$1,E3677:I3677,0)),"Dire","Radiant"),"")</f>
        <v/>
      </c>
    </row>
    <row r="3678" spans="20:21" x14ac:dyDescent="0.3">
      <c r="T3678" t="str">
        <f>IF(ISERROR(MATCH('Analysis backend'!$M$1,E3678:N3678,0)),"",'Analysis backend'!$L$1)</f>
        <v/>
      </c>
      <c r="U3678" t="str">
        <f>IF(T3678='Analysis backend'!$L$1,IF(ISERROR(MATCH('Analysis backend'!$M$1,E3678:I3678,0)),"Dire","Radiant"),"")</f>
        <v/>
      </c>
    </row>
    <row r="3679" spans="20:21" x14ac:dyDescent="0.3">
      <c r="T3679" t="str">
        <f>IF(ISERROR(MATCH('Analysis backend'!$M$1,E3679:N3679,0)),"",'Analysis backend'!$L$1)</f>
        <v/>
      </c>
      <c r="U3679" t="str">
        <f>IF(T3679='Analysis backend'!$L$1,IF(ISERROR(MATCH('Analysis backend'!$M$1,E3679:I3679,0)),"Dire","Radiant"),"")</f>
        <v/>
      </c>
    </row>
    <row r="3680" spans="20:21" x14ac:dyDescent="0.3">
      <c r="T3680" t="str">
        <f>IF(ISERROR(MATCH('Analysis backend'!$M$1,E3680:N3680,0)),"",'Analysis backend'!$L$1)</f>
        <v/>
      </c>
      <c r="U3680" t="str">
        <f>IF(T3680='Analysis backend'!$L$1,IF(ISERROR(MATCH('Analysis backend'!$M$1,E3680:I3680,0)),"Dire","Radiant"),"")</f>
        <v/>
      </c>
    </row>
    <row r="3681" spans="20:21" x14ac:dyDescent="0.3">
      <c r="T3681" t="str">
        <f>IF(ISERROR(MATCH('Analysis backend'!$M$1,E3681:N3681,0)),"",'Analysis backend'!$L$1)</f>
        <v/>
      </c>
      <c r="U3681" t="str">
        <f>IF(T3681='Analysis backend'!$L$1,IF(ISERROR(MATCH('Analysis backend'!$M$1,E3681:I3681,0)),"Dire","Radiant"),"")</f>
        <v/>
      </c>
    </row>
    <row r="3682" spans="20:21" x14ac:dyDescent="0.3">
      <c r="T3682" t="str">
        <f>IF(ISERROR(MATCH('Analysis backend'!$M$1,E3682:N3682,0)),"",'Analysis backend'!$L$1)</f>
        <v/>
      </c>
      <c r="U3682" t="str">
        <f>IF(T3682='Analysis backend'!$L$1,IF(ISERROR(MATCH('Analysis backend'!$M$1,E3682:I3682,0)),"Dire","Radiant"),"")</f>
        <v/>
      </c>
    </row>
    <row r="3683" spans="20:21" x14ac:dyDescent="0.3">
      <c r="T3683" t="str">
        <f>IF(ISERROR(MATCH('Analysis backend'!$M$1,E3683:N3683,0)),"",'Analysis backend'!$L$1)</f>
        <v/>
      </c>
      <c r="U3683" t="str">
        <f>IF(T3683='Analysis backend'!$L$1,IF(ISERROR(MATCH('Analysis backend'!$M$1,E3683:I3683,0)),"Dire","Radiant"),"")</f>
        <v/>
      </c>
    </row>
    <row r="3684" spans="20:21" x14ac:dyDescent="0.3">
      <c r="T3684" t="str">
        <f>IF(ISERROR(MATCH('Analysis backend'!$M$1,E3684:N3684,0)),"",'Analysis backend'!$L$1)</f>
        <v/>
      </c>
      <c r="U3684" t="str">
        <f>IF(T3684='Analysis backend'!$L$1,IF(ISERROR(MATCH('Analysis backend'!$M$1,E3684:I3684,0)),"Dire","Radiant"),"")</f>
        <v/>
      </c>
    </row>
    <row r="3685" spans="20:21" x14ac:dyDescent="0.3">
      <c r="T3685" t="str">
        <f>IF(ISERROR(MATCH('Analysis backend'!$M$1,E3685:N3685,0)),"",'Analysis backend'!$L$1)</f>
        <v/>
      </c>
      <c r="U3685" t="str">
        <f>IF(T3685='Analysis backend'!$L$1,IF(ISERROR(MATCH('Analysis backend'!$M$1,E3685:I3685,0)),"Dire","Radiant"),"")</f>
        <v/>
      </c>
    </row>
    <row r="3686" spans="20:21" x14ac:dyDescent="0.3">
      <c r="T3686" t="str">
        <f>IF(ISERROR(MATCH('Analysis backend'!$M$1,E3686:N3686,0)),"",'Analysis backend'!$L$1)</f>
        <v/>
      </c>
      <c r="U3686" t="str">
        <f>IF(T3686='Analysis backend'!$L$1,IF(ISERROR(MATCH('Analysis backend'!$M$1,E3686:I3686,0)),"Dire","Radiant"),"")</f>
        <v/>
      </c>
    </row>
    <row r="3687" spans="20:21" x14ac:dyDescent="0.3">
      <c r="T3687" t="str">
        <f>IF(ISERROR(MATCH('Analysis backend'!$M$1,E3687:N3687,0)),"",'Analysis backend'!$L$1)</f>
        <v/>
      </c>
      <c r="U3687" t="str">
        <f>IF(T3687='Analysis backend'!$L$1,IF(ISERROR(MATCH('Analysis backend'!$M$1,E3687:I3687,0)),"Dire","Radiant"),"")</f>
        <v/>
      </c>
    </row>
    <row r="3688" spans="20:21" x14ac:dyDescent="0.3">
      <c r="T3688" t="str">
        <f>IF(ISERROR(MATCH('Analysis backend'!$M$1,E3688:N3688,0)),"",'Analysis backend'!$L$1)</f>
        <v/>
      </c>
      <c r="U3688" t="str">
        <f>IF(T3688='Analysis backend'!$L$1,IF(ISERROR(MATCH('Analysis backend'!$M$1,E3688:I3688,0)),"Dire","Radiant"),"")</f>
        <v/>
      </c>
    </row>
    <row r="3689" spans="20:21" x14ac:dyDescent="0.3">
      <c r="T3689" t="str">
        <f>IF(ISERROR(MATCH('Analysis backend'!$M$1,E3689:N3689,0)),"",'Analysis backend'!$L$1)</f>
        <v/>
      </c>
      <c r="U3689" t="str">
        <f>IF(T3689='Analysis backend'!$L$1,IF(ISERROR(MATCH('Analysis backend'!$M$1,E3689:I3689,0)),"Dire","Radiant"),"")</f>
        <v/>
      </c>
    </row>
    <row r="3690" spans="20:21" x14ac:dyDescent="0.3">
      <c r="T3690" t="str">
        <f>IF(ISERROR(MATCH('Analysis backend'!$M$1,E3690:N3690,0)),"",'Analysis backend'!$L$1)</f>
        <v/>
      </c>
      <c r="U3690" t="str">
        <f>IF(T3690='Analysis backend'!$L$1,IF(ISERROR(MATCH('Analysis backend'!$M$1,E3690:I3690,0)),"Dire","Radiant"),"")</f>
        <v/>
      </c>
    </row>
    <row r="3691" spans="20:21" x14ac:dyDescent="0.3">
      <c r="T3691" t="str">
        <f>IF(ISERROR(MATCH('Analysis backend'!$M$1,E3691:N3691,0)),"",'Analysis backend'!$L$1)</f>
        <v/>
      </c>
      <c r="U3691" t="str">
        <f>IF(T3691='Analysis backend'!$L$1,IF(ISERROR(MATCH('Analysis backend'!$M$1,E3691:I3691,0)),"Dire","Radiant"),"")</f>
        <v/>
      </c>
    </row>
    <row r="3692" spans="20:21" x14ac:dyDescent="0.3">
      <c r="T3692" t="str">
        <f>IF(ISERROR(MATCH('Analysis backend'!$M$1,E3692:N3692,0)),"",'Analysis backend'!$L$1)</f>
        <v/>
      </c>
      <c r="U3692" t="str">
        <f>IF(T3692='Analysis backend'!$L$1,IF(ISERROR(MATCH('Analysis backend'!$M$1,E3692:I3692,0)),"Dire","Radiant"),"")</f>
        <v/>
      </c>
    </row>
    <row r="3693" spans="20:21" x14ac:dyDescent="0.3">
      <c r="T3693" t="str">
        <f>IF(ISERROR(MATCH('Analysis backend'!$M$1,E3693:N3693,0)),"",'Analysis backend'!$L$1)</f>
        <v/>
      </c>
      <c r="U3693" t="str">
        <f>IF(T3693='Analysis backend'!$L$1,IF(ISERROR(MATCH('Analysis backend'!$M$1,E3693:I3693,0)),"Dire","Radiant"),"")</f>
        <v/>
      </c>
    </row>
    <row r="3694" spans="20:21" x14ac:dyDescent="0.3">
      <c r="T3694" t="str">
        <f>IF(ISERROR(MATCH('Analysis backend'!$M$1,E3694:N3694,0)),"",'Analysis backend'!$L$1)</f>
        <v/>
      </c>
      <c r="U3694" t="str">
        <f>IF(T3694='Analysis backend'!$L$1,IF(ISERROR(MATCH('Analysis backend'!$M$1,E3694:I3694,0)),"Dire","Radiant"),"")</f>
        <v/>
      </c>
    </row>
    <row r="3695" spans="20:21" x14ac:dyDescent="0.3">
      <c r="T3695" t="str">
        <f>IF(ISERROR(MATCH('Analysis backend'!$M$1,E3695:N3695,0)),"",'Analysis backend'!$L$1)</f>
        <v/>
      </c>
      <c r="U3695" t="str">
        <f>IF(T3695='Analysis backend'!$L$1,IF(ISERROR(MATCH('Analysis backend'!$M$1,E3695:I3695,0)),"Dire","Radiant"),"")</f>
        <v/>
      </c>
    </row>
    <row r="3696" spans="20:21" x14ac:dyDescent="0.3">
      <c r="T3696" t="str">
        <f>IF(ISERROR(MATCH('Analysis backend'!$M$1,E3696:N3696,0)),"",'Analysis backend'!$L$1)</f>
        <v/>
      </c>
      <c r="U3696" t="str">
        <f>IF(T3696='Analysis backend'!$L$1,IF(ISERROR(MATCH('Analysis backend'!$M$1,E3696:I3696,0)),"Dire","Radiant"),"")</f>
        <v/>
      </c>
    </row>
    <row r="3697" spans="20:21" x14ac:dyDescent="0.3">
      <c r="T3697" t="str">
        <f>IF(ISERROR(MATCH('Analysis backend'!$M$1,E3697:N3697,0)),"",'Analysis backend'!$L$1)</f>
        <v/>
      </c>
      <c r="U3697" t="str">
        <f>IF(T3697='Analysis backend'!$L$1,IF(ISERROR(MATCH('Analysis backend'!$M$1,E3697:I3697,0)),"Dire","Radiant"),"")</f>
        <v/>
      </c>
    </row>
    <row r="3698" spans="20:21" x14ac:dyDescent="0.3">
      <c r="T3698" t="str">
        <f>IF(ISERROR(MATCH('Analysis backend'!$M$1,E3698:N3698,0)),"",'Analysis backend'!$L$1)</f>
        <v/>
      </c>
      <c r="U3698" t="str">
        <f>IF(T3698='Analysis backend'!$L$1,IF(ISERROR(MATCH('Analysis backend'!$M$1,E3698:I3698,0)),"Dire","Radiant"),"")</f>
        <v/>
      </c>
    </row>
    <row r="3699" spans="20:21" x14ac:dyDescent="0.3">
      <c r="T3699" t="str">
        <f>IF(ISERROR(MATCH('Analysis backend'!$M$1,E3699:N3699,0)),"",'Analysis backend'!$L$1)</f>
        <v/>
      </c>
      <c r="U3699" t="str">
        <f>IF(T3699='Analysis backend'!$L$1,IF(ISERROR(MATCH('Analysis backend'!$M$1,E3699:I3699,0)),"Dire","Radiant"),"")</f>
        <v/>
      </c>
    </row>
    <row r="3700" spans="20:21" x14ac:dyDescent="0.3">
      <c r="T3700" t="str">
        <f>IF(ISERROR(MATCH('Analysis backend'!$M$1,E3700:N3700,0)),"",'Analysis backend'!$L$1)</f>
        <v/>
      </c>
      <c r="U3700" t="str">
        <f>IF(T3700='Analysis backend'!$L$1,IF(ISERROR(MATCH('Analysis backend'!$M$1,E3700:I3700,0)),"Dire","Radiant"),"")</f>
        <v/>
      </c>
    </row>
    <row r="3701" spans="20:21" x14ac:dyDescent="0.3">
      <c r="T3701" t="str">
        <f>IF(ISERROR(MATCH('Analysis backend'!$M$1,E3701:N3701,0)),"",'Analysis backend'!$L$1)</f>
        <v/>
      </c>
      <c r="U3701" t="str">
        <f>IF(T3701='Analysis backend'!$L$1,IF(ISERROR(MATCH('Analysis backend'!$M$1,E3701:I3701,0)),"Dire","Radiant"),"")</f>
        <v/>
      </c>
    </row>
    <row r="3702" spans="20:21" x14ac:dyDescent="0.3">
      <c r="T3702" t="str">
        <f>IF(ISERROR(MATCH('Analysis backend'!$M$1,E3702:N3702,0)),"",'Analysis backend'!$L$1)</f>
        <v/>
      </c>
      <c r="U3702" t="str">
        <f>IF(T3702='Analysis backend'!$L$1,IF(ISERROR(MATCH('Analysis backend'!$M$1,E3702:I3702,0)),"Dire","Radiant"),"")</f>
        <v/>
      </c>
    </row>
    <row r="3703" spans="20:21" x14ac:dyDescent="0.3">
      <c r="T3703" t="str">
        <f>IF(ISERROR(MATCH('Analysis backend'!$M$1,E3703:N3703,0)),"",'Analysis backend'!$L$1)</f>
        <v/>
      </c>
      <c r="U3703" t="str">
        <f>IF(T3703='Analysis backend'!$L$1,IF(ISERROR(MATCH('Analysis backend'!$M$1,E3703:I3703,0)),"Dire","Radiant"),"")</f>
        <v/>
      </c>
    </row>
    <row r="3704" spans="20:21" x14ac:dyDescent="0.3">
      <c r="T3704" t="str">
        <f>IF(ISERROR(MATCH('Analysis backend'!$M$1,E3704:N3704,0)),"",'Analysis backend'!$L$1)</f>
        <v/>
      </c>
      <c r="U3704" t="str">
        <f>IF(T3704='Analysis backend'!$L$1,IF(ISERROR(MATCH('Analysis backend'!$M$1,E3704:I3704,0)),"Dire","Radiant"),"")</f>
        <v/>
      </c>
    </row>
    <row r="3705" spans="20:21" x14ac:dyDescent="0.3">
      <c r="T3705" t="str">
        <f>IF(ISERROR(MATCH('Analysis backend'!$M$1,E3705:N3705,0)),"",'Analysis backend'!$L$1)</f>
        <v/>
      </c>
      <c r="U3705" t="str">
        <f>IF(T3705='Analysis backend'!$L$1,IF(ISERROR(MATCH('Analysis backend'!$M$1,E3705:I3705,0)),"Dire","Radiant"),"")</f>
        <v/>
      </c>
    </row>
    <row r="3706" spans="20:21" x14ac:dyDescent="0.3">
      <c r="T3706" t="str">
        <f>IF(ISERROR(MATCH('Analysis backend'!$M$1,E3706:N3706,0)),"",'Analysis backend'!$L$1)</f>
        <v/>
      </c>
      <c r="U3706" t="str">
        <f>IF(T3706='Analysis backend'!$L$1,IF(ISERROR(MATCH('Analysis backend'!$M$1,E3706:I3706,0)),"Dire","Radiant"),"")</f>
        <v/>
      </c>
    </row>
    <row r="3707" spans="20:21" x14ac:dyDescent="0.3">
      <c r="T3707" t="str">
        <f>IF(ISERROR(MATCH('Analysis backend'!$M$1,E3707:N3707,0)),"",'Analysis backend'!$L$1)</f>
        <v/>
      </c>
      <c r="U3707" t="str">
        <f>IF(T3707='Analysis backend'!$L$1,IF(ISERROR(MATCH('Analysis backend'!$M$1,E3707:I3707,0)),"Dire","Radiant"),"")</f>
        <v/>
      </c>
    </row>
    <row r="3708" spans="20:21" x14ac:dyDescent="0.3">
      <c r="T3708" t="str">
        <f>IF(ISERROR(MATCH('Analysis backend'!$M$1,E3708:N3708,0)),"",'Analysis backend'!$L$1)</f>
        <v/>
      </c>
      <c r="U3708" t="str">
        <f>IF(T3708='Analysis backend'!$L$1,IF(ISERROR(MATCH('Analysis backend'!$M$1,E3708:I3708,0)),"Dire","Radiant"),"")</f>
        <v/>
      </c>
    </row>
    <row r="3709" spans="20:21" x14ac:dyDescent="0.3">
      <c r="T3709" t="str">
        <f>IF(ISERROR(MATCH('Analysis backend'!$M$1,E3709:N3709,0)),"",'Analysis backend'!$L$1)</f>
        <v/>
      </c>
      <c r="U3709" t="str">
        <f>IF(T3709='Analysis backend'!$L$1,IF(ISERROR(MATCH('Analysis backend'!$M$1,E3709:I3709,0)),"Dire","Radiant"),"")</f>
        <v/>
      </c>
    </row>
    <row r="3710" spans="20:21" x14ac:dyDescent="0.3">
      <c r="T3710" t="str">
        <f>IF(ISERROR(MATCH('Analysis backend'!$M$1,E3710:N3710,0)),"",'Analysis backend'!$L$1)</f>
        <v/>
      </c>
      <c r="U3710" t="str">
        <f>IF(T3710='Analysis backend'!$L$1,IF(ISERROR(MATCH('Analysis backend'!$M$1,E3710:I3710,0)),"Dire","Radiant"),"")</f>
        <v/>
      </c>
    </row>
    <row r="3711" spans="20:21" x14ac:dyDescent="0.3">
      <c r="T3711" t="str">
        <f>IF(ISERROR(MATCH('Analysis backend'!$M$1,E3711:N3711,0)),"",'Analysis backend'!$L$1)</f>
        <v/>
      </c>
      <c r="U3711" t="str">
        <f>IF(T3711='Analysis backend'!$L$1,IF(ISERROR(MATCH('Analysis backend'!$M$1,E3711:I3711,0)),"Dire","Radiant"),"")</f>
        <v/>
      </c>
    </row>
    <row r="3712" spans="20:21" x14ac:dyDescent="0.3">
      <c r="T3712" t="str">
        <f>IF(ISERROR(MATCH('Analysis backend'!$M$1,E3712:N3712,0)),"",'Analysis backend'!$L$1)</f>
        <v/>
      </c>
      <c r="U3712" t="str">
        <f>IF(T3712='Analysis backend'!$L$1,IF(ISERROR(MATCH('Analysis backend'!$M$1,E3712:I3712,0)),"Dire","Radiant"),"")</f>
        <v/>
      </c>
    </row>
    <row r="3713" spans="20:21" x14ac:dyDescent="0.3">
      <c r="T3713" t="str">
        <f>IF(ISERROR(MATCH('Analysis backend'!$M$1,E3713:N3713,0)),"",'Analysis backend'!$L$1)</f>
        <v/>
      </c>
      <c r="U3713" t="str">
        <f>IF(T3713='Analysis backend'!$L$1,IF(ISERROR(MATCH('Analysis backend'!$M$1,E3713:I3713,0)),"Dire","Radiant"),"")</f>
        <v/>
      </c>
    </row>
    <row r="3714" spans="20:21" x14ac:dyDescent="0.3">
      <c r="T3714" t="str">
        <f>IF(ISERROR(MATCH('Analysis backend'!$M$1,E3714:N3714,0)),"",'Analysis backend'!$L$1)</f>
        <v/>
      </c>
      <c r="U3714" t="str">
        <f>IF(T3714='Analysis backend'!$L$1,IF(ISERROR(MATCH('Analysis backend'!$M$1,E3714:I3714,0)),"Dire","Radiant"),"")</f>
        <v/>
      </c>
    </row>
    <row r="3715" spans="20:21" x14ac:dyDescent="0.3">
      <c r="T3715" t="str">
        <f>IF(ISERROR(MATCH('Analysis backend'!$M$1,E3715:N3715,0)),"",'Analysis backend'!$L$1)</f>
        <v/>
      </c>
      <c r="U3715" t="str">
        <f>IF(T3715='Analysis backend'!$L$1,IF(ISERROR(MATCH('Analysis backend'!$M$1,E3715:I3715,0)),"Dire","Radiant"),"")</f>
        <v/>
      </c>
    </row>
    <row r="3716" spans="20:21" x14ac:dyDescent="0.3">
      <c r="T3716" t="str">
        <f>IF(ISERROR(MATCH('Analysis backend'!$M$1,E3716:N3716,0)),"",'Analysis backend'!$L$1)</f>
        <v/>
      </c>
      <c r="U3716" t="str">
        <f>IF(T3716='Analysis backend'!$L$1,IF(ISERROR(MATCH('Analysis backend'!$M$1,E3716:I3716,0)),"Dire","Radiant"),"")</f>
        <v/>
      </c>
    </row>
    <row r="3717" spans="20:21" x14ac:dyDescent="0.3">
      <c r="T3717" t="str">
        <f>IF(ISERROR(MATCH('Analysis backend'!$M$1,E3717:N3717,0)),"",'Analysis backend'!$L$1)</f>
        <v/>
      </c>
      <c r="U3717" t="str">
        <f>IF(T3717='Analysis backend'!$L$1,IF(ISERROR(MATCH('Analysis backend'!$M$1,E3717:I3717,0)),"Dire","Radiant"),"")</f>
        <v/>
      </c>
    </row>
    <row r="3718" spans="20:21" x14ac:dyDescent="0.3">
      <c r="T3718" t="str">
        <f>IF(ISERROR(MATCH('Analysis backend'!$M$1,E3718:N3718,0)),"",'Analysis backend'!$L$1)</f>
        <v/>
      </c>
      <c r="U3718" t="str">
        <f>IF(T3718='Analysis backend'!$L$1,IF(ISERROR(MATCH('Analysis backend'!$M$1,E3718:I3718,0)),"Dire","Radiant"),"")</f>
        <v/>
      </c>
    </row>
    <row r="3719" spans="20:21" x14ac:dyDescent="0.3">
      <c r="T3719" t="str">
        <f>IF(ISERROR(MATCH('Analysis backend'!$M$1,E3719:N3719,0)),"",'Analysis backend'!$L$1)</f>
        <v/>
      </c>
      <c r="U3719" t="str">
        <f>IF(T3719='Analysis backend'!$L$1,IF(ISERROR(MATCH('Analysis backend'!$M$1,E3719:I3719,0)),"Dire","Radiant"),"")</f>
        <v/>
      </c>
    </row>
    <row r="3720" spans="20:21" x14ac:dyDescent="0.3">
      <c r="T3720" t="str">
        <f>IF(ISERROR(MATCH('Analysis backend'!$M$1,E3720:N3720,0)),"",'Analysis backend'!$L$1)</f>
        <v/>
      </c>
      <c r="U3720" t="str">
        <f>IF(T3720='Analysis backend'!$L$1,IF(ISERROR(MATCH('Analysis backend'!$M$1,E3720:I3720,0)),"Dire","Radiant"),"")</f>
        <v/>
      </c>
    </row>
    <row r="3721" spans="20:21" x14ac:dyDescent="0.3">
      <c r="T3721" t="str">
        <f>IF(ISERROR(MATCH('Analysis backend'!$M$1,E3721:N3721,0)),"",'Analysis backend'!$L$1)</f>
        <v/>
      </c>
      <c r="U3721" t="str">
        <f>IF(T3721='Analysis backend'!$L$1,IF(ISERROR(MATCH('Analysis backend'!$M$1,E3721:I3721,0)),"Dire","Radiant"),"")</f>
        <v/>
      </c>
    </row>
    <row r="3722" spans="20:21" x14ac:dyDescent="0.3">
      <c r="T3722" t="str">
        <f>IF(ISERROR(MATCH('Analysis backend'!$M$1,E3722:N3722,0)),"",'Analysis backend'!$L$1)</f>
        <v/>
      </c>
      <c r="U3722" t="str">
        <f>IF(T3722='Analysis backend'!$L$1,IF(ISERROR(MATCH('Analysis backend'!$M$1,E3722:I3722,0)),"Dire","Radiant"),"")</f>
        <v/>
      </c>
    </row>
    <row r="3723" spans="20:21" x14ac:dyDescent="0.3">
      <c r="T3723" t="str">
        <f>IF(ISERROR(MATCH('Analysis backend'!$M$1,E3723:N3723,0)),"",'Analysis backend'!$L$1)</f>
        <v/>
      </c>
      <c r="U3723" t="str">
        <f>IF(T3723='Analysis backend'!$L$1,IF(ISERROR(MATCH('Analysis backend'!$M$1,E3723:I3723,0)),"Dire","Radiant"),"")</f>
        <v/>
      </c>
    </row>
    <row r="3724" spans="20:21" x14ac:dyDescent="0.3">
      <c r="T3724" t="str">
        <f>IF(ISERROR(MATCH('Analysis backend'!$M$1,E3724:N3724,0)),"",'Analysis backend'!$L$1)</f>
        <v/>
      </c>
      <c r="U3724" t="str">
        <f>IF(T3724='Analysis backend'!$L$1,IF(ISERROR(MATCH('Analysis backend'!$M$1,E3724:I3724,0)),"Dire","Radiant"),"")</f>
        <v/>
      </c>
    </row>
    <row r="3725" spans="20:21" x14ac:dyDescent="0.3">
      <c r="T3725" t="str">
        <f>IF(ISERROR(MATCH('Analysis backend'!$M$1,E3725:N3725,0)),"",'Analysis backend'!$L$1)</f>
        <v/>
      </c>
      <c r="U3725" t="str">
        <f>IF(T3725='Analysis backend'!$L$1,IF(ISERROR(MATCH('Analysis backend'!$M$1,E3725:I3725,0)),"Dire","Radiant"),"")</f>
        <v/>
      </c>
    </row>
    <row r="3726" spans="20:21" x14ac:dyDescent="0.3">
      <c r="T3726" t="str">
        <f>IF(ISERROR(MATCH('Analysis backend'!$M$1,E3726:N3726,0)),"",'Analysis backend'!$L$1)</f>
        <v/>
      </c>
      <c r="U3726" t="str">
        <f>IF(T3726='Analysis backend'!$L$1,IF(ISERROR(MATCH('Analysis backend'!$M$1,E3726:I3726,0)),"Dire","Radiant"),"")</f>
        <v/>
      </c>
    </row>
    <row r="3727" spans="20:21" x14ac:dyDescent="0.3">
      <c r="T3727" t="str">
        <f>IF(ISERROR(MATCH('Analysis backend'!$M$1,E3727:N3727,0)),"",'Analysis backend'!$L$1)</f>
        <v/>
      </c>
      <c r="U3727" t="str">
        <f>IF(T3727='Analysis backend'!$L$1,IF(ISERROR(MATCH('Analysis backend'!$M$1,E3727:I3727,0)),"Dire","Radiant"),"")</f>
        <v/>
      </c>
    </row>
    <row r="3728" spans="20:21" x14ac:dyDescent="0.3">
      <c r="T3728" t="str">
        <f>IF(ISERROR(MATCH('Analysis backend'!$M$1,E3728:N3728,0)),"",'Analysis backend'!$L$1)</f>
        <v/>
      </c>
      <c r="U3728" t="str">
        <f>IF(T3728='Analysis backend'!$L$1,IF(ISERROR(MATCH('Analysis backend'!$M$1,E3728:I3728,0)),"Dire","Radiant"),"")</f>
        <v/>
      </c>
    </row>
    <row r="3729" spans="20:21" x14ac:dyDescent="0.3">
      <c r="T3729" t="str">
        <f>IF(ISERROR(MATCH('Analysis backend'!$M$1,E3729:N3729,0)),"",'Analysis backend'!$L$1)</f>
        <v/>
      </c>
      <c r="U3729" t="str">
        <f>IF(T3729='Analysis backend'!$L$1,IF(ISERROR(MATCH('Analysis backend'!$M$1,E3729:I3729,0)),"Dire","Radiant"),"")</f>
        <v/>
      </c>
    </row>
    <row r="3730" spans="20:21" x14ac:dyDescent="0.3">
      <c r="T3730" t="str">
        <f>IF(ISERROR(MATCH('Analysis backend'!$M$1,E3730:N3730,0)),"",'Analysis backend'!$L$1)</f>
        <v/>
      </c>
      <c r="U3730" t="str">
        <f>IF(T3730='Analysis backend'!$L$1,IF(ISERROR(MATCH('Analysis backend'!$M$1,E3730:I3730,0)),"Dire","Radiant"),"")</f>
        <v/>
      </c>
    </row>
    <row r="3731" spans="20:21" x14ac:dyDescent="0.3">
      <c r="T3731" t="str">
        <f>IF(ISERROR(MATCH('Analysis backend'!$M$1,E3731:N3731,0)),"",'Analysis backend'!$L$1)</f>
        <v/>
      </c>
      <c r="U3731" t="str">
        <f>IF(T3731='Analysis backend'!$L$1,IF(ISERROR(MATCH('Analysis backend'!$M$1,E3731:I3731,0)),"Dire","Radiant"),"")</f>
        <v/>
      </c>
    </row>
    <row r="3732" spans="20:21" x14ac:dyDescent="0.3">
      <c r="T3732" t="str">
        <f>IF(ISERROR(MATCH('Analysis backend'!$M$1,E3732:N3732,0)),"",'Analysis backend'!$L$1)</f>
        <v/>
      </c>
      <c r="U3732" t="str">
        <f>IF(T3732='Analysis backend'!$L$1,IF(ISERROR(MATCH('Analysis backend'!$M$1,E3732:I3732,0)),"Dire","Radiant"),"")</f>
        <v/>
      </c>
    </row>
    <row r="3733" spans="20:21" x14ac:dyDescent="0.3">
      <c r="T3733" t="str">
        <f>IF(ISERROR(MATCH('Analysis backend'!$M$1,E3733:N3733,0)),"",'Analysis backend'!$L$1)</f>
        <v/>
      </c>
      <c r="U3733" t="str">
        <f>IF(T3733='Analysis backend'!$L$1,IF(ISERROR(MATCH('Analysis backend'!$M$1,E3733:I3733,0)),"Dire","Radiant"),"")</f>
        <v/>
      </c>
    </row>
    <row r="3734" spans="20:21" x14ac:dyDescent="0.3">
      <c r="T3734" t="str">
        <f>IF(ISERROR(MATCH('Analysis backend'!$M$1,E3734:N3734,0)),"",'Analysis backend'!$L$1)</f>
        <v/>
      </c>
      <c r="U3734" t="str">
        <f>IF(T3734='Analysis backend'!$L$1,IF(ISERROR(MATCH('Analysis backend'!$M$1,E3734:I3734,0)),"Dire","Radiant"),"")</f>
        <v/>
      </c>
    </row>
    <row r="3735" spans="20:21" x14ac:dyDescent="0.3">
      <c r="T3735" t="str">
        <f>IF(ISERROR(MATCH('Analysis backend'!$M$1,E3735:N3735,0)),"",'Analysis backend'!$L$1)</f>
        <v/>
      </c>
      <c r="U3735" t="str">
        <f>IF(T3735='Analysis backend'!$L$1,IF(ISERROR(MATCH('Analysis backend'!$M$1,E3735:I3735,0)),"Dire","Radiant"),"")</f>
        <v/>
      </c>
    </row>
    <row r="3736" spans="20:21" x14ac:dyDescent="0.3">
      <c r="T3736" t="str">
        <f>IF(ISERROR(MATCH('Analysis backend'!$M$1,E3736:N3736,0)),"",'Analysis backend'!$L$1)</f>
        <v/>
      </c>
      <c r="U3736" t="str">
        <f>IF(T3736='Analysis backend'!$L$1,IF(ISERROR(MATCH('Analysis backend'!$M$1,E3736:I3736,0)),"Dire","Radiant"),"")</f>
        <v/>
      </c>
    </row>
    <row r="3737" spans="20:21" x14ac:dyDescent="0.3">
      <c r="T3737" t="str">
        <f>IF(ISERROR(MATCH('Analysis backend'!$M$1,E3737:N3737,0)),"",'Analysis backend'!$L$1)</f>
        <v/>
      </c>
      <c r="U3737" t="str">
        <f>IF(T3737='Analysis backend'!$L$1,IF(ISERROR(MATCH('Analysis backend'!$M$1,E3737:I3737,0)),"Dire","Radiant"),"")</f>
        <v/>
      </c>
    </row>
    <row r="3738" spans="20:21" x14ac:dyDescent="0.3">
      <c r="T3738" t="str">
        <f>IF(ISERROR(MATCH('Analysis backend'!$M$1,E3738:N3738,0)),"",'Analysis backend'!$L$1)</f>
        <v/>
      </c>
      <c r="U3738" t="str">
        <f>IF(T3738='Analysis backend'!$L$1,IF(ISERROR(MATCH('Analysis backend'!$M$1,E3738:I3738,0)),"Dire","Radiant"),"")</f>
        <v/>
      </c>
    </row>
    <row r="3739" spans="20:21" x14ac:dyDescent="0.3">
      <c r="T3739" t="str">
        <f>IF(ISERROR(MATCH('Analysis backend'!$M$1,E3739:N3739,0)),"",'Analysis backend'!$L$1)</f>
        <v/>
      </c>
      <c r="U3739" t="str">
        <f>IF(T3739='Analysis backend'!$L$1,IF(ISERROR(MATCH('Analysis backend'!$M$1,E3739:I3739,0)),"Dire","Radiant"),"")</f>
        <v/>
      </c>
    </row>
    <row r="3740" spans="20:21" x14ac:dyDescent="0.3">
      <c r="T3740" t="str">
        <f>IF(ISERROR(MATCH('Analysis backend'!$M$1,E3740:N3740,0)),"",'Analysis backend'!$L$1)</f>
        <v/>
      </c>
      <c r="U3740" t="str">
        <f>IF(T3740='Analysis backend'!$L$1,IF(ISERROR(MATCH('Analysis backend'!$M$1,E3740:I3740,0)),"Dire","Radiant"),"")</f>
        <v/>
      </c>
    </row>
    <row r="3741" spans="20:21" x14ac:dyDescent="0.3">
      <c r="T3741" t="str">
        <f>IF(ISERROR(MATCH('Analysis backend'!$M$1,E3741:N3741,0)),"",'Analysis backend'!$L$1)</f>
        <v/>
      </c>
      <c r="U3741" t="str">
        <f>IF(T3741='Analysis backend'!$L$1,IF(ISERROR(MATCH('Analysis backend'!$M$1,E3741:I3741,0)),"Dire","Radiant"),"")</f>
        <v/>
      </c>
    </row>
    <row r="3742" spans="20:21" x14ac:dyDescent="0.3">
      <c r="T3742" t="str">
        <f>IF(ISERROR(MATCH('Analysis backend'!$M$1,E3742:N3742,0)),"",'Analysis backend'!$L$1)</f>
        <v/>
      </c>
      <c r="U3742" t="str">
        <f>IF(T3742='Analysis backend'!$L$1,IF(ISERROR(MATCH('Analysis backend'!$M$1,E3742:I3742,0)),"Dire","Radiant"),"")</f>
        <v/>
      </c>
    </row>
    <row r="3743" spans="20:21" x14ac:dyDescent="0.3">
      <c r="T3743" t="str">
        <f>IF(ISERROR(MATCH('Analysis backend'!$M$1,E3743:N3743,0)),"",'Analysis backend'!$L$1)</f>
        <v/>
      </c>
      <c r="U3743" t="str">
        <f>IF(T3743='Analysis backend'!$L$1,IF(ISERROR(MATCH('Analysis backend'!$M$1,E3743:I3743,0)),"Dire","Radiant"),"")</f>
        <v/>
      </c>
    </row>
    <row r="3744" spans="20:21" x14ac:dyDescent="0.3">
      <c r="T3744" t="str">
        <f>IF(ISERROR(MATCH('Analysis backend'!$M$1,E3744:N3744,0)),"",'Analysis backend'!$L$1)</f>
        <v/>
      </c>
      <c r="U3744" t="str">
        <f>IF(T3744='Analysis backend'!$L$1,IF(ISERROR(MATCH('Analysis backend'!$M$1,E3744:I3744,0)),"Dire","Radiant"),"")</f>
        <v/>
      </c>
    </row>
    <row r="3745" spans="20:21" x14ac:dyDescent="0.3">
      <c r="T3745" t="str">
        <f>IF(ISERROR(MATCH('Analysis backend'!$M$1,E3745:N3745,0)),"",'Analysis backend'!$L$1)</f>
        <v/>
      </c>
      <c r="U3745" t="str">
        <f>IF(T3745='Analysis backend'!$L$1,IF(ISERROR(MATCH('Analysis backend'!$M$1,E3745:I3745,0)),"Dire","Radiant"),"")</f>
        <v/>
      </c>
    </row>
    <row r="3746" spans="20:21" x14ac:dyDescent="0.3">
      <c r="T3746" t="str">
        <f>IF(ISERROR(MATCH('Analysis backend'!$M$1,E3746:N3746,0)),"",'Analysis backend'!$L$1)</f>
        <v/>
      </c>
      <c r="U3746" t="str">
        <f>IF(T3746='Analysis backend'!$L$1,IF(ISERROR(MATCH('Analysis backend'!$M$1,E3746:I3746,0)),"Dire","Radiant"),"")</f>
        <v/>
      </c>
    </row>
    <row r="3747" spans="20:21" x14ac:dyDescent="0.3">
      <c r="T3747" t="str">
        <f>IF(ISERROR(MATCH('Analysis backend'!$M$1,E3747:N3747,0)),"",'Analysis backend'!$L$1)</f>
        <v/>
      </c>
      <c r="U3747" t="str">
        <f>IF(T3747='Analysis backend'!$L$1,IF(ISERROR(MATCH('Analysis backend'!$M$1,E3747:I3747,0)),"Dire","Radiant"),"")</f>
        <v/>
      </c>
    </row>
    <row r="3748" spans="20:21" x14ac:dyDescent="0.3">
      <c r="T3748" t="str">
        <f>IF(ISERROR(MATCH('Analysis backend'!$M$1,E3748:N3748,0)),"",'Analysis backend'!$L$1)</f>
        <v/>
      </c>
      <c r="U3748" t="str">
        <f>IF(T3748='Analysis backend'!$L$1,IF(ISERROR(MATCH('Analysis backend'!$M$1,E3748:I3748,0)),"Dire","Radiant"),"")</f>
        <v/>
      </c>
    </row>
    <row r="3749" spans="20:21" x14ac:dyDescent="0.3">
      <c r="T3749" t="str">
        <f>IF(ISERROR(MATCH('Analysis backend'!$M$1,E3749:N3749,0)),"",'Analysis backend'!$L$1)</f>
        <v/>
      </c>
      <c r="U3749" t="str">
        <f>IF(T3749='Analysis backend'!$L$1,IF(ISERROR(MATCH('Analysis backend'!$M$1,E3749:I3749,0)),"Dire","Radiant"),"")</f>
        <v/>
      </c>
    </row>
    <row r="3750" spans="20:21" x14ac:dyDescent="0.3">
      <c r="T3750" t="str">
        <f>IF(ISERROR(MATCH('Analysis backend'!$M$1,E3750:N3750,0)),"",'Analysis backend'!$L$1)</f>
        <v/>
      </c>
      <c r="U3750" t="str">
        <f>IF(T3750='Analysis backend'!$L$1,IF(ISERROR(MATCH('Analysis backend'!$M$1,E3750:I3750,0)),"Dire","Radiant"),"")</f>
        <v/>
      </c>
    </row>
    <row r="3751" spans="20:21" x14ac:dyDescent="0.3">
      <c r="T3751" t="str">
        <f>IF(ISERROR(MATCH('Analysis backend'!$M$1,E3751:N3751,0)),"",'Analysis backend'!$L$1)</f>
        <v/>
      </c>
      <c r="U3751" t="str">
        <f>IF(T3751='Analysis backend'!$L$1,IF(ISERROR(MATCH('Analysis backend'!$M$1,E3751:I3751,0)),"Dire","Radiant"),"")</f>
        <v/>
      </c>
    </row>
    <row r="3752" spans="20:21" x14ac:dyDescent="0.3">
      <c r="T3752" t="str">
        <f>IF(ISERROR(MATCH('Analysis backend'!$M$1,E3752:N3752,0)),"",'Analysis backend'!$L$1)</f>
        <v/>
      </c>
      <c r="U3752" t="str">
        <f>IF(T3752='Analysis backend'!$L$1,IF(ISERROR(MATCH('Analysis backend'!$M$1,E3752:I3752,0)),"Dire","Radiant"),"")</f>
        <v/>
      </c>
    </row>
    <row r="3753" spans="20:21" x14ac:dyDescent="0.3">
      <c r="T3753" t="str">
        <f>IF(ISERROR(MATCH('Analysis backend'!$M$1,E3753:N3753,0)),"",'Analysis backend'!$L$1)</f>
        <v/>
      </c>
      <c r="U3753" t="str">
        <f>IF(T3753='Analysis backend'!$L$1,IF(ISERROR(MATCH('Analysis backend'!$M$1,E3753:I3753,0)),"Dire","Radiant"),"")</f>
        <v/>
      </c>
    </row>
    <row r="3754" spans="20:21" x14ac:dyDescent="0.3">
      <c r="T3754" t="str">
        <f>IF(ISERROR(MATCH('Analysis backend'!$M$1,E3754:N3754,0)),"",'Analysis backend'!$L$1)</f>
        <v/>
      </c>
      <c r="U3754" t="str">
        <f>IF(T3754='Analysis backend'!$L$1,IF(ISERROR(MATCH('Analysis backend'!$M$1,E3754:I3754,0)),"Dire","Radiant"),"")</f>
        <v/>
      </c>
    </row>
    <row r="3755" spans="20:21" x14ac:dyDescent="0.3">
      <c r="T3755" t="str">
        <f>IF(ISERROR(MATCH('Analysis backend'!$M$1,E3755:N3755,0)),"",'Analysis backend'!$L$1)</f>
        <v/>
      </c>
      <c r="U3755" t="str">
        <f>IF(T3755='Analysis backend'!$L$1,IF(ISERROR(MATCH('Analysis backend'!$M$1,E3755:I3755,0)),"Dire","Radiant"),"")</f>
        <v/>
      </c>
    </row>
    <row r="3756" spans="20:21" x14ac:dyDescent="0.3">
      <c r="T3756" t="str">
        <f>IF(ISERROR(MATCH('Analysis backend'!$M$1,E3756:N3756,0)),"",'Analysis backend'!$L$1)</f>
        <v/>
      </c>
      <c r="U3756" t="str">
        <f>IF(T3756='Analysis backend'!$L$1,IF(ISERROR(MATCH('Analysis backend'!$M$1,E3756:I3756,0)),"Dire","Radiant"),"")</f>
        <v/>
      </c>
    </row>
    <row r="3757" spans="20:21" x14ac:dyDescent="0.3">
      <c r="T3757" t="str">
        <f>IF(ISERROR(MATCH('Analysis backend'!$M$1,E3757:N3757,0)),"",'Analysis backend'!$L$1)</f>
        <v/>
      </c>
      <c r="U3757" t="str">
        <f>IF(T3757='Analysis backend'!$L$1,IF(ISERROR(MATCH('Analysis backend'!$M$1,E3757:I3757,0)),"Dire","Radiant"),"")</f>
        <v/>
      </c>
    </row>
    <row r="3758" spans="20:21" x14ac:dyDescent="0.3">
      <c r="T3758" t="str">
        <f>IF(ISERROR(MATCH('Analysis backend'!$M$1,E3758:N3758,0)),"",'Analysis backend'!$L$1)</f>
        <v/>
      </c>
      <c r="U3758" t="str">
        <f>IF(T3758='Analysis backend'!$L$1,IF(ISERROR(MATCH('Analysis backend'!$M$1,E3758:I3758,0)),"Dire","Radiant"),"")</f>
        <v/>
      </c>
    </row>
    <row r="3759" spans="20:21" x14ac:dyDescent="0.3">
      <c r="T3759" t="str">
        <f>IF(ISERROR(MATCH('Analysis backend'!$M$1,E3759:N3759,0)),"",'Analysis backend'!$L$1)</f>
        <v/>
      </c>
      <c r="U3759" t="str">
        <f>IF(T3759='Analysis backend'!$L$1,IF(ISERROR(MATCH('Analysis backend'!$M$1,E3759:I3759,0)),"Dire","Radiant"),"")</f>
        <v/>
      </c>
    </row>
    <row r="3760" spans="20:21" x14ac:dyDescent="0.3">
      <c r="T3760" t="str">
        <f>IF(ISERROR(MATCH('Analysis backend'!$M$1,E3760:N3760,0)),"",'Analysis backend'!$L$1)</f>
        <v/>
      </c>
      <c r="U3760" t="str">
        <f>IF(T3760='Analysis backend'!$L$1,IF(ISERROR(MATCH('Analysis backend'!$M$1,E3760:I3760,0)),"Dire","Radiant"),"")</f>
        <v/>
      </c>
    </row>
    <row r="3761" spans="20:21" x14ac:dyDescent="0.3">
      <c r="T3761" t="str">
        <f>IF(ISERROR(MATCH('Analysis backend'!$M$1,E3761:N3761,0)),"",'Analysis backend'!$L$1)</f>
        <v/>
      </c>
      <c r="U3761" t="str">
        <f>IF(T3761='Analysis backend'!$L$1,IF(ISERROR(MATCH('Analysis backend'!$M$1,E3761:I3761,0)),"Dire","Radiant"),"")</f>
        <v/>
      </c>
    </row>
    <row r="3762" spans="20:21" x14ac:dyDescent="0.3">
      <c r="T3762" t="str">
        <f>IF(ISERROR(MATCH('Analysis backend'!$M$1,E3762:N3762,0)),"",'Analysis backend'!$L$1)</f>
        <v/>
      </c>
      <c r="U3762" t="str">
        <f>IF(T3762='Analysis backend'!$L$1,IF(ISERROR(MATCH('Analysis backend'!$M$1,E3762:I3762,0)),"Dire","Radiant"),"")</f>
        <v/>
      </c>
    </row>
    <row r="3763" spans="20:21" x14ac:dyDescent="0.3">
      <c r="T3763" t="str">
        <f>IF(ISERROR(MATCH('Analysis backend'!$M$1,E3763:N3763,0)),"",'Analysis backend'!$L$1)</f>
        <v/>
      </c>
      <c r="U3763" t="str">
        <f>IF(T3763='Analysis backend'!$L$1,IF(ISERROR(MATCH('Analysis backend'!$M$1,E3763:I3763,0)),"Dire","Radiant"),"")</f>
        <v/>
      </c>
    </row>
    <row r="3764" spans="20:21" x14ac:dyDescent="0.3">
      <c r="T3764" t="str">
        <f>IF(ISERROR(MATCH('Analysis backend'!$M$1,E3764:N3764,0)),"",'Analysis backend'!$L$1)</f>
        <v/>
      </c>
      <c r="U3764" t="str">
        <f>IF(T3764='Analysis backend'!$L$1,IF(ISERROR(MATCH('Analysis backend'!$M$1,E3764:I3764,0)),"Dire","Radiant"),"")</f>
        <v/>
      </c>
    </row>
    <row r="3765" spans="20:21" x14ac:dyDescent="0.3">
      <c r="T3765" t="str">
        <f>IF(ISERROR(MATCH('Analysis backend'!$M$1,E3765:N3765,0)),"",'Analysis backend'!$L$1)</f>
        <v/>
      </c>
      <c r="U3765" t="str">
        <f>IF(T3765='Analysis backend'!$L$1,IF(ISERROR(MATCH('Analysis backend'!$M$1,E3765:I3765,0)),"Dire","Radiant"),"")</f>
        <v/>
      </c>
    </row>
    <row r="3766" spans="20:21" x14ac:dyDescent="0.3">
      <c r="T3766" t="str">
        <f>IF(ISERROR(MATCH('Analysis backend'!$M$1,E3766:N3766,0)),"",'Analysis backend'!$L$1)</f>
        <v/>
      </c>
      <c r="U3766" t="str">
        <f>IF(T3766='Analysis backend'!$L$1,IF(ISERROR(MATCH('Analysis backend'!$M$1,E3766:I3766,0)),"Dire","Radiant"),"")</f>
        <v/>
      </c>
    </row>
    <row r="3767" spans="20:21" x14ac:dyDescent="0.3">
      <c r="T3767" t="str">
        <f>IF(ISERROR(MATCH('Analysis backend'!$M$1,E3767:N3767,0)),"",'Analysis backend'!$L$1)</f>
        <v/>
      </c>
      <c r="U3767" t="str">
        <f>IF(T3767='Analysis backend'!$L$1,IF(ISERROR(MATCH('Analysis backend'!$M$1,E3767:I3767,0)),"Dire","Radiant"),"")</f>
        <v/>
      </c>
    </row>
    <row r="3768" spans="20:21" x14ac:dyDescent="0.3">
      <c r="T3768" t="str">
        <f>IF(ISERROR(MATCH('Analysis backend'!$M$1,E3768:N3768,0)),"",'Analysis backend'!$L$1)</f>
        <v/>
      </c>
      <c r="U3768" t="str">
        <f>IF(T3768='Analysis backend'!$L$1,IF(ISERROR(MATCH('Analysis backend'!$M$1,E3768:I3768,0)),"Dire","Radiant"),"")</f>
        <v/>
      </c>
    </row>
    <row r="3769" spans="20:21" x14ac:dyDescent="0.3">
      <c r="T3769" t="str">
        <f>IF(ISERROR(MATCH('Analysis backend'!$M$1,E3769:N3769,0)),"",'Analysis backend'!$L$1)</f>
        <v/>
      </c>
      <c r="U3769" t="str">
        <f>IF(T3769='Analysis backend'!$L$1,IF(ISERROR(MATCH('Analysis backend'!$M$1,E3769:I3769,0)),"Dire","Radiant"),"")</f>
        <v/>
      </c>
    </row>
    <row r="3770" spans="20:21" x14ac:dyDescent="0.3">
      <c r="T3770" t="str">
        <f>IF(ISERROR(MATCH('Analysis backend'!$M$1,E3770:N3770,0)),"",'Analysis backend'!$L$1)</f>
        <v/>
      </c>
      <c r="U3770" t="str">
        <f>IF(T3770='Analysis backend'!$L$1,IF(ISERROR(MATCH('Analysis backend'!$M$1,E3770:I3770,0)),"Dire","Radiant"),"")</f>
        <v/>
      </c>
    </row>
    <row r="3771" spans="20:21" x14ac:dyDescent="0.3">
      <c r="T3771" t="str">
        <f>IF(ISERROR(MATCH('Analysis backend'!$M$1,E3771:N3771,0)),"",'Analysis backend'!$L$1)</f>
        <v/>
      </c>
      <c r="U3771" t="str">
        <f>IF(T3771='Analysis backend'!$L$1,IF(ISERROR(MATCH('Analysis backend'!$M$1,E3771:I3771,0)),"Dire","Radiant"),"")</f>
        <v/>
      </c>
    </row>
    <row r="3772" spans="20:21" x14ac:dyDescent="0.3">
      <c r="T3772" t="str">
        <f>IF(ISERROR(MATCH('Analysis backend'!$M$1,E3772:N3772,0)),"",'Analysis backend'!$L$1)</f>
        <v/>
      </c>
      <c r="U3772" t="str">
        <f>IF(T3772='Analysis backend'!$L$1,IF(ISERROR(MATCH('Analysis backend'!$M$1,E3772:I3772,0)),"Dire","Radiant"),"")</f>
        <v/>
      </c>
    </row>
    <row r="3773" spans="20:21" x14ac:dyDescent="0.3">
      <c r="T3773" t="str">
        <f>IF(ISERROR(MATCH('Analysis backend'!$M$1,E3773:N3773,0)),"",'Analysis backend'!$L$1)</f>
        <v/>
      </c>
      <c r="U3773" t="str">
        <f>IF(T3773='Analysis backend'!$L$1,IF(ISERROR(MATCH('Analysis backend'!$M$1,E3773:I3773,0)),"Dire","Radiant"),"")</f>
        <v/>
      </c>
    </row>
    <row r="3774" spans="20:21" x14ac:dyDescent="0.3">
      <c r="T3774" t="str">
        <f>IF(ISERROR(MATCH('Analysis backend'!$M$1,E3774:N3774,0)),"",'Analysis backend'!$L$1)</f>
        <v/>
      </c>
      <c r="U3774" t="str">
        <f>IF(T3774='Analysis backend'!$L$1,IF(ISERROR(MATCH('Analysis backend'!$M$1,E3774:I3774,0)),"Dire","Radiant"),"")</f>
        <v/>
      </c>
    </row>
    <row r="3775" spans="20:21" x14ac:dyDescent="0.3">
      <c r="T3775" t="str">
        <f>IF(ISERROR(MATCH('Analysis backend'!$M$1,E3775:N3775,0)),"",'Analysis backend'!$L$1)</f>
        <v/>
      </c>
      <c r="U3775" t="str">
        <f>IF(T3775='Analysis backend'!$L$1,IF(ISERROR(MATCH('Analysis backend'!$M$1,E3775:I3775,0)),"Dire","Radiant"),"")</f>
        <v/>
      </c>
    </row>
    <row r="3776" spans="20:21" x14ac:dyDescent="0.3">
      <c r="T3776" t="str">
        <f>IF(ISERROR(MATCH('Analysis backend'!$M$1,E3776:N3776,0)),"",'Analysis backend'!$L$1)</f>
        <v/>
      </c>
      <c r="U3776" t="str">
        <f>IF(T3776='Analysis backend'!$L$1,IF(ISERROR(MATCH('Analysis backend'!$M$1,E3776:I3776,0)),"Dire","Radiant"),"")</f>
        <v/>
      </c>
    </row>
    <row r="3777" spans="20:21" x14ac:dyDescent="0.3">
      <c r="T3777" t="str">
        <f>IF(ISERROR(MATCH('Analysis backend'!$M$1,E3777:N3777,0)),"",'Analysis backend'!$L$1)</f>
        <v/>
      </c>
      <c r="U3777" t="str">
        <f>IF(T3777='Analysis backend'!$L$1,IF(ISERROR(MATCH('Analysis backend'!$M$1,E3777:I3777,0)),"Dire","Radiant"),"")</f>
        <v/>
      </c>
    </row>
    <row r="3778" spans="20:21" x14ac:dyDescent="0.3">
      <c r="T3778" t="str">
        <f>IF(ISERROR(MATCH('Analysis backend'!$M$1,E3778:N3778,0)),"",'Analysis backend'!$L$1)</f>
        <v/>
      </c>
      <c r="U3778" t="str">
        <f>IF(T3778='Analysis backend'!$L$1,IF(ISERROR(MATCH('Analysis backend'!$M$1,E3778:I3778,0)),"Dire","Radiant"),"")</f>
        <v/>
      </c>
    </row>
    <row r="3779" spans="20:21" x14ac:dyDescent="0.3">
      <c r="T3779" t="str">
        <f>IF(ISERROR(MATCH('Analysis backend'!$M$1,E3779:N3779,0)),"",'Analysis backend'!$L$1)</f>
        <v/>
      </c>
      <c r="U3779" t="str">
        <f>IF(T3779='Analysis backend'!$L$1,IF(ISERROR(MATCH('Analysis backend'!$M$1,E3779:I3779,0)),"Dire","Radiant"),"")</f>
        <v/>
      </c>
    </row>
    <row r="3780" spans="20:21" x14ac:dyDescent="0.3">
      <c r="T3780" t="str">
        <f>IF(ISERROR(MATCH('Analysis backend'!$M$1,E3780:N3780,0)),"",'Analysis backend'!$L$1)</f>
        <v/>
      </c>
      <c r="U3780" t="str">
        <f>IF(T3780='Analysis backend'!$L$1,IF(ISERROR(MATCH('Analysis backend'!$M$1,E3780:I3780,0)),"Dire","Radiant"),"")</f>
        <v/>
      </c>
    </row>
    <row r="3781" spans="20:21" x14ac:dyDescent="0.3">
      <c r="T3781" t="str">
        <f>IF(ISERROR(MATCH('Analysis backend'!$M$1,E3781:N3781,0)),"",'Analysis backend'!$L$1)</f>
        <v/>
      </c>
      <c r="U3781" t="str">
        <f>IF(T3781='Analysis backend'!$L$1,IF(ISERROR(MATCH('Analysis backend'!$M$1,E3781:I3781,0)),"Dire","Radiant"),"")</f>
        <v/>
      </c>
    </row>
    <row r="3782" spans="20:21" x14ac:dyDescent="0.3">
      <c r="T3782" t="str">
        <f>IF(ISERROR(MATCH('Analysis backend'!$M$1,E3782:N3782,0)),"",'Analysis backend'!$L$1)</f>
        <v/>
      </c>
      <c r="U3782" t="str">
        <f>IF(T3782='Analysis backend'!$L$1,IF(ISERROR(MATCH('Analysis backend'!$M$1,E3782:I3782,0)),"Dire","Radiant"),"")</f>
        <v/>
      </c>
    </row>
    <row r="3783" spans="20:21" x14ac:dyDescent="0.3">
      <c r="T3783" t="str">
        <f>IF(ISERROR(MATCH('Analysis backend'!$M$1,E3783:N3783,0)),"",'Analysis backend'!$L$1)</f>
        <v/>
      </c>
      <c r="U3783" t="str">
        <f>IF(T3783='Analysis backend'!$L$1,IF(ISERROR(MATCH('Analysis backend'!$M$1,E3783:I3783,0)),"Dire","Radiant"),"")</f>
        <v/>
      </c>
    </row>
    <row r="3784" spans="20:21" x14ac:dyDescent="0.3">
      <c r="T3784" t="str">
        <f>IF(ISERROR(MATCH('Analysis backend'!$M$1,E3784:N3784,0)),"",'Analysis backend'!$L$1)</f>
        <v/>
      </c>
      <c r="U3784" t="str">
        <f>IF(T3784='Analysis backend'!$L$1,IF(ISERROR(MATCH('Analysis backend'!$M$1,E3784:I3784,0)),"Dire","Radiant"),"")</f>
        <v/>
      </c>
    </row>
    <row r="3785" spans="20:21" x14ac:dyDescent="0.3">
      <c r="T3785" t="str">
        <f>IF(ISERROR(MATCH('Analysis backend'!$M$1,E3785:N3785,0)),"",'Analysis backend'!$L$1)</f>
        <v/>
      </c>
      <c r="U3785" t="str">
        <f>IF(T3785='Analysis backend'!$L$1,IF(ISERROR(MATCH('Analysis backend'!$M$1,E3785:I3785,0)),"Dire","Radiant"),"")</f>
        <v/>
      </c>
    </row>
    <row r="3786" spans="20:21" x14ac:dyDescent="0.3">
      <c r="T3786" t="str">
        <f>IF(ISERROR(MATCH('Analysis backend'!$M$1,E3786:N3786,0)),"",'Analysis backend'!$L$1)</f>
        <v/>
      </c>
      <c r="U3786" t="str">
        <f>IF(T3786='Analysis backend'!$L$1,IF(ISERROR(MATCH('Analysis backend'!$M$1,E3786:I3786,0)),"Dire","Radiant"),"")</f>
        <v/>
      </c>
    </row>
    <row r="3787" spans="20:21" x14ac:dyDescent="0.3">
      <c r="T3787" t="str">
        <f>IF(ISERROR(MATCH('Analysis backend'!$M$1,E3787:N3787,0)),"",'Analysis backend'!$L$1)</f>
        <v/>
      </c>
      <c r="U3787" t="str">
        <f>IF(T3787='Analysis backend'!$L$1,IF(ISERROR(MATCH('Analysis backend'!$M$1,E3787:I3787,0)),"Dire","Radiant"),"")</f>
        <v/>
      </c>
    </row>
    <row r="3788" spans="20:21" x14ac:dyDescent="0.3">
      <c r="T3788" t="str">
        <f>IF(ISERROR(MATCH('Analysis backend'!$M$1,E3788:N3788,0)),"",'Analysis backend'!$L$1)</f>
        <v/>
      </c>
      <c r="U3788" t="str">
        <f>IF(T3788='Analysis backend'!$L$1,IF(ISERROR(MATCH('Analysis backend'!$M$1,E3788:I3788,0)),"Dire","Radiant"),"")</f>
        <v/>
      </c>
    </row>
    <row r="3789" spans="20:21" x14ac:dyDescent="0.3">
      <c r="T3789" t="str">
        <f>IF(ISERROR(MATCH('Analysis backend'!$M$1,E3789:N3789,0)),"",'Analysis backend'!$L$1)</f>
        <v/>
      </c>
      <c r="U3789" t="str">
        <f>IF(T3789='Analysis backend'!$L$1,IF(ISERROR(MATCH('Analysis backend'!$M$1,E3789:I3789,0)),"Dire","Radiant"),"")</f>
        <v/>
      </c>
    </row>
    <row r="3790" spans="20:21" x14ac:dyDescent="0.3">
      <c r="T3790" t="str">
        <f>IF(ISERROR(MATCH('Analysis backend'!$M$1,E3790:N3790,0)),"",'Analysis backend'!$L$1)</f>
        <v/>
      </c>
      <c r="U3790" t="str">
        <f>IF(T3790='Analysis backend'!$L$1,IF(ISERROR(MATCH('Analysis backend'!$M$1,E3790:I3790,0)),"Dire","Radiant"),"")</f>
        <v/>
      </c>
    </row>
    <row r="3791" spans="20:21" x14ac:dyDescent="0.3">
      <c r="T3791" t="str">
        <f>IF(ISERROR(MATCH('Analysis backend'!$M$1,E3791:N3791,0)),"",'Analysis backend'!$L$1)</f>
        <v/>
      </c>
      <c r="U3791" t="str">
        <f>IF(T3791='Analysis backend'!$L$1,IF(ISERROR(MATCH('Analysis backend'!$M$1,E3791:I3791,0)),"Dire","Radiant"),"")</f>
        <v/>
      </c>
    </row>
    <row r="3792" spans="20:21" x14ac:dyDescent="0.3">
      <c r="T3792" t="str">
        <f>IF(ISERROR(MATCH('Analysis backend'!$M$1,E3792:N3792,0)),"",'Analysis backend'!$L$1)</f>
        <v/>
      </c>
      <c r="U3792" t="str">
        <f>IF(T3792='Analysis backend'!$L$1,IF(ISERROR(MATCH('Analysis backend'!$M$1,E3792:I3792,0)),"Dire","Radiant"),"")</f>
        <v/>
      </c>
    </row>
    <row r="3793" spans="20:21" x14ac:dyDescent="0.3">
      <c r="T3793" t="str">
        <f>IF(ISERROR(MATCH('Analysis backend'!$M$1,E3793:N3793,0)),"",'Analysis backend'!$L$1)</f>
        <v/>
      </c>
      <c r="U3793" t="str">
        <f>IF(T3793='Analysis backend'!$L$1,IF(ISERROR(MATCH('Analysis backend'!$M$1,E3793:I3793,0)),"Dire","Radiant"),"")</f>
        <v/>
      </c>
    </row>
    <row r="3794" spans="20:21" x14ac:dyDescent="0.3">
      <c r="T3794" t="str">
        <f>IF(ISERROR(MATCH('Analysis backend'!$M$1,E3794:N3794,0)),"",'Analysis backend'!$L$1)</f>
        <v/>
      </c>
      <c r="U3794" t="str">
        <f>IF(T3794='Analysis backend'!$L$1,IF(ISERROR(MATCH('Analysis backend'!$M$1,E3794:I3794,0)),"Dire","Radiant"),"")</f>
        <v/>
      </c>
    </row>
    <row r="3795" spans="20:21" x14ac:dyDescent="0.3">
      <c r="T3795" t="str">
        <f>IF(ISERROR(MATCH('Analysis backend'!$M$1,E3795:N3795,0)),"",'Analysis backend'!$L$1)</f>
        <v/>
      </c>
      <c r="U3795" t="str">
        <f>IF(T3795='Analysis backend'!$L$1,IF(ISERROR(MATCH('Analysis backend'!$M$1,E3795:I3795,0)),"Dire","Radiant"),"")</f>
        <v/>
      </c>
    </row>
    <row r="3796" spans="20:21" x14ac:dyDescent="0.3">
      <c r="T3796" t="str">
        <f>IF(ISERROR(MATCH('Analysis backend'!$M$1,E3796:N3796,0)),"",'Analysis backend'!$L$1)</f>
        <v/>
      </c>
      <c r="U3796" t="str">
        <f>IF(T3796='Analysis backend'!$L$1,IF(ISERROR(MATCH('Analysis backend'!$M$1,E3796:I3796,0)),"Dire","Radiant"),"")</f>
        <v/>
      </c>
    </row>
    <row r="3797" spans="20:21" x14ac:dyDescent="0.3">
      <c r="T3797" t="str">
        <f>IF(ISERROR(MATCH('Analysis backend'!$M$1,E3797:N3797,0)),"",'Analysis backend'!$L$1)</f>
        <v/>
      </c>
      <c r="U3797" t="str">
        <f>IF(T3797='Analysis backend'!$L$1,IF(ISERROR(MATCH('Analysis backend'!$M$1,E3797:I3797,0)),"Dire","Radiant"),"")</f>
        <v/>
      </c>
    </row>
    <row r="3798" spans="20:21" x14ac:dyDescent="0.3">
      <c r="T3798" t="str">
        <f>IF(ISERROR(MATCH('Analysis backend'!$M$1,E3798:N3798,0)),"",'Analysis backend'!$L$1)</f>
        <v/>
      </c>
      <c r="U3798" t="str">
        <f>IF(T3798='Analysis backend'!$L$1,IF(ISERROR(MATCH('Analysis backend'!$M$1,E3798:I3798,0)),"Dire","Radiant"),"")</f>
        <v/>
      </c>
    </row>
    <row r="3799" spans="20:21" x14ac:dyDescent="0.3">
      <c r="T3799" t="str">
        <f>IF(ISERROR(MATCH('Analysis backend'!$M$1,E3799:N3799,0)),"",'Analysis backend'!$L$1)</f>
        <v/>
      </c>
      <c r="U3799" t="str">
        <f>IF(T3799='Analysis backend'!$L$1,IF(ISERROR(MATCH('Analysis backend'!$M$1,E3799:I3799,0)),"Dire","Radiant"),"")</f>
        <v/>
      </c>
    </row>
    <row r="3800" spans="20:21" x14ac:dyDescent="0.3">
      <c r="T3800" t="str">
        <f>IF(ISERROR(MATCH('Analysis backend'!$M$1,E3800:N3800,0)),"",'Analysis backend'!$L$1)</f>
        <v/>
      </c>
      <c r="U3800" t="str">
        <f>IF(T3800='Analysis backend'!$L$1,IF(ISERROR(MATCH('Analysis backend'!$M$1,E3800:I3800,0)),"Dire","Radiant"),"")</f>
        <v/>
      </c>
    </row>
    <row r="3801" spans="20:21" x14ac:dyDescent="0.3">
      <c r="T3801" t="str">
        <f>IF(ISERROR(MATCH('Analysis backend'!$M$1,E3801:N3801,0)),"",'Analysis backend'!$L$1)</f>
        <v/>
      </c>
      <c r="U3801" t="str">
        <f>IF(T3801='Analysis backend'!$L$1,IF(ISERROR(MATCH('Analysis backend'!$M$1,E3801:I3801,0)),"Dire","Radiant"),"")</f>
        <v/>
      </c>
    </row>
    <row r="3802" spans="20:21" x14ac:dyDescent="0.3">
      <c r="T3802" t="str">
        <f>IF(ISERROR(MATCH('Analysis backend'!$M$1,E3802:N3802,0)),"",'Analysis backend'!$L$1)</f>
        <v/>
      </c>
      <c r="U3802" t="str">
        <f>IF(T3802='Analysis backend'!$L$1,IF(ISERROR(MATCH('Analysis backend'!$M$1,E3802:I3802,0)),"Dire","Radiant"),"")</f>
        <v/>
      </c>
    </row>
    <row r="3803" spans="20:21" x14ac:dyDescent="0.3">
      <c r="T3803" t="str">
        <f>IF(ISERROR(MATCH('Analysis backend'!$M$1,E3803:N3803,0)),"",'Analysis backend'!$L$1)</f>
        <v/>
      </c>
      <c r="U3803" t="str">
        <f>IF(T3803='Analysis backend'!$L$1,IF(ISERROR(MATCH('Analysis backend'!$M$1,E3803:I3803,0)),"Dire","Radiant"),"")</f>
        <v/>
      </c>
    </row>
    <row r="3804" spans="20:21" x14ac:dyDescent="0.3">
      <c r="T3804" t="str">
        <f>IF(ISERROR(MATCH('Analysis backend'!$M$1,E3804:N3804,0)),"",'Analysis backend'!$L$1)</f>
        <v/>
      </c>
      <c r="U3804" t="str">
        <f>IF(T3804='Analysis backend'!$L$1,IF(ISERROR(MATCH('Analysis backend'!$M$1,E3804:I3804,0)),"Dire","Radiant"),"")</f>
        <v/>
      </c>
    </row>
    <row r="3805" spans="20:21" x14ac:dyDescent="0.3">
      <c r="T3805" t="str">
        <f>IF(ISERROR(MATCH('Analysis backend'!$M$1,E3805:N3805,0)),"",'Analysis backend'!$L$1)</f>
        <v/>
      </c>
      <c r="U3805" t="str">
        <f>IF(T3805='Analysis backend'!$L$1,IF(ISERROR(MATCH('Analysis backend'!$M$1,E3805:I3805,0)),"Dire","Radiant"),"")</f>
        <v/>
      </c>
    </row>
    <row r="3806" spans="20:21" x14ac:dyDescent="0.3">
      <c r="T3806" t="str">
        <f>IF(ISERROR(MATCH('Analysis backend'!$M$1,E3806:N3806,0)),"",'Analysis backend'!$L$1)</f>
        <v/>
      </c>
      <c r="U3806" t="str">
        <f>IF(T3806='Analysis backend'!$L$1,IF(ISERROR(MATCH('Analysis backend'!$M$1,E3806:I3806,0)),"Dire","Radiant"),"")</f>
        <v/>
      </c>
    </row>
    <row r="3807" spans="20:21" x14ac:dyDescent="0.3">
      <c r="T3807" t="str">
        <f>IF(ISERROR(MATCH('Analysis backend'!$M$1,E3807:N3807,0)),"",'Analysis backend'!$L$1)</f>
        <v/>
      </c>
      <c r="U3807" t="str">
        <f>IF(T3807='Analysis backend'!$L$1,IF(ISERROR(MATCH('Analysis backend'!$M$1,E3807:I3807,0)),"Dire","Radiant"),"")</f>
        <v/>
      </c>
    </row>
    <row r="3808" spans="20:21" x14ac:dyDescent="0.3">
      <c r="T3808" t="str">
        <f>IF(ISERROR(MATCH('Analysis backend'!$M$1,E3808:N3808,0)),"",'Analysis backend'!$L$1)</f>
        <v/>
      </c>
      <c r="U3808" t="str">
        <f>IF(T3808='Analysis backend'!$L$1,IF(ISERROR(MATCH('Analysis backend'!$M$1,E3808:I3808,0)),"Dire","Radiant"),"")</f>
        <v/>
      </c>
    </row>
    <row r="3809" spans="20:21" x14ac:dyDescent="0.3">
      <c r="T3809" t="str">
        <f>IF(ISERROR(MATCH('Analysis backend'!$M$1,E3809:N3809,0)),"",'Analysis backend'!$L$1)</f>
        <v/>
      </c>
      <c r="U3809" t="str">
        <f>IF(T3809='Analysis backend'!$L$1,IF(ISERROR(MATCH('Analysis backend'!$M$1,E3809:I3809,0)),"Dire","Radiant"),"")</f>
        <v/>
      </c>
    </row>
    <row r="3810" spans="20:21" x14ac:dyDescent="0.3">
      <c r="T3810" t="str">
        <f>IF(ISERROR(MATCH('Analysis backend'!$M$1,E3810:N3810,0)),"",'Analysis backend'!$L$1)</f>
        <v/>
      </c>
      <c r="U3810" t="str">
        <f>IF(T3810='Analysis backend'!$L$1,IF(ISERROR(MATCH('Analysis backend'!$M$1,E3810:I3810,0)),"Dire","Radiant"),"")</f>
        <v/>
      </c>
    </row>
    <row r="3811" spans="20:21" x14ac:dyDescent="0.3">
      <c r="T3811" t="str">
        <f>IF(ISERROR(MATCH('Analysis backend'!$M$1,E3811:N3811,0)),"",'Analysis backend'!$L$1)</f>
        <v/>
      </c>
      <c r="U3811" t="str">
        <f>IF(T3811='Analysis backend'!$L$1,IF(ISERROR(MATCH('Analysis backend'!$M$1,E3811:I3811,0)),"Dire","Radiant"),"")</f>
        <v/>
      </c>
    </row>
    <row r="3812" spans="20:21" x14ac:dyDescent="0.3">
      <c r="T3812" t="str">
        <f>IF(ISERROR(MATCH('Analysis backend'!$M$1,E3812:N3812,0)),"",'Analysis backend'!$L$1)</f>
        <v/>
      </c>
      <c r="U3812" t="str">
        <f>IF(T3812='Analysis backend'!$L$1,IF(ISERROR(MATCH('Analysis backend'!$M$1,E3812:I3812,0)),"Dire","Radiant"),"")</f>
        <v/>
      </c>
    </row>
    <row r="3813" spans="20:21" x14ac:dyDescent="0.3">
      <c r="T3813" t="str">
        <f>IF(ISERROR(MATCH('Analysis backend'!$M$1,E3813:N3813,0)),"",'Analysis backend'!$L$1)</f>
        <v/>
      </c>
      <c r="U3813" t="str">
        <f>IF(T3813='Analysis backend'!$L$1,IF(ISERROR(MATCH('Analysis backend'!$M$1,E3813:I3813,0)),"Dire","Radiant"),"")</f>
        <v/>
      </c>
    </row>
    <row r="3814" spans="20:21" x14ac:dyDescent="0.3">
      <c r="T3814" t="str">
        <f>IF(ISERROR(MATCH('Analysis backend'!$M$1,E3814:N3814,0)),"",'Analysis backend'!$L$1)</f>
        <v/>
      </c>
      <c r="U3814" t="str">
        <f>IF(T3814='Analysis backend'!$L$1,IF(ISERROR(MATCH('Analysis backend'!$M$1,E3814:I3814,0)),"Dire","Radiant"),"")</f>
        <v/>
      </c>
    </row>
    <row r="3815" spans="20:21" x14ac:dyDescent="0.3">
      <c r="T3815" t="str">
        <f>IF(ISERROR(MATCH('Analysis backend'!$M$1,E3815:N3815,0)),"",'Analysis backend'!$L$1)</f>
        <v/>
      </c>
      <c r="U3815" t="str">
        <f>IF(T3815='Analysis backend'!$L$1,IF(ISERROR(MATCH('Analysis backend'!$M$1,E3815:I3815,0)),"Dire","Radiant"),"")</f>
        <v/>
      </c>
    </row>
    <row r="3816" spans="20:21" x14ac:dyDescent="0.3">
      <c r="T3816" t="str">
        <f>IF(ISERROR(MATCH('Analysis backend'!$M$1,E3816:N3816,0)),"",'Analysis backend'!$L$1)</f>
        <v/>
      </c>
      <c r="U3816" t="str">
        <f>IF(T3816='Analysis backend'!$L$1,IF(ISERROR(MATCH('Analysis backend'!$M$1,E3816:I3816,0)),"Dire","Radiant"),"")</f>
        <v/>
      </c>
    </row>
    <row r="3817" spans="20:21" x14ac:dyDescent="0.3">
      <c r="T3817" t="str">
        <f>IF(ISERROR(MATCH('Analysis backend'!$M$1,E3817:N3817,0)),"",'Analysis backend'!$L$1)</f>
        <v/>
      </c>
      <c r="U3817" t="str">
        <f>IF(T3817='Analysis backend'!$L$1,IF(ISERROR(MATCH('Analysis backend'!$M$1,E3817:I3817,0)),"Dire","Radiant"),"")</f>
        <v/>
      </c>
    </row>
    <row r="3818" spans="20:21" x14ac:dyDescent="0.3">
      <c r="T3818" t="str">
        <f>IF(ISERROR(MATCH('Analysis backend'!$M$1,E3818:N3818,0)),"",'Analysis backend'!$L$1)</f>
        <v/>
      </c>
      <c r="U3818" t="str">
        <f>IF(T3818='Analysis backend'!$L$1,IF(ISERROR(MATCH('Analysis backend'!$M$1,E3818:I3818,0)),"Dire","Radiant"),"")</f>
        <v/>
      </c>
    </row>
    <row r="3819" spans="20:21" x14ac:dyDescent="0.3">
      <c r="T3819" t="str">
        <f>IF(ISERROR(MATCH('Analysis backend'!$M$1,E3819:N3819,0)),"",'Analysis backend'!$L$1)</f>
        <v/>
      </c>
      <c r="U3819" t="str">
        <f>IF(T3819='Analysis backend'!$L$1,IF(ISERROR(MATCH('Analysis backend'!$M$1,E3819:I3819,0)),"Dire","Radiant"),"")</f>
        <v/>
      </c>
    </row>
    <row r="3820" spans="20:21" x14ac:dyDescent="0.3">
      <c r="T3820" t="str">
        <f>IF(ISERROR(MATCH('Analysis backend'!$M$1,E3820:N3820,0)),"",'Analysis backend'!$L$1)</f>
        <v/>
      </c>
      <c r="U3820" t="str">
        <f>IF(T3820='Analysis backend'!$L$1,IF(ISERROR(MATCH('Analysis backend'!$M$1,E3820:I3820,0)),"Dire","Radiant"),"")</f>
        <v/>
      </c>
    </row>
    <row r="3821" spans="20:21" x14ac:dyDescent="0.3">
      <c r="T3821" t="str">
        <f>IF(ISERROR(MATCH('Analysis backend'!$M$1,E3821:N3821,0)),"",'Analysis backend'!$L$1)</f>
        <v/>
      </c>
      <c r="U3821" t="str">
        <f>IF(T3821='Analysis backend'!$L$1,IF(ISERROR(MATCH('Analysis backend'!$M$1,E3821:I3821,0)),"Dire","Radiant"),"")</f>
        <v/>
      </c>
    </row>
    <row r="3822" spans="20:21" x14ac:dyDescent="0.3">
      <c r="T3822" t="str">
        <f>IF(ISERROR(MATCH('Analysis backend'!$M$1,E3822:N3822,0)),"",'Analysis backend'!$L$1)</f>
        <v/>
      </c>
      <c r="U3822" t="str">
        <f>IF(T3822='Analysis backend'!$L$1,IF(ISERROR(MATCH('Analysis backend'!$M$1,E3822:I3822,0)),"Dire","Radiant"),"")</f>
        <v/>
      </c>
    </row>
    <row r="3823" spans="20:21" x14ac:dyDescent="0.3">
      <c r="T3823" t="str">
        <f>IF(ISERROR(MATCH('Analysis backend'!$M$1,E3823:N3823,0)),"",'Analysis backend'!$L$1)</f>
        <v/>
      </c>
      <c r="U3823" t="str">
        <f>IF(T3823='Analysis backend'!$L$1,IF(ISERROR(MATCH('Analysis backend'!$M$1,E3823:I3823,0)),"Dire","Radiant"),"")</f>
        <v/>
      </c>
    </row>
    <row r="3824" spans="20:21" x14ac:dyDescent="0.3">
      <c r="T3824" t="str">
        <f>IF(ISERROR(MATCH('Analysis backend'!$M$1,E3824:N3824,0)),"",'Analysis backend'!$L$1)</f>
        <v/>
      </c>
      <c r="U3824" t="str">
        <f>IF(T3824='Analysis backend'!$L$1,IF(ISERROR(MATCH('Analysis backend'!$M$1,E3824:I3824,0)),"Dire","Radiant"),"")</f>
        <v/>
      </c>
    </row>
    <row r="3825" spans="20:21" x14ac:dyDescent="0.3">
      <c r="T3825" t="str">
        <f>IF(ISERROR(MATCH('Analysis backend'!$M$1,E3825:N3825,0)),"",'Analysis backend'!$L$1)</f>
        <v/>
      </c>
      <c r="U3825" t="str">
        <f>IF(T3825='Analysis backend'!$L$1,IF(ISERROR(MATCH('Analysis backend'!$M$1,E3825:I3825,0)),"Dire","Radiant"),"")</f>
        <v/>
      </c>
    </row>
    <row r="3826" spans="20:21" x14ac:dyDescent="0.3">
      <c r="T3826" t="str">
        <f>IF(ISERROR(MATCH('Analysis backend'!$M$1,E3826:N3826,0)),"",'Analysis backend'!$L$1)</f>
        <v/>
      </c>
      <c r="U3826" t="str">
        <f>IF(T3826='Analysis backend'!$L$1,IF(ISERROR(MATCH('Analysis backend'!$M$1,E3826:I3826,0)),"Dire","Radiant"),"")</f>
        <v/>
      </c>
    </row>
    <row r="3827" spans="20:21" x14ac:dyDescent="0.3">
      <c r="T3827" t="str">
        <f>IF(ISERROR(MATCH('Analysis backend'!$M$1,E3827:N3827,0)),"",'Analysis backend'!$L$1)</f>
        <v/>
      </c>
      <c r="U3827" t="str">
        <f>IF(T3827='Analysis backend'!$L$1,IF(ISERROR(MATCH('Analysis backend'!$M$1,E3827:I3827,0)),"Dire","Radiant"),"")</f>
        <v/>
      </c>
    </row>
    <row r="3828" spans="20:21" x14ac:dyDescent="0.3">
      <c r="T3828" t="str">
        <f>IF(ISERROR(MATCH('Analysis backend'!$M$1,E3828:N3828,0)),"",'Analysis backend'!$L$1)</f>
        <v/>
      </c>
      <c r="U3828" t="str">
        <f>IF(T3828='Analysis backend'!$L$1,IF(ISERROR(MATCH('Analysis backend'!$M$1,E3828:I3828,0)),"Dire","Radiant"),"")</f>
        <v/>
      </c>
    </row>
    <row r="3829" spans="20:21" x14ac:dyDescent="0.3">
      <c r="T3829" t="str">
        <f>IF(ISERROR(MATCH('Analysis backend'!$M$1,E3829:N3829,0)),"",'Analysis backend'!$L$1)</f>
        <v/>
      </c>
      <c r="U3829" t="str">
        <f>IF(T3829='Analysis backend'!$L$1,IF(ISERROR(MATCH('Analysis backend'!$M$1,E3829:I3829,0)),"Dire","Radiant"),"")</f>
        <v/>
      </c>
    </row>
    <row r="3830" spans="20:21" x14ac:dyDescent="0.3">
      <c r="T3830" t="str">
        <f>IF(ISERROR(MATCH('Analysis backend'!$M$1,E3830:N3830,0)),"",'Analysis backend'!$L$1)</f>
        <v/>
      </c>
      <c r="U3830" t="str">
        <f>IF(T3830='Analysis backend'!$L$1,IF(ISERROR(MATCH('Analysis backend'!$M$1,E3830:I3830,0)),"Dire","Radiant"),"")</f>
        <v/>
      </c>
    </row>
    <row r="3831" spans="20:21" x14ac:dyDescent="0.3">
      <c r="T3831" t="str">
        <f>IF(ISERROR(MATCH('Analysis backend'!$M$1,E3831:N3831,0)),"",'Analysis backend'!$L$1)</f>
        <v/>
      </c>
      <c r="U3831" t="str">
        <f>IF(T3831='Analysis backend'!$L$1,IF(ISERROR(MATCH('Analysis backend'!$M$1,E3831:I3831,0)),"Dire","Radiant"),"")</f>
        <v/>
      </c>
    </row>
    <row r="3832" spans="20:21" x14ac:dyDescent="0.3">
      <c r="T3832" t="str">
        <f>IF(ISERROR(MATCH('Analysis backend'!$M$1,E3832:N3832,0)),"",'Analysis backend'!$L$1)</f>
        <v/>
      </c>
      <c r="U3832" t="str">
        <f>IF(T3832='Analysis backend'!$L$1,IF(ISERROR(MATCH('Analysis backend'!$M$1,E3832:I3832,0)),"Dire","Radiant"),"")</f>
        <v/>
      </c>
    </row>
    <row r="3833" spans="20:21" x14ac:dyDescent="0.3">
      <c r="T3833" t="str">
        <f>IF(ISERROR(MATCH('Analysis backend'!$M$1,E3833:N3833,0)),"",'Analysis backend'!$L$1)</f>
        <v/>
      </c>
      <c r="U3833" t="str">
        <f>IF(T3833='Analysis backend'!$L$1,IF(ISERROR(MATCH('Analysis backend'!$M$1,E3833:I3833,0)),"Dire","Radiant"),"")</f>
        <v/>
      </c>
    </row>
    <row r="3834" spans="20:21" x14ac:dyDescent="0.3">
      <c r="T3834" t="str">
        <f>IF(ISERROR(MATCH('Analysis backend'!$M$1,E3834:N3834,0)),"",'Analysis backend'!$L$1)</f>
        <v/>
      </c>
      <c r="U3834" t="str">
        <f>IF(T3834='Analysis backend'!$L$1,IF(ISERROR(MATCH('Analysis backend'!$M$1,E3834:I3834,0)),"Dire","Radiant"),"")</f>
        <v/>
      </c>
    </row>
    <row r="3835" spans="20:21" x14ac:dyDescent="0.3">
      <c r="T3835" t="str">
        <f>IF(ISERROR(MATCH('Analysis backend'!$M$1,E3835:N3835,0)),"",'Analysis backend'!$L$1)</f>
        <v/>
      </c>
      <c r="U3835" t="str">
        <f>IF(T3835='Analysis backend'!$L$1,IF(ISERROR(MATCH('Analysis backend'!$M$1,E3835:I3835,0)),"Dire","Radiant"),"")</f>
        <v/>
      </c>
    </row>
    <row r="3836" spans="20:21" x14ac:dyDescent="0.3">
      <c r="T3836" t="str">
        <f>IF(ISERROR(MATCH('Analysis backend'!$M$1,E3836:N3836,0)),"",'Analysis backend'!$L$1)</f>
        <v/>
      </c>
      <c r="U3836" t="str">
        <f>IF(T3836='Analysis backend'!$L$1,IF(ISERROR(MATCH('Analysis backend'!$M$1,E3836:I3836,0)),"Dire","Radiant"),"")</f>
        <v/>
      </c>
    </row>
    <row r="3837" spans="20:21" x14ac:dyDescent="0.3">
      <c r="T3837" t="str">
        <f>IF(ISERROR(MATCH('Analysis backend'!$M$1,E3837:N3837,0)),"",'Analysis backend'!$L$1)</f>
        <v/>
      </c>
      <c r="U3837" t="str">
        <f>IF(T3837='Analysis backend'!$L$1,IF(ISERROR(MATCH('Analysis backend'!$M$1,E3837:I3837,0)),"Dire","Radiant"),"")</f>
        <v/>
      </c>
    </row>
    <row r="3838" spans="20:21" x14ac:dyDescent="0.3">
      <c r="T3838" t="str">
        <f>IF(ISERROR(MATCH('Analysis backend'!$M$1,E3838:N3838,0)),"",'Analysis backend'!$L$1)</f>
        <v/>
      </c>
      <c r="U3838" t="str">
        <f>IF(T3838='Analysis backend'!$L$1,IF(ISERROR(MATCH('Analysis backend'!$M$1,E3838:I3838,0)),"Dire","Radiant"),"")</f>
        <v/>
      </c>
    </row>
    <row r="3839" spans="20:21" x14ac:dyDescent="0.3">
      <c r="T3839" t="str">
        <f>IF(ISERROR(MATCH('Analysis backend'!$M$1,E3839:N3839,0)),"",'Analysis backend'!$L$1)</f>
        <v/>
      </c>
      <c r="U3839" t="str">
        <f>IF(T3839='Analysis backend'!$L$1,IF(ISERROR(MATCH('Analysis backend'!$M$1,E3839:I3839,0)),"Dire","Radiant"),"")</f>
        <v/>
      </c>
    </row>
    <row r="3840" spans="20:21" x14ac:dyDescent="0.3">
      <c r="T3840" t="str">
        <f>IF(ISERROR(MATCH('Analysis backend'!$M$1,E3840:N3840,0)),"",'Analysis backend'!$L$1)</f>
        <v/>
      </c>
      <c r="U3840" t="str">
        <f>IF(T3840='Analysis backend'!$L$1,IF(ISERROR(MATCH('Analysis backend'!$M$1,E3840:I3840,0)),"Dire","Radiant"),"")</f>
        <v/>
      </c>
    </row>
    <row r="3841" spans="20:21" x14ac:dyDescent="0.3">
      <c r="T3841" t="str">
        <f>IF(ISERROR(MATCH('Analysis backend'!$M$1,E3841:N3841,0)),"",'Analysis backend'!$L$1)</f>
        <v/>
      </c>
      <c r="U3841" t="str">
        <f>IF(T3841='Analysis backend'!$L$1,IF(ISERROR(MATCH('Analysis backend'!$M$1,E3841:I3841,0)),"Dire","Radiant"),"")</f>
        <v/>
      </c>
    </row>
    <row r="3842" spans="20:21" x14ac:dyDescent="0.3">
      <c r="T3842" t="str">
        <f>IF(ISERROR(MATCH('Analysis backend'!$M$1,E3842:N3842,0)),"",'Analysis backend'!$L$1)</f>
        <v/>
      </c>
      <c r="U3842" t="str">
        <f>IF(T3842='Analysis backend'!$L$1,IF(ISERROR(MATCH('Analysis backend'!$M$1,E3842:I3842,0)),"Dire","Radiant"),"")</f>
        <v/>
      </c>
    </row>
    <row r="3843" spans="20:21" x14ac:dyDescent="0.3">
      <c r="T3843" t="str">
        <f>IF(ISERROR(MATCH('Analysis backend'!$M$1,E3843:N3843,0)),"",'Analysis backend'!$L$1)</f>
        <v/>
      </c>
      <c r="U3843" t="str">
        <f>IF(T3843='Analysis backend'!$L$1,IF(ISERROR(MATCH('Analysis backend'!$M$1,E3843:I3843,0)),"Dire","Radiant"),"")</f>
        <v/>
      </c>
    </row>
    <row r="3844" spans="20:21" x14ac:dyDescent="0.3">
      <c r="T3844" t="str">
        <f>IF(ISERROR(MATCH('Analysis backend'!$M$1,E3844:N3844,0)),"",'Analysis backend'!$L$1)</f>
        <v/>
      </c>
      <c r="U3844" t="str">
        <f>IF(T3844='Analysis backend'!$L$1,IF(ISERROR(MATCH('Analysis backend'!$M$1,E3844:I3844,0)),"Dire","Radiant"),"")</f>
        <v/>
      </c>
    </row>
    <row r="3845" spans="20:21" x14ac:dyDescent="0.3">
      <c r="T3845" t="str">
        <f>IF(ISERROR(MATCH('Analysis backend'!$M$1,E3845:N3845,0)),"",'Analysis backend'!$L$1)</f>
        <v/>
      </c>
      <c r="U3845" t="str">
        <f>IF(T3845='Analysis backend'!$L$1,IF(ISERROR(MATCH('Analysis backend'!$M$1,E3845:I3845,0)),"Dire","Radiant"),"")</f>
        <v/>
      </c>
    </row>
    <row r="3846" spans="20:21" x14ac:dyDescent="0.3">
      <c r="T3846" t="str">
        <f>IF(ISERROR(MATCH('Analysis backend'!$M$1,E3846:N3846,0)),"",'Analysis backend'!$L$1)</f>
        <v/>
      </c>
      <c r="U3846" t="str">
        <f>IF(T3846='Analysis backend'!$L$1,IF(ISERROR(MATCH('Analysis backend'!$M$1,E3846:I3846,0)),"Dire","Radiant"),"")</f>
        <v/>
      </c>
    </row>
    <row r="3847" spans="20:21" x14ac:dyDescent="0.3">
      <c r="T3847" t="str">
        <f>IF(ISERROR(MATCH('Analysis backend'!$M$1,E3847:N3847,0)),"",'Analysis backend'!$L$1)</f>
        <v/>
      </c>
      <c r="U3847" t="str">
        <f>IF(T3847='Analysis backend'!$L$1,IF(ISERROR(MATCH('Analysis backend'!$M$1,E3847:I3847,0)),"Dire","Radiant"),"")</f>
        <v/>
      </c>
    </row>
    <row r="3848" spans="20:21" x14ac:dyDescent="0.3">
      <c r="T3848" t="str">
        <f>IF(ISERROR(MATCH('Analysis backend'!$M$1,E3848:N3848,0)),"",'Analysis backend'!$L$1)</f>
        <v/>
      </c>
      <c r="U3848" t="str">
        <f>IF(T3848='Analysis backend'!$L$1,IF(ISERROR(MATCH('Analysis backend'!$M$1,E3848:I3848,0)),"Dire","Radiant"),"")</f>
        <v/>
      </c>
    </row>
    <row r="3849" spans="20:21" x14ac:dyDescent="0.3">
      <c r="T3849" t="str">
        <f>IF(ISERROR(MATCH('Analysis backend'!$M$1,E3849:N3849,0)),"",'Analysis backend'!$L$1)</f>
        <v/>
      </c>
      <c r="U3849" t="str">
        <f>IF(T3849='Analysis backend'!$L$1,IF(ISERROR(MATCH('Analysis backend'!$M$1,E3849:I3849,0)),"Dire","Radiant"),"")</f>
        <v/>
      </c>
    </row>
    <row r="3850" spans="20:21" x14ac:dyDescent="0.3">
      <c r="T3850" t="str">
        <f>IF(ISERROR(MATCH('Analysis backend'!$M$1,E3850:N3850,0)),"",'Analysis backend'!$L$1)</f>
        <v/>
      </c>
      <c r="U3850" t="str">
        <f>IF(T3850='Analysis backend'!$L$1,IF(ISERROR(MATCH('Analysis backend'!$M$1,E3850:I3850,0)),"Dire","Radiant"),"")</f>
        <v/>
      </c>
    </row>
    <row r="3851" spans="20:21" x14ac:dyDescent="0.3">
      <c r="T3851" t="str">
        <f>IF(ISERROR(MATCH('Analysis backend'!$M$1,E3851:N3851,0)),"",'Analysis backend'!$L$1)</f>
        <v/>
      </c>
      <c r="U3851" t="str">
        <f>IF(T3851='Analysis backend'!$L$1,IF(ISERROR(MATCH('Analysis backend'!$M$1,E3851:I3851,0)),"Dire","Radiant"),"")</f>
        <v/>
      </c>
    </row>
    <row r="3852" spans="20:21" x14ac:dyDescent="0.3">
      <c r="T3852" t="str">
        <f>IF(ISERROR(MATCH('Analysis backend'!$M$1,E3852:N3852,0)),"",'Analysis backend'!$L$1)</f>
        <v/>
      </c>
      <c r="U3852" t="str">
        <f>IF(T3852='Analysis backend'!$L$1,IF(ISERROR(MATCH('Analysis backend'!$M$1,E3852:I3852,0)),"Dire","Radiant"),"")</f>
        <v/>
      </c>
    </row>
    <row r="3853" spans="20:21" x14ac:dyDescent="0.3">
      <c r="T3853" t="str">
        <f>IF(ISERROR(MATCH('Analysis backend'!$M$1,E3853:N3853,0)),"",'Analysis backend'!$L$1)</f>
        <v/>
      </c>
      <c r="U3853" t="str">
        <f>IF(T3853='Analysis backend'!$L$1,IF(ISERROR(MATCH('Analysis backend'!$M$1,E3853:I3853,0)),"Dire","Radiant"),"")</f>
        <v/>
      </c>
    </row>
    <row r="3854" spans="20:21" x14ac:dyDescent="0.3">
      <c r="T3854" t="str">
        <f>IF(ISERROR(MATCH('Analysis backend'!$M$1,E3854:N3854,0)),"",'Analysis backend'!$L$1)</f>
        <v/>
      </c>
      <c r="U3854" t="str">
        <f>IF(T3854='Analysis backend'!$L$1,IF(ISERROR(MATCH('Analysis backend'!$M$1,E3854:I3854,0)),"Dire","Radiant"),"")</f>
        <v/>
      </c>
    </row>
    <row r="3855" spans="20:21" x14ac:dyDescent="0.3">
      <c r="T3855" t="str">
        <f>IF(ISERROR(MATCH('Analysis backend'!$M$1,E3855:N3855,0)),"",'Analysis backend'!$L$1)</f>
        <v/>
      </c>
      <c r="U3855" t="str">
        <f>IF(T3855='Analysis backend'!$L$1,IF(ISERROR(MATCH('Analysis backend'!$M$1,E3855:I3855,0)),"Dire","Radiant"),"")</f>
        <v/>
      </c>
    </row>
    <row r="3856" spans="20:21" x14ac:dyDescent="0.3">
      <c r="T3856" t="str">
        <f>IF(ISERROR(MATCH('Analysis backend'!$M$1,E3856:N3856,0)),"",'Analysis backend'!$L$1)</f>
        <v/>
      </c>
      <c r="U3856" t="str">
        <f>IF(T3856='Analysis backend'!$L$1,IF(ISERROR(MATCH('Analysis backend'!$M$1,E3856:I3856,0)),"Dire","Radiant"),"")</f>
        <v/>
      </c>
    </row>
    <row r="3857" spans="20:21" x14ac:dyDescent="0.3">
      <c r="T3857" t="str">
        <f>IF(ISERROR(MATCH('Analysis backend'!$M$1,E3857:N3857,0)),"",'Analysis backend'!$L$1)</f>
        <v/>
      </c>
      <c r="U3857" t="str">
        <f>IF(T3857='Analysis backend'!$L$1,IF(ISERROR(MATCH('Analysis backend'!$M$1,E3857:I3857,0)),"Dire","Radiant"),"")</f>
        <v/>
      </c>
    </row>
    <row r="3858" spans="20:21" x14ac:dyDescent="0.3">
      <c r="T3858" t="str">
        <f>IF(ISERROR(MATCH('Analysis backend'!$M$1,E3858:N3858,0)),"",'Analysis backend'!$L$1)</f>
        <v/>
      </c>
      <c r="U3858" t="str">
        <f>IF(T3858='Analysis backend'!$L$1,IF(ISERROR(MATCH('Analysis backend'!$M$1,E3858:I3858,0)),"Dire","Radiant"),"")</f>
        <v/>
      </c>
    </row>
    <row r="3859" spans="20:21" x14ac:dyDescent="0.3">
      <c r="T3859" t="str">
        <f>IF(ISERROR(MATCH('Analysis backend'!$M$1,E3859:N3859,0)),"",'Analysis backend'!$L$1)</f>
        <v/>
      </c>
      <c r="U3859" t="str">
        <f>IF(T3859='Analysis backend'!$L$1,IF(ISERROR(MATCH('Analysis backend'!$M$1,E3859:I3859,0)),"Dire","Radiant"),"")</f>
        <v/>
      </c>
    </row>
    <row r="3860" spans="20:21" x14ac:dyDescent="0.3">
      <c r="T3860" t="str">
        <f>IF(ISERROR(MATCH('Analysis backend'!$M$1,E3860:N3860,0)),"",'Analysis backend'!$L$1)</f>
        <v/>
      </c>
      <c r="U3860" t="str">
        <f>IF(T3860='Analysis backend'!$L$1,IF(ISERROR(MATCH('Analysis backend'!$M$1,E3860:I3860,0)),"Dire","Radiant"),"")</f>
        <v/>
      </c>
    </row>
    <row r="3861" spans="20:21" x14ac:dyDescent="0.3">
      <c r="T3861" t="str">
        <f>IF(ISERROR(MATCH('Analysis backend'!$M$1,E3861:N3861,0)),"",'Analysis backend'!$L$1)</f>
        <v/>
      </c>
      <c r="U3861" t="str">
        <f>IF(T3861='Analysis backend'!$L$1,IF(ISERROR(MATCH('Analysis backend'!$M$1,E3861:I3861,0)),"Dire","Radiant"),"")</f>
        <v/>
      </c>
    </row>
    <row r="3862" spans="20:21" x14ac:dyDescent="0.3">
      <c r="T3862" t="str">
        <f>IF(ISERROR(MATCH('Analysis backend'!$M$1,E3862:N3862,0)),"",'Analysis backend'!$L$1)</f>
        <v/>
      </c>
      <c r="U3862" t="str">
        <f>IF(T3862='Analysis backend'!$L$1,IF(ISERROR(MATCH('Analysis backend'!$M$1,E3862:I3862,0)),"Dire","Radiant"),"")</f>
        <v/>
      </c>
    </row>
    <row r="3863" spans="20:21" x14ac:dyDescent="0.3">
      <c r="T3863" t="str">
        <f>IF(ISERROR(MATCH('Analysis backend'!$M$1,E3863:N3863,0)),"",'Analysis backend'!$L$1)</f>
        <v/>
      </c>
      <c r="U3863" t="str">
        <f>IF(T3863='Analysis backend'!$L$1,IF(ISERROR(MATCH('Analysis backend'!$M$1,E3863:I3863,0)),"Dire","Radiant"),"")</f>
        <v/>
      </c>
    </row>
    <row r="3864" spans="20:21" x14ac:dyDescent="0.3">
      <c r="T3864" t="str">
        <f>IF(ISERROR(MATCH('Analysis backend'!$M$1,E3864:N3864,0)),"",'Analysis backend'!$L$1)</f>
        <v/>
      </c>
      <c r="U3864" t="str">
        <f>IF(T3864='Analysis backend'!$L$1,IF(ISERROR(MATCH('Analysis backend'!$M$1,E3864:I3864,0)),"Dire","Radiant"),"")</f>
        <v/>
      </c>
    </row>
    <row r="3865" spans="20:21" x14ac:dyDescent="0.3">
      <c r="T3865" t="str">
        <f>IF(ISERROR(MATCH('Analysis backend'!$M$1,E3865:N3865,0)),"",'Analysis backend'!$L$1)</f>
        <v/>
      </c>
      <c r="U3865" t="str">
        <f>IF(T3865='Analysis backend'!$L$1,IF(ISERROR(MATCH('Analysis backend'!$M$1,E3865:I3865,0)),"Dire","Radiant"),"")</f>
        <v/>
      </c>
    </row>
    <row r="3866" spans="20:21" x14ac:dyDescent="0.3">
      <c r="T3866" t="str">
        <f>IF(ISERROR(MATCH('Analysis backend'!$M$1,E3866:N3866,0)),"",'Analysis backend'!$L$1)</f>
        <v/>
      </c>
      <c r="U3866" t="str">
        <f>IF(T3866='Analysis backend'!$L$1,IF(ISERROR(MATCH('Analysis backend'!$M$1,E3866:I3866,0)),"Dire","Radiant"),"")</f>
        <v/>
      </c>
    </row>
    <row r="3867" spans="20:21" x14ac:dyDescent="0.3">
      <c r="T3867" t="str">
        <f>IF(ISERROR(MATCH('Analysis backend'!$M$1,E3867:N3867,0)),"",'Analysis backend'!$L$1)</f>
        <v/>
      </c>
      <c r="U3867" t="str">
        <f>IF(T3867='Analysis backend'!$L$1,IF(ISERROR(MATCH('Analysis backend'!$M$1,E3867:I3867,0)),"Dire","Radiant"),"")</f>
        <v/>
      </c>
    </row>
    <row r="3868" spans="20:21" x14ac:dyDescent="0.3">
      <c r="T3868" t="str">
        <f>IF(ISERROR(MATCH('Analysis backend'!$M$1,E3868:N3868,0)),"",'Analysis backend'!$L$1)</f>
        <v/>
      </c>
      <c r="U3868" t="str">
        <f>IF(T3868='Analysis backend'!$L$1,IF(ISERROR(MATCH('Analysis backend'!$M$1,E3868:I3868,0)),"Dire","Radiant"),"")</f>
        <v/>
      </c>
    </row>
    <row r="3869" spans="20:21" x14ac:dyDescent="0.3">
      <c r="T3869" t="str">
        <f>IF(ISERROR(MATCH('Analysis backend'!$M$1,E3869:N3869,0)),"",'Analysis backend'!$L$1)</f>
        <v/>
      </c>
      <c r="U3869" t="str">
        <f>IF(T3869='Analysis backend'!$L$1,IF(ISERROR(MATCH('Analysis backend'!$M$1,E3869:I3869,0)),"Dire","Radiant"),"")</f>
        <v/>
      </c>
    </row>
    <row r="3870" spans="20:21" x14ac:dyDescent="0.3">
      <c r="T3870" t="str">
        <f>IF(ISERROR(MATCH('Analysis backend'!$M$1,E3870:N3870,0)),"",'Analysis backend'!$L$1)</f>
        <v/>
      </c>
      <c r="U3870" t="str">
        <f>IF(T3870='Analysis backend'!$L$1,IF(ISERROR(MATCH('Analysis backend'!$M$1,E3870:I3870,0)),"Dire","Radiant"),"")</f>
        <v/>
      </c>
    </row>
    <row r="3871" spans="20:21" x14ac:dyDescent="0.3">
      <c r="T3871" t="str">
        <f>IF(ISERROR(MATCH('Analysis backend'!$M$1,E3871:N3871,0)),"",'Analysis backend'!$L$1)</f>
        <v/>
      </c>
      <c r="U3871" t="str">
        <f>IF(T3871='Analysis backend'!$L$1,IF(ISERROR(MATCH('Analysis backend'!$M$1,E3871:I3871,0)),"Dire","Radiant"),"")</f>
        <v/>
      </c>
    </row>
    <row r="3872" spans="20:21" x14ac:dyDescent="0.3">
      <c r="T3872" t="str">
        <f>IF(ISERROR(MATCH('Analysis backend'!$M$1,E3872:N3872,0)),"",'Analysis backend'!$L$1)</f>
        <v/>
      </c>
      <c r="U3872" t="str">
        <f>IF(T3872='Analysis backend'!$L$1,IF(ISERROR(MATCH('Analysis backend'!$M$1,E3872:I3872,0)),"Dire","Radiant"),"")</f>
        <v/>
      </c>
    </row>
    <row r="3873" spans="20:21" x14ac:dyDescent="0.3">
      <c r="T3873" t="str">
        <f>IF(ISERROR(MATCH('Analysis backend'!$M$1,E3873:N3873,0)),"",'Analysis backend'!$L$1)</f>
        <v/>
      </c>
      <c r="U3873" t="str">
        <f>IF(T3873='Analysis backend'!$L$1,IF(ISERROR(MATCH('Analysis backend'!$M$1,E3873:I3873,0)),"Dire","Radiant"),"")</f>
        <v/>
      </c>
    </row>
    <row r="3874" spans="20:21" x14ac:dyDescent="0.3">
      <c r="T3874" t="str">
        <f>IF(ISERROR(MATCH('Analysis backend'!$M$1,E3874:N3874,0)),"",'Analysis backend'!$L$1)</f>
        <v/>
      </c>
      <c r="U3874" t="str">
        <f>IF(T3874='Analysis backend'!$L$1,IF(ISERROR(MATCH('Analysis backend'!$M$1,E3874:I3874,0)),"Dire","Radiant"),"")</f>
        <v/>
      </c>
    </row>
    <row r="3875" spans="20:21" x14ac:dyDescent="0.3">
      <c r="T3875" t="str">
        <f>IF(ISERROR(MATCH('Analysis backend'!$M$1,E3875:N3875,0)),"",'Analysis backend'!$L$1)</f>
        <v/>
      </c>
      <c r="U3875" t="str">
        <f>IF(T3875='Analysis backend'!$L$1,IF(ISERROR(MATCH('Analysis backend'!$M$1,E3875:I3875,0)),"Dire","Radiant"),"")</f>
        <v/>
      </c>
    </row>
    <row r="3876" spans="20:21" x14ac:dyDescent="0.3">
      <c r="T3876" t="str">
        <f>IF(ISERROR(MATCH('Analysis backend'!$M$1,E3876:N3876,0)),"",'Analysis backend'!$L$1)</f>
        <v/>
      </c>
      <c r="U3876" t="str">
        <f>IF(T3876='Analysis backend'!$L$1,IF(ISERROR(MATCH('Analysis backend'!$M$1,E3876:I3876,0)),"Dire","Radiant"),"")</f>
        <v/>
      </c>
    </row>
    <row r="3877" spans="20:21" x14ac:dyDescent="0.3">
      <c r="T3877" t="str">
        <f>IF(ISERROR(MATCH('Analysis backend'!$M$1,E3877:N3877,0)),"",'Analysis backend'!$L$1)</f>
        <v/>
      </c>
      <c r="U3877" t="str">
        <f>IF(T3877='Analysis backend'!$L$1,IF(ISERROR(MATCH('Analysis backend'!$M$1,E3877:I3877,0)),"Dire","Radiant"),"")</f>
        <v/>
      </c>
    </row>
    <row r="3878" spans="20:21" x14ac:dyDescent="0.3">
      <c r="T3878" t="str">
        <f>IF(ISERROR(MATCH('Analysis backend'!$M$1,E3878:N3878,0)),"",'Analysis backend'!$L$1)</f>
        <v/>
      </c>
      <c r="U3878" t="str">
        <f>IF(T3878='Analysis backend'!$L$1,IF(ISERROR(MATCH('Analysis backend'!$M$1,E3878:I3878,0)),"Dire","Radiant"),"")</f>
        <v/>
      </c>
    </row>
    <row r="3879" spans="20:21" x14ac:dyDescent="0.3">
      <c r="T3879" t="str">
        <f>IF(ISERROR(MATCH('Analysis backend'!$M$1,E3879:N3879,0)),"",'Analysis backend'!$L$1)</f>
        <v/>
      </c>
      <c r="U3879" t="str">
        <f>IF(T3879='Analysis backend'!$L$1,IF(ISERROR(MATCH('Analysis backend'!$M$1,E3879:I3879,0)),"Dire","Radiant"),"")</f>
        <v/>
      </c>
    </row>
    <row r="3880" spans="20:21" x14ac:dyDescent="0.3">
      <c r="T3880" t="str">
        <f>IF(ISERROR(MATCH('Analysis backend'!$M$1,E3880:N3880,0)),"",'Analysis backend'!$L$1)</f>
        <v/>
      </c>
      <c r="U3880" t="str">
        <f>IF(T3880='Analysis backend'!$L$1,IF(ISERROR(MATCH('Analysis backend'!$M$1,E3880:I3880,0)),"Dire","Radiant"),"")</f>
        <v/>
      </c>
    </row>
    <row r="3881" spans="20:21" x14ac:dyDescent="0.3">
      <c r="T3881" t="str">
        <f>IF(ISERROR(MATCH('Analysis backend'!$M$1,E3881:N3881,0)),"",'Analysis backend'!$L$1)</f>
        <v/>
      </c>
      <c r="U3881" t="str">
        <f>IF(T3881='Analysis backend'!$L$1,IF(ISERROR(MATCH('Analysis backend'!$M$1,E3881:I3881,0)),"Dire","Radiant"),"")</f>
        <v/>
      </c>
    </row>
    <row r="3882" spans="20:21" x14ac:dyDescent="0.3">
      <c r="T3882" t="str">
        <f>IF(ISERROR(MATCH('Analysis backend'!$M$1,E3882:N3882,0)),"",'Analysis backend'!$L$1)</f>
        <v/>
      </c>
      <c r="U3882" t="str">
        <f>IF(T3882='Analysis backend'!$L$1,IF(ISERROR(MATCH('Analysis backend'!$M$1,E3882:I3882,0)),"Dire","Radiant"),"")</f>
        <v/>
      </c>
    </row>
    <row r="3883" spans="20:21" x14ac:dyDescent="0.3">
      <c r="T3883" t="str">
        <f>IF(ISERROR(MATCH('Analysis backend'!$M$1,E3883:N3883,0)),"",'Analysis backend'!$L$1)</f>
        <v/>
      </c>
      <c r="U3883" t="str">
        <f>IF(T3883='Analysis backend'!$L$1,IF(ISERROR(MATCH('Analysis backend'!$M$1,E3883:I3883,0)),"Dire","Radiant"),"")</f>
        <v/>
      </c>
    </row>
    <row r="3884" spans="20:21" x14ac:dyDescent="0.3">
      <c r="T3884" t="str">
        <f>IF(ISERROR(MATCH('Analysis backend'!$M$1,E3884:N3884,0)),"",'Analysis backend'!$L$1)</f>
        <v/>
      </c>
      <c r="U3884" t="str">
        <f>IF(T3884='Analysis backend'!$L$1,IF(ISERROR(MATCH('Analysis backend'!$M$1,E3884:I3884,0)),"Dire","Radiant"),"")</f>
        <v/>
      </c>
    </row>
    <row r="3885" spans="20:21" x14ac:dyDescent="0.3">
      <c r="T3885" t="str">
        <f>IF(ISERROR(MATCH('Analysis backend'!$M$1,E3885:N3885,0)),"",'Analysis backend'!$L$1)</f>
        <v/>
      </c>
      <c r="U3885" t="str">
        <f>IF(T3885='Analysis backend'!$L$1,IF(ISERROR(MATCH('Analysis backend'!$M$1,E3885:I3885,0)),"Dire","Radiant"),"")</f>
        <v/>
      </c>
    </row>
    <row r="3886" spans="20:21" x14ac:dyDescent="0.3">
      <c r="T3886" t="str">
        <f>IF(ISERROR(MATCH('Analysis backend'!$M$1,E3886:N3886,0)),"",'Analysis backend'!$L$1)</f>
        <v/>
      </c>
      <c r="U3886" t="str">
        <f>IF(T3886='Analysis backend'!$L$1,IF(ISERROR(MATCH('Analysis backend'!$M$1,E3886:I3886,0)),"Dire","Radiant"),"")</f>
        <v/>
      </c>
    </row>
    <row r="3887" spans="20:21" x14ac:dyDescent="0.3">
      <c r="T3887" t="str">
        <f>IF(ISERROR(MATCH('Analysis backend'!$M$1,E3887:N3887,0)),"",'Analysis backend'!$L$1)</f>
        <v/>
      </c>
      <c r="U3887" t="str">
        <f>IF(T3887='Analysis backend'!$L$1,IF(ISERROR(MATCH('Analysis backend'!$M$1,E3887:I3887,0)),"Dire","Radiant"),"")</f>
        <v/>
      </c>
    </row>
    <row r="3888" spans="20:21" x14ac:dyDescent="0.3">
      <c r="T3888" t="str">
        <f>IF(ISERROR(MATCH('Analysis backend'!$M$1,E3888:N3888,0)),"",'Analysis backend'!$L$1)</f>
        <v/>
      </c>
      <c r="U3888" t="str">
        <f>IF(T3888='Analysis backend'!$L$1,IF(ISERROR(MATCH('Analysis backend'!$M$1,E3888:I3888,0)),"Dire","Radiant"),"")</f>
        <v/>
      </c>
    </row>
    <row r="3889" spans="20:21" x14ac:dyDescent="0.3">
      <c r="T3889" t="str">
        <f>IF(ISERROR(MATCH('Analysis backend'!$M$1,E3889:N3889,0)),"",'Analysis backend'!$L$1)</f>
        <v/>
      </c>
      <c r="U3889" t="str">
        <f>IF(T3889='Analysis backend'!$L$1,IF(ISERROR(MATCH('Analysis backend'!$M$1,E3889:I3889,0)),"Dire","Radiant"),"")</f>
        <v/>
      </c>
    </row>
    <row r="3890" spans="20:21" x14ac:dyDescent="0.3">
      <c r="T3890" t="str">
        <f>IF(ISERROR(MATCH('Analysis backend'!$M$1,E3890:N3890,0)),"",'Analysis backend'!$L$1)</f>
        <v/>
      </c>
      <c r="U3890" t="str">
        <f>IF(T3890='Analysis backend'!$L$1,IF(ISERROR(MATCH('Analysis backend'!$M$1,E3890:I3890,0)),"Dire","Radiant"),"")</f>
        <v/>
      </c>
    </row>
    <row r="3891" spans="20:21" x14ac:dyDescent="0.3">
      <c r="T3891" t="str">
        <f>IF(ISERROR(MATCH('Analysis backend'!$M$1,E3891:N3891,0)),"",'Analysis backend'!$L$1)</f>
        <v/>
      </c>
      <c r="U3891" t="str">
        <f>IF(T3891='Analysis backend'!$L$1,IF(ISERROR(MATCH('Analysis backend'!$M$1,E3891:I3891,0)),"Dire","Radiant"),"")</f>
        <v/>
      </c>
    </row>
    <row r="3892" spans="20:21" x14ac:dyDescent="0.3">
      <c r="T3892" t="str">
        <f>IF(ISERROR(MATCH('Analysis backend'!$M$1,E3892:N3892,0)),"",'Analysis backend'!$L$1)</f>
        <v/>
      </c>
      <c r="U3892" t="str">
        <f>IF(T3892='Analysis backend'!$L$1,IF(ISERROR(MATCH('Analysis backend'!$M$1,E3892:I3892,0)),"Dire","Radiant"),"")</f>
        <v/>
      </c>
    </row>
    <row r="3893" spans="20:21" x14ac:dyDescent="0.3">
      <c r="T3893" t="str">
        <f>IF(ISERROR(MATCH('Analysis backend'!$M$1,E3893:N3893,0)),"",'Analysis backend'!$L$1)</f>
        <v/>
      </c>
      <c r="U3893" t="str">
        <f>IF(T3893='Analysis backend'!$L$1,IF(ISERROR(MATCH('Analysis backend'!$M$1,E3893:I3893,0)),"Dire","Radiant"),"")</f>
        <v/>
      </c>
    </row>
    <row r="3894" spans="20:21" x14ac:dyDescent="0.3">
      <c r="T3894" t="str">
        <f>IF(ISERROR(MATCH('Analysis backend'!$M$1,E3894:N3894,0)),"",'Analysis backend'!$L$1)</f>
        <v/>
      </c>
      <c r="U3894" t="str">
        <f>IF(T3894='Analysis backend'!$L$1,IF(ISERROR(MATCH('Analysis backend'!$M$1,E3894:I3894,0)),"Dire","Radiant"),"")</f>
        <v/>
      </c>
    </row>
    <row r="3895" spans="20:21" x14ac:dyDescent="0.3">
      <c r="T3895" t="str">
        <f>IF(ISERROR(MATCH('Analysis backend'!$M$1,E3895:N3895,0)),"",'Analysis backend'!$L$1)</f>
        <v/>
      </c>
      <c r="U3895" t="str">
        <f>IF(T3895='Analysis backend'!$L$1,IF(ISERROR(MATCH('Analysis backend'!$M$1,E3895:I3895,0)),"Dire","Radiant"),"")</f>
        <v/>
      </c>
    </row>
    <row r="3896" spans="20:21" x14ac:dyDescent="0.3">
      <c r="T3896" t="str">
        <f>IF(ISERROR(MATCH('Analysis backend'!$M$1,E3896:N3896,0)),"",'Analysis backend'!$L$1)</f>
        <v/>
      </c>
      <c r="U3896" t="str">
        <f>IF(T3896='Analysis backend'!$L$1,IF(ISERROR(MATCH('Analysis backend'!$M$1,E3896:I3896,0)),"Dire","Radiant"),"")</f>
        <v/>
      </c>
    </row>
    <row r="3897" spans="20:21" x14ac:dyDescent="0.3">
      <c r="T3897" t="str">
        <f>IF(ISERROR(MATCH('Analysis backend'!$M$1,E3897:N3897,0)),"",'Analysis backend'!$L$1)</f>
        <v/>
      </c>
      <c r="U3897" t="str">
        <f>IF(T3897='Analysis backend'!$L$1,IF(ISERROR(MATCH('Analysis backend'!$M$1,E3897:I3897,0)),"Dire","Radiant"),"")</f>
        <v/>
      </c>
    </row>
    <row r="3898" spans="20:21" x14ac:dyDescent="0.3">
      <c r="T3898" t="str">
        <f>IF(ISERROR(MATCH('Analysis backend'!$M$1,E3898:N3898,0)),"",'Analysis backend'!$L$1)</f>
        <v/>
      </c>
      <c r="U3898" t="str">
        <f>IF(T3898='Analysis backend'!$L$1,IF(ISERROR(MATCH('Analysis backend'!$M$1,E3898:I3898,0)),"Dire","Radiant"),"")</f>
        <v/>
      </c>
    </row>
    <row r="3899" spans="20:21" x14ac:dyDescent="0.3">
      <c r="T3899" t="str">
        <f>IF(ISERROR(MATCH('Analysis backend'!$M$1,E3899:N3899,0)),"",'Analysis backend'!$L$1)</f>
        <v/>
      </c>
      <c r="U3899" t="str">
        <f>IF(T3899='Analysis backend'!$L$1,IF(ISERROR(MATCH('Analysis backend'!$M$1,E3899:I3899,0)),"Dire","Radiant"),"")</f>
        <v/>
      </c>
    </row>
    <row r="3900" spans="20:21" x14ac:dyDescent="0.3">
      <c r="T3900" t="str">
        <f>IF(ISERROR(MATCH('Analysis backend'!$M$1,E3900:N3900,0)),"",'Analysis backend'!$L$1)</f>
        <v/>
      </c>
      <c r="U3900" t="str">
        <f>IF(T3900='Analysis backend'!$L$1,IF(ISERROR(MATCH('Analysis backend'!$M$1,E3900:I3900,0)),"Dire","Radiant"),"")</f>
        <v/>
      </c>
    </row>
    <row r="3901" spans="20:21" x14ac:dyDescent="0.3">
      <c r="T3901" t="str">
        <f>IF(ISERROR(MATCH('Analysis backend'!$M$1,E3901:N3901,0)),"",'Analysis backend'!$L$1)</f>
        <v/>
      </c>
      <c r="U3901" t="str">
        <f>IF(T3901='Analysis backend'!$L$1,IF(ISERROR(MATCH('Analysis backend'!$M$1,E3901:I3901,0)),"Dire","Radiant"),"")</f>
        <v/>
      </c>
    </row>
    <row r="3902" spans="20:21" x14ac:dyDescent="0.3">
      <c r="T3902" t="str">
        <f>IF(ISERROR(MATCH('Analysis backend'!$M$1,E3902:N3902,0)),"",'Analysis backend'!$L$1)</f>
        <v/>
      </c>
      <c r="U3902" t="str">
        <f>IF(T3902='Analysis backend'!$L$1,IF(ISERROR(MATCH('Analysis backend'!$M$1,E3902:I3902,0)),"Dire","Radiant"),"")</f>
        <v/>
      </c>
    </row>
    <row r="3903" spans="20:21" x14ac:dyDescent="0.3">
      <c r="T3903" t="str">
        <f>IF(ISERROR(MATCH('Analysis backend'!$M$1,E3903:N3903,0)),"",'Analysis backend'!$L$1)</f>
        <v/>
      </c>
      <c r="U3903" t="str">
        <f>IF(T3903='Analysis backend'!$L$1,IF(ISERROR(MATCH('Analysis backend'!$M$1,E3903:I3903,0)),"Dire","Radiant"),"")</f>
        <v/>
      </c>
    </row>
    <row r="3904" spans="20:21" x14ac:dyDescent="0.3">
      <c r="T3904" t="str">
        <f>IF(ISERROR(MATCH('Analysis backend'!$M$1,E3904:N3904,0)),"",'Analysis backend'!$L$1)</f>
        <v/>
      </c>
      <c r="U3904" t="str">
        <f>IF(T3904='Analysis backend'!$L$1,IF(ISERROR(MATCH('Analysis backend'!$M$1,E3904:I3904,0)),"Dire","Radiant"),"")</f>
        <v/>
      </c>
    </row>
    <row r="3905" spans="20:21" x14ac:dyDescent="0.3">
      <c r="T3905" t="str">
        <f>IF(ISERROR(MATCH('Analysis backend'!$M$1,E3905:N3905,0)),"",'Analysis backend'!$L$1)</f>
        <v/>
      </c>
      <c r="U3905" t="str">
        <f>IF(T3905='Analysis backend'!$L$1,IF(ISERROR(MATCH('Analysis backend'!$M$1,E3905:I3905,0)),"Dire","Radiant"),"")</f>
        <v/>
      </c>
    </row>
    <row r="3906" spans="20:21" x14ac:dyDescent="0.3">
      <c r="T3906" t="str">
        <f>IF(ISERROR(MATCH('Analysis backend'!$M$1,E3906:N3906,0)),"",'Analysis backend'!$L$1)</f>
        <v/>
      </c>
      <c r="U3906" t="str">
        <f>IF(T3906='Analysis backend'!$L$1,IF(ISERROR(MATCH('Analysis backend'!$M$1,E3906:I3906,0)),"Dire","Radiant"),"")</f>
        <v/>
      </c>
    </row>
    <row r="3907" spans="20:21" x14ac:dyDescent="0.3">
      <c r="T3907" t="str">
        <f>IF(ISERROR(MATCH('Analysis backend'!$M$1,E3907:N3907,0)),"",'Analysis backend'!$L$1)</f>
        <v/>
      </c>
      <c r="U3907" t="str">
        <f>IF(T3907='Analysis backend'!$L$1,IF(ISERROR(MATCH('Analysis backend'!$M$1,E3907:I3907,0)),"Dire","Radiant"),"")</f>
        <v/>
      </c>
    </row>
    <row r="3908" spans="20:21" x14ac:dyDescent="0.3">
      <c r="T3908" t="str">
        <f>IF(ISERROR(MATCH('Analysis backend'!$M$1,E3908:N3908,0)),"",'Analysis backend'!$L$1)</f>
        <v/>
      </c>
      <c r="U3908" t="str">
        <f>IF(T3908='Analysis backend'!$L$1,IF(ISERROR(MATCH('Analysis backend'!$M$1,E3908:I3908,0)),"Dire","Radiant"),"")</f>
        <v/>
      </c>
    </row>
    <row r="3909" spans="20:21" x14ac:dyDescent="0.3">
      <c r="T3909" t="str">
        <f>IF(ISERROR(MATCH('Analysis backend'!$M$1,E3909:N3909,0)),"",'Analysis backend'!$L$1)</f>
        <v/>
      </c>
      <c r="U3909" t="str">
        <f>IF(T3909='Analysis backend'!$L$1,IF(ISERROR(MATCH('Analysis backend'!$M$1,E3909:I3909,0)),"Dire","Radiant"),"")</f>
        <v/>
      </c>
    </row>
    <row r="3910" spans="20:21" x14ac:dyDescent="0.3">
      <c r="T3910" t="str">
        <f>IF(ISERROR(MATCH('Analysis backend'!$M$1,E3910:N3910,0)),"",'Analysis backend'!$L$1)</f>
        <v/>
      </c>
      <c r="U3910" t="str">
        <f>IF(T3910='Analysis backend'!$L$1,IF(ISERROR(MATCH('Analysis backend'!$M$1,E3910:I3910,0)),"Dire","Radiant"),"")</f>
        <v/>
      </c>
    </row>
    <row r="3911" spans="20:21" x14ac:dyDescent="0.3">
      <c r="T3911" t="str">
        <f>IF(ISERROR(MATCH('Analysis backend'!$M$1,E3911:N3911,0)),"",'Analysis backend'!$L$1)</f>
        <v/>
      </c>
      <c r="U3911" t="str">
        <f>IF(T3911='Analysis backend'!$L$1,IF(ISERROR(MATCH('Analysis backend'!$M$1,E3911:I3911,0)),"Dire","Radiant"),"")</f>
        <v/>
      </c>
    </row>
    <row r="3912" spans="20:21" x14ac:dyDescent="0.3">
      <c r="T3912" t="str">
        <f>IF(ISERROR(MATCH('Analysis backend'!$M$1,E3912:N3912,0)),"",'Analysis backend'!$L$1)</f>
        <v/>
      </c>
      <c r="U3912" t="str">
        <f>IF(T3912='Analysis backend'!$L$1,IF(ISERROR(MATCH('Analysis backend'!$M$1,E3912:I3912,0)),"Dire","Radiant"),"")</f>
        <v/>
      </c>
    </row>
    <row r="3913" spans="20:21" x14ac:dyDescent="0.3">
      <c r="T3913" t="str">
        <f>IF(ISERROR(MATCH('Analysis backend'!$M$1,E3913:N3913,0)),"",'Analysis backend'!$L$1)</f>
        <v/>
      </c>
      <c r="U3913" t="str">
        <f>IF(T3913='Analysis backend'!$L$1,IF(ISERROR(MATCH('Analysis backend'!$M$1,E3913:I3913,0)),"Dire","Radiant"),"")</f>
        <v/>
      </c>
    </row>
    <row r="3914" spans="20:21" x14ac:dyDescent="0.3">
      <c r="T3914" t="str">
        <f>IF(ISERROR(MATCH('Analysis backend'!$M$1,E3914:N3914,0)),"",'Analysis backend'!$L$1)</f>
        <v/>
      </c>
      <c r="U3914" t="str">
        <f>IF(T3914='Analysis backend'!$L$1,IF(ISERROR(MATCH('Analysis backend'!$M$1,E3914:I3914,0)),"Dire","Radiant"),"")</f>
        <v/>
      </c>
    </row>
    <row r="3915" spans="20:21" x14ac:dyDescent="0.3">
      <c r="T3915" t="str">
        <f>IF(ISERROR(MATCH('Analysis backend'!$M$1,E3915:N3915,0)),"",'Analysis backend'!$L$1)</f>
        <v/>
      </c>
      <c r="U3915" t="str">
        <f>IF(T3915='Analysis backend'!$L$1,IF(ISERROR(MATCH('Analysis backend'!$M$1,E3915:I3915,0)),"Dire","Radiant"),"")</f>
        <v/>
      </c>
    </row>
    <row r="3916" spans="20:21" x14ac:dyDescent="0.3">
      <c r="T3916" t="str">
        <f>IF(ISERROR(MATCH('Analysis backend'!$M$1,E3916:N3916,0)),"",'Analysis backend'!$L$1)</f>
        <v/>
      </c>
      <c r="U3916" t="str">
        <f>IF(T3916='Analysis backend'!$L$1,IF(ISERROR(MATCH('Analysis backend'!$M$1,E3916:I3916,0)),"Dire","Radiant"),"")</f>
        <v/>
      </c>
    </row>
    <row r="3917" spans="20:21" x14ac:dyDescent="0.3">
      <c r="T3917" t="str">
        <f>IF(ISERROR(MATCH('Analysis backend'!$M$1,E3917:N3917,0)),"",'Analysis backend'!$L$1)</f>
        <v/>
      </c>
      <c r="U3917" t="str">
        <f>IF(T3917='Analysis backend'!$L$1,IF(ISERROR(MATCH('Analysis backend'!$M$1,E3917:I3917,0)),"Dire","Radiant"),"")</f>
        <v/>
      </c>
    </row>
    <row r="3918" spans="20:21" x14ac:dyDescent="0.3">
      <c r="T3918" t="str">
        <f>IF(ISERROR(MATCH('Analysis backend'!$M$1,E3918:N3918,0)),"",'Analysis backend'!$L$1)</f>
        <v/>
      </c>
      <c r="U3918" t="str">
        <f>IF(T3918='Analysis backend'!$L$1,IF(ISERROR(MATCH('Analysis backend'!$M$1,E3918:I3918,0)),"Dire","Radiant"),"")</f>
        <v/>
      </c>
    </row>
    <row r="3919" spans="20:21" x14ac:dyDescent="0.3">
      <c r="T3919" t="str">
        <f>IF(ISERROR(MATCH('Analysis backend'!$M$1,E3919:N3919,0)),"",'Analysis backend'!$L$1)</f>
        <v/>
      </c>
      <c r="U3919" t="str">
        <f>IF(T3919='Analysis backend'!$L$1,IF(ISERROR(MATCH('Analysis backend'!$M$1,E3919:I3919,0)),"Dire","Radiant"),"")</f>
        <v/>
      </c>
    </row>
    <row r="3920" spans="20:21" x14ac:dyDescent="0.3">
      <c r="T3920" t="str">
        <f>IF(ISERROR(MATCH('Analysis backend'!$M$1,E3920:N3920,0)),"",'Analysis backend'!$L$1)</f>
        <v/>
      </c>
      <c r="U3920" t="str">
        <f>IF(T3920='Analysis backend'!$L$1,IF(ISERROR(MATCH('Analysis backend'!$M$1,E3920:I3920,0)),"Dire","Radiant"),"")</f>
        <v/>
      </c>
    </row>
    <row r="3921" spans="20:21" x14ac:dyDescent="0.3">
      <c r="T3921" t="str">
        <f>IF(ISERROR(MATCH('Analysis backend'!$M$1,E3921:N3921,0)),"",'Analysis backend'!$L$1)</f>
        <v/>
      </c>
      <c r="U3921" t="str">
        <f>IF(T3921='Analysis backend'!$L$1,IF(ISERROR(MATCH('Analysis backend'!$M$1,E3921:I3921,0)),"Dire","Radiant"),"")</f>
        <v/>
      </c>
    </row>
    <row r="3922" spans="20:21" x14ac:dyDescent="0.3">
      <c r="T3922" t="str">
        <f>IF(ISERROR(MATCH('Analysis backend'!$M$1,E3922:N3922,0)),"",'Analysis backend'!$L$1)</f>
        <v/>
      </c>
      <c r="U3922" t="str">
        <f>IF(T3922='Analysis backend'!$L$1,IF(ISERROR(MATCH('Analysis backend'!$M$1,E3922:I3922,0)),"Dire","Radiant"),"")</f>
        <v/>
      </c>
    </row>
    <row r="3923" spans="20:21" x14ac:dyDescent="0.3">
      <c r="T3923" t="str">
        <f>IF(ISERROR(MATCH('Analysis backend'!$M$1,E3923:N3923,0)),"",'Analysis backend'!$L$1)</f>
        <v/>
      </c>
      <c r="U3923" t="str">
        <f>IF(T3923='Analysis backend'!$L$1,IF(ISERROR(MATCH('Analysis backend'!$M$1,E3923:I3923,0)),"Dire","Radiant"),"")</f>
        <v/>
      </c>
    </row>
    <row r="3924" spans="20:21" x14ac:dyDescent="0.3">
      <c r="T3924" t="str">
        <f>IF(ISERROR(MATCH('Analysis backend'!$M$1,E3924:N3924,0)),"",'Analysis backend'!$L$1)</f>
        <v/>
      </c>
      <c r="U3924" t="str">
        <f>IF(T3924='Analysis backend'!$L$1,IF(ISERROR(MATCH('Analysis backend'!$M$1,E3924:I3924,0)),"Dire","Radiant"),"")</f>
        <v/>
      </c>
    </row>
    <row r="3925" spans="20:21" x14ac:dyDescent="0.3">
      <c r="T3925" t="str">
        <f>IF(ISERROR(MATCH('Analysis backend'!$M$1,E3925:N3925,0)),"",'Analysis backend'!$L$1)</f>
        <v/>
      </c>
      <c r="U3925" t="str">
        <f>IF(T3925='Analysis backend'!$L$1,IF(ISERROR(MATCH('Analysis backend'!$M$1,E3925:I3925,0)),"Dire","Radiant"),"")</f>
        <v/>
      </c>
    </row>
    <row r="3926" spans="20:21" x14ac:dyDescent="0.3">
      <c r="T3926" t="str">
        <f>IF(ISERROR(MATCH('Analysis backend'!$M$1,E3926:N3926,0)),"",'Analysis backend'!$L$1)</f>
        <v/>
      </c>
      <c r="U3926" t="str">
        <f>IF(T3926='Analysis backend'!$L$1,IF(ISERROR(MATCH('Analysis backend'!$M$1,E3926:I3926,0)),"Dire","Radiant"),"")</f>
        <v/>
      </c>
    </row>
    <row r="3927" spans="20:21" x14ac:dyDescent="0.3">
      <c r="T3927" t="str">
        <f>IF(ISERROR(MATCH('Analysis backend'!$M$1,E3927:N3927,0)),"",'Analysis backend'!$L$1)</f>
        <v/>
      </c>
      <c r="U3927" t="str">
        <f>IF(T3927='Analysis backend'!$L$1,IF(ISERROR(MATCH('Analysis backend'!$M$1,E3927:I3927,0)),"Dire","Radiant"),"")</f>
        <v/>
      </c>
    </row>
    <row r="3928" spans="20:21" x14ac:dyDescent="0.3">
      <c r="T3928" t="str">
        <f>IF(ISERROR(MATCH('Analysis backend'!$M$1,E3928:N3928,0)),"",'Analysis backend'!$L$1)</f>
        <v/>
      </c>
      <c r="U3928" t="str">
        <f>IF(T3928='Analysis backend'!$L$1,IF(ISERROR(MATCH('Analysis backend'!$M$1,E3928:I3928,0)),"Dire","Radiant"),"")</f>
        <v/>
      </c>
    </row>
    <row r="3929" spans="20:21" x14ac:dyDescent="0.3">
      <c r="T3929" t="str">
        <f>IF(ISERROR(MATCH('Analysis backend'!$M$1,E3929:N3929,0)),"",'Analysis backend'!$L$1)</f>
        <v/>
      </c>
      <c r="U3929" t="str">
        <f>IF(T3929='Analysis backend'!$L$1,IF(ISERROR(MATCH('Analysis backend'!$M$1,E3929:I3929,0)),"Dire","Radiant"),"")</f>
        <v/>
      </c>
    </row>
    <row r="3930" spans="20:21" x14ac:dyDescent="0.3">
      <c r="T3930" t="str">
        <f>IF(ISERROR(MATCH('Analysis backend'!$M$1,E3930:N3930,0)),"",'Analysis backend'!$L$1)</f>
        <v/>
      </c>
      <c r="U3930" t="str">
        <f>IF(T3930='Analysis backend'!$L$1,IF(ISERROR(MATCH('Analysis backend'!$M$1,E3930:I3930,0)),"Dire","Radiant"),"")</f>
        <v/>
      </c>
    </row>
    <row r="3931" spans="20:21" x14ac:dyDescent="0.3">
      <c r="T3931" t="str">
        <f>IF(ISERROR(MATCH('Analysis backend'!$M$1,E3931:N3931,0)),"",'Analysis backend'!$L$1)</f>
        <v/>
      </c>
      <c r="U3931" t="str">
        <f>IF(T3931='Analysis backend'!$L$1,IF(ISERROR(MATCH('Analysis backend'!$M$1,E3931:I3931,0)),"Dire","Radiant"),"")</f>
        <v/>
      </c>
    </row>
    <row r="3932" spans="20:21" x14ac:dyDescent="0.3">
      <c r="T3932" t="str">
        <f>IF(ISERROR(MATCH('Analysis backend'!$M$1,E3932:N3932,0)),"",'Analysis backend'!$L$1)</f>
        <v/>
      </c>
      <c r="U3932" t="str">
        <f>IF(T3932='Analysis backend'!$L$1,IF(ISERROR(MATCH('Analysis backend'!$M$1,E3932:I3932,0)),"Dire","Radiant"),"")</f>
        <v/>
      </c>
    </row>
    <row r="3933" spans="20:21" x14ac:dyDescent="0.3">
      <c r="T3933" t="str">
        <f>IF(ISERROR(MATCH('Analysis backend'!$M$1,E3933:N3933,0)),"",'Analysis backend'!$L$1)</f>
        <v/>
      </c>
      <c r="U3933" t="str">
        <f>IF(T3933='Analysis backend'!$L$1,IF(ISERROR(MATCH('Analysis backend'!$M$1,E3933:I3933,0)),"Dire","Radiant"),"")</f>
        <v/>
      </c>
    </row>
    <row r="3934" spans="20:21" x14ac:dyDescent="0.3">
      <c r="T3934" t="str">
        <f>IF(ISERROR(MATCH('Analysis backend'!$M$1,E3934:N3934,0)),"",'Analysis backend'!$L$1)</f>
        <v/>
      </c>
      <c r="U3934" t="str">
        <f>IF(T3934='Analysis backend'!$L$1,IF(ISERROR(MATCH('Analysis backend'!$M$1,E3934:I3934,0)),"Dire","Radiant"),"")</f>
        <v/>
      </c>
    </row>
    <row r="3935" spans="20:21" x14ac:dyDescent="0.3">
      <c r="T3935" t="str">
        <f>IF(ISERROR(MATCH('Analysis backend'!$M$1,E3935:N3935,0)),"",'Analysis backend'!$L$1)</f>
        <v/>
      </c>
      <c r="U3935" t="str">
        <f>IF(T3935='Analysis backend'!$L$1,IF(ISERROR(MATCH('Analysis backend'!$M$1,E3935:I3935,0)),"Dire","Radiant"),"")</f>
        <v/>
      </c>
    </row>
    <row r="3936" spans="20:21" x14ac:dyDescent="0.3">
      <c r="T3936" t="str">
        <f>IF(ISERROR(MATCH('Analysis backend'!$M$1,E3936:N3936,0)),"",'Analysis backend'!$L$1)</f>
        <v/>
      </c>
      <c r="U3936" t="str">
        <f>IF(T3936='Analysis backend'!$L$1,IF(ISERROR(MATCH('Analysis backend'!$M$1,E3936:I3936,0)),"Dire","Radiant"),"")</f>
        <v/>
      </c>
    </row>
    <row r="3937" spans="20:21" x14ac:dyDescent="0.3">
      <c r="T3937" t="str">
        <f>IF(ISERROR(MATCH('Analysis backend'!$M$1,E3937:N3937,0)),"",'Analysis backend'!$L$1)</f>
        <v/>
      </c>
      <c r="U3937" t="str">
        <f>IF(T3937='Analysis backend'!$L$1,IF(ISERROR(MATCH('Analysis backend'!$M$1,E3937:I3937,0)),"Dire","Radiant"),"")</f>
        <v/>
      </c>
    </row>
    <row r="3938" spans="20:21" x14ac:dyDescent="0.3">
      <c r="T3938" t="str">
        <f>IF(ISERROR(MATCH('Analysis backend'!$M$1,E3938:N3938,0)),"",'Analysis backend'!$L$1)</f>
        <v/>
      </c>
      <c r="U3938" t="str">
        <f>IF(T3938='Analysis backend'!$L$1,IF(ISERROR(MATCH('Analysis backend'!$M$1,E3938:I3938,0)),"Dire","Radiant"),"")</f>
        <v/>
      </c>
    </row>
    <row r="3939" spans="20:21" x14ac:dyDescent="0.3">
      <c r="T3939" t="str">
        <f>IF(ISERROR(MATCH('Analysis backend'!$M$1,E3939:N3939,0)),"",'Analysis backend'!$L$1)</f>
        <v/>
      </c>
      <c r="U3939" t="str">
        <f>IF(T3939='Analysis backend'!$L$1,IF(ISERROR(MATCH('Analysis backend'!$M$1,E3939:I3939,0)),"Dire","Radiant"),"")</f>
        <v/>
      </c>
    </row>
    <row r="3940" spans="20:21" x14ac:dyDescent="0.3">
      <c r="T3940" t="str">
        <f>IF(ISERROR(MATCH('Analysis backend'!$M$1,E3940:N3940,0)),"",'Analysis backend'!$L$1)</f>
        <v/>
      </c>
      <c r="U3940" t="str">
        <f>IF(T3940='Analysis backend'!$L$1,IF(ISERROR(MATCH('Analysis backend'!$M$1,E3940:I3940,0)),"Dire","Radiant"),"")</f>
        <v/>
      </c>
    </row>
    <row r="3941" spans="20:21" x14ac:dyDescent="0.3">
      <c r="T3941" t="str">
        <f>IF(ISERROR(MATCH('Analysis backend'!$M$1,E3941:N3941,0)),"",'Analysis backend'!$L$1)</f>
        <v/>
      </c>
      <c r="U3941" t="str">
        <f>IF(T3941='Analysis backend'!$L$1,IF(ISERROR(MATCH('Analysis backend'!$M$1,E3941:I3941,0)),"Dire","Radiant"),"")</f>
        <v/>
      </c>
    </row>
    <row r="3942" spans="20:21" x14ac:dyDescent="0.3">
      <c r="T3942" t="str">
        <f>IF(ISERROR(MATCH('Analysis backend'!$M$1,E3942:N3942,0)),"",'Analysis backend'!$L$1)</f>
        <v/>
      </c>
      <c r="U3942" t="str">
        <f>IF(T3942='Analysis backend'!$L$1,IF(ISERROR(MATCH('Analysis backend'!$M$1,E3942:I3942,0)),"Dire","Radiant"),"")</f>
        <v/>
      </c>
    </row>
    <row r="3943" spans="20:21" x14ac:dyDescent="0.3">
      <c r="T3943" t="str">
        <f>IF(ISERROR(MATCH('Analysis backend'!$M$1,E3943:N3943,0)),"",'Analysis backend'!$L$1)</f>
        <v/>
      </c>
      <c r="U3943" t="str">
        <f>IF(T3943='Analysis backend'!$L$1,IF(ISERROR(MATCH('Analysis backend'!$M$1,E3943:I3943,0)),"Dire","Radiant"),"")</f>
        <v/>
      </c>
    </row>
    <row r="3944" spans="20:21" x14ac:dyDescent="0.3">
      <c r="T3944" t="str">
        <f>IF(ISERROR(MATCH('Analysis backend'!$M$1,E3944:N3944,0)),"",'Analysis backend'!$L$1)</f>
        <v/>
      </c>
      <c r="U3944" t="str">
        <f>IF(T3944='Analysis backend'!$L$1,IF(ISERROR(MATCH('Analysis backend'!$M$1,E3944:I3944,0)),"Dire","Radiant"),"")</f>
        <v/>
      </c>
    </row>
    <row r="3945" spans="20:21" x14ac:dyDescent="0.3">
      <c r="T3945" t="str">
        <f>IF(ISERROR(MATCH('Analysis backend'!$M$1,E3945:N3945,0)),"",'Analysis backend'!$L$1)</f>
        <v/>
      </c>
      <c r="U3945" t="str">
        <f>IF(T3945='Analysis backend'!$L$1,IF(ISERROR(MATCH('Analysis backend'!$M$1,E3945:I3945,0)),"Dire","Radiant"),"")</f>
        <v/>
      </c>
    </row>
    <row r="3946" spans="20:21" x14ac:dyDescent="0.3">
      <c r="T3946" t="str">
        <f>IF(ISERROR(MATCH('Analysis backend'!$M$1,E3946:N3946,0)),"",'Analysis backend'!$L$1)</f>
        <v/>
      </c>
      <c r="U3946" t="str">
        <f>IF(T3946='Analysis backend'!$L$1,IF(ISERROR(MATCH('Analysis backend'!$M$1,E3946:I3946,0)),"Dire","Radiant"),"")</f>
        <v/>
      </c>
    </row>
    <row r="3947" spans="20:21" x14ac:dyDescent="0.3">
      <c r="T3947" t="str">
        <f>IF(ISERROR(MATCH('Analysis backend'!$M$1,E3947:N3947,0)),"",'Analysis backend'!$L$1)</f>
        <v/>
      </c>
      <c r="U3947" t="str">
        <f>IF(T3947='Analysis backend'!$L$1,IF(ISERROR(MATCH('Analysis backend'!$M$1,E3947:I3947,0)),"Dire","Radiant"),"")</f>
        <v/>
      </c>
    </row>
    <row r="3948" spans="20:21" x14ac:dyDescent="0.3">
      <c r="T3948" t="str">
        <f>IF(ISERROR(MATCH('Analysis backend'!$M$1,E3948:N3948,0)),"",'Analysis backend'!$L$1)</f>
        <v/>
      </c>
      <c r="U3948" t="str">
        <f>IF(T3948='Analysis backend'!$L$1,IF(ISERROR(MATCH('Analysis backend'!$M$1,E3948:I3948,0)),"Dire","Radiant"),"")</f>
        <v/>
      </c>
    </row>
    <row r="3949" spans="20:21" x14ac:dyDescent="0.3">
      <c r="T3949" t="str">
        <f>IF(ISERROR(MATCH('Analysis backend'!$M$1,E3949:N3949,0)),"",'Analysis backend'!$L$1)</f>
        <v/>
      </c>
      <c r="U3949" t="str">
        <f>IF(T3949='Analysis backend'!$L$1,IF(ISERROR(MATCH('Analysis backend'!$M$1,E3949:I3949,0)),"Dire","Radiant"),"")</f>
        <v/>
      </c>
    </row>
    <row r="3950" spans="20:21" x14ac:dyDescent="0.3">
      <c r="T3950" t="str">
        <f>IF(ISERROR(MATCH('Analysis backend'!$M$1,E3950:N3950,0)),"",'Analysis backend'!$L$1)</f>
        <v/>
      </c>
      <c r="U3950" t="str">
        <f>IF(T3950='Analysis backend'!$L$1,IF(ISERROR(MATCH('Analysis backend'!$M$1,E3950:I3950,0)),"Dire","Radiant"),"")</f>
        <v/>
      </c>
    </row>
    <row r="3951" spans="20:21" x14ac:dyDescent="0.3">
      <c r="T3951" t="str">
        <f>IF(ISERROR(MATCH('Analysis backend'!$M$1,E3951:N3951,0)),"",'Analysis backend'!$L$1)</f>
        <v/>
      </c>
      <c r="U3951" t="str">
        <f>IF(T3951='Analysis backend'!$L$1,IF(ISERROR(MATCH('Analysis backend'!$M$1,E3951:I3951,0)),"Dire","Radiant"),"")</f>
        <v/>
      </c>
    </row>
    <row r="3952" spans="20:21" x14ac:dyDescent="0.3">
      <c r="T3952" t="str">
        <f>IF(ISERROR(MATCH('Analysis backend'!$M$1,E3952:N3952,0)),"",'Analysis backend'!$L$1)</f>
        <v/>
      </c>
      <c r="U3952" t="str">
        <f>IF(T3952='Analysis backend'!$L$1,IF(ISERROR(MATCH('Analysis backend'!$M$1,E3952:I3952,0)),"Dire","Radiant"),"")</f>
        <v/>
      </c>
    </row>
    <row r="3953" spans="20:21" x14ac:dyDescent="0.3">
      <c r="T3953" t="str">
        <f>IF(ISERROR(MATCH('Analysis backend'!$M$1,E3953:N3953,0)),"",'Analysis backend'!$L$1)</f>
        <v/>
      </c>
      <c r="U3953" t="str">
        <f>IF(T3953='Analysis backend'!$L$1,IF(ISERROR(MATCH('Analysis backend'!$M$1,E3953:I3953,0)),"Dire","Radiant"),"")</f>
        <v/>
      </c>
    </row>
    <row r="3954" spans="20:21" x14ac:dyDescent="0.3">
      <c r="T3954" t="str">
        <f>IF(ISERROR(MATCH('Analysis backend'!$M$1,E3954:N3954,0)),"",'Analysis backend'!$L$1)</f>
        <v/>
      </c>
      <c r="U3954" t="str">
        <f>IF(T3954='Analysis backend'!$L$1,IF(ISERROR(MATCH('Analysis backend'!$M$1,E3954:I3954,0)),"Dire","Radiant"),"")</f>
        <v/>
      </c>
    </row>
    <row r="3955" spans="20:21" x14ac:dyDescent="0.3">
      <c r="T3955" t="str">
        <f>IF(ISERROR(MATCH('Analysis backend'!$M$1,E3955:N3955,0)),"",'Analysis backend'!$L$1)</f>
        <v/>
      </c>
      <c r="U3955" t="str">
        <f>IF(T3955='Analysis backend'!$L$1,IF(ISERROR(MATCH('Analysis backend'!$M$1,E3955:I3955,0)),"Dire","Radiant"),"")</f>
        <v/>
      </c>
    </row>
    <row r="3956" spans="20:21" x14ac:dyDescent="0.3">
      <c r="T3956" t="str">
        <f>IF(ISERROR(MATCH('Analysis backend'!$M$1,E3956:N3956,0)),"",'Analysis backend'!$L$1)</f>
        <v/>
      </c>
      <c r="U3956" t="str">
        <f>IF(T3956='Analysis backend'!$L$1,IF(ISERROR(MATCH('Analysis backend'!$M$1,E3956:I3956,0)),"Dire","Radiant"),"")</f>
        <v/>
      </c>
    </row>
    <row r="3957" spans="20:21" x14ac:dyDescent="0.3">
      <c r="T3957" t="str">
        <f>IF(ISERROR(MATCH('Analysis backend'!$M$1,E3957:N3957,0)),"",'Analysis backend'!$L$1)</f>
        <v/>
      </c>
      <c r="U3957" t="str">
        <f>IF(T3957='Analysis backend'!$L$1,IF(ISERROR(MATCH('Analysis backend'!$M$1,E3957:I3957,0)),"Dire","Radiant"),"")</f>
        <v/>
      </c>
    </row>
    <row r="3958" spans="20:21" x14ac:dyDescent="0.3">
      <c r="T3958" t="str">
        <f>IF(ISERROR(MATCH('Analysis backend'!$M$1,E3958:N3958,0)),"",'Analysis backend'!$L$1)</f>
        <v/>
      </c>
      <c r="U3958" t="str">
        <f>IF(T3958='Analysis backend'!$L$1,IF(ISERROR(MATCH('Analysis backend'!$M$1,E3958:I3958,0)),"Dire","Radiant"),"")</f>
        <v/>
      </c>
    </row>
    <row r="3959" spans="20:21" x14ac:dyDescent="0.3">
      <c r="T3959" t="str">
        <f>IF(ISERROR(MATCH('Analysis backend'!$M$1,E3959:N3959,0)),"",'Analysis backend'!$L$1)</f>
        <v/>
      </c>
      <c r="U3959" t="str">
        <f>IF(T3959='Analysis backend'!$L$1,IF(ISERROR(MATCH('Analysis backend'!$M$1,E3959:I3959,0)),"Dire","Radiant"),"")</f>
        <v/>
      </c>
    </row>
    <row r="3960" spans="20:21" x14ac:dyDescent="0.3">
      <c r="T3960" t="str">
        <f>IF(ISERROR(MATCH('Analysis backend'!$M$1,E3960:N3960,0)),"",'Analysis backend'!$L$1)</f>
        <v/>
      </c>
      <c r="U3960" t="str">
        <f>IF(T3960='Analysis backend'!$L$1,IF(ISERROR(MATCH('Analysis backend'!$M$1,E3960:I3960,0)),"Dire","Radiant"),"")</f>
        <v/>
      </c>
    </row>
    <row r="3961" spans="20:21" x14ac:dyDescent="0.3">
      <c r="T3961" t="str">
        <f>IF(ISERROR(MATCH('Analysis backend'!$M$1,E3961:N3961,0)),"",'Analysis backend'!$L$1)</f>
        <v/>
      </c>
      <c r="U3961" t="str">
        <f>IF(T3961='Analysis backend'!$L$1,IF(ISERROR(MATCH('Analysis backend'!$M$1,E3961:I3961,0)),"Dire","Radiant"),"")</f>
        <v/>
      </c>
    </row>
    <row r="3962" spans="20:21" x14ac:dyDescent="0.3">
      <c r="T3962" t="str">
        <f>IF(ISERROR(MATCH('Analysis backend'!$M$1,E3962:N3962,0)),"",'Analysis backend'!$L$1)</f>
        <v/>
      </c>
      <c r="U3962" t="str">
        <f>IF(T3962='Analysis backend'!$L$1,IF(ISERROR(MATCH('Analysis backend'!$M$1,E3962:I3962,0)),"Dire","Radiant"),"")</f>
        <v/>
      </c>
    </row>
    <row r="3963" spans="20:21" x14ac:dyDescent="0.3">
      <c r="T3963" t="str">
        <f>IF(ISERROR(MATCH('Analysis backend'!$M$1,E3963:N3963,0)),"",'Analysis backend'!$L$1)</f>
        <v/>
      </c>
      <c r="U3963" t="str">
        <f>IF(T3963='Analysis backend'!$L$1,IF(ISERROR(MATCH('Analysis backend'!$M$1,E3963:I3963,0)),"Dire","Radiant"),"")</f>
        <v/>
      </c>
    </row>
    <row r="3964" spans="20:21" x14ac:dyDescent="0.3">
      <c r="T3964" t="str">
        <f>IF(ISERROR(MATCH('Analysis backend'!$M$1,E3964:N3964,0)),"",'Analysis backend'!$L$1)</f>
        <v/>
      </c>
      <c r="U3964" t="str">
        <f>IF(T3964='Analysis backend'!$L$1,IF(ISERROR(MATCH('Analysis backend'!$M$1,E3964:I3964,0)),"Dire","Radiant"),"")</f>
        <v/>
      </c>
    </row>
    <row r="3965" spans="20:21" x14ac:dyDescent="0.3">
      <c r="T3965" t="str">
        <f>IF(ISERROR(MATCH('Analysis backend'!$M$1,E3965:N3965,0)),"",'Analysis backend'!$L$1)</f>
        <v/>
      </c>
      <c r="U3965" t="str">
        <f>IF(T3965='Analysis backend'!$L$1,IF(ISERROR(MATCH('Analysis backend'!$M$1,E3965:I3965,0)),"Dire","Radiant"),"")</f>
        <v/>
      </c>
    </row>
    <row r="3966" spans="20:21" x14ac:dyDescent="0.3">
      <c r="T3966" t="str">
        <f>IF(ISERROR(MATCH('Analysis backend'!$M$1,E3966:N3966,0)),"",'Analysis backend'!$L$1)</f>
        <v/>
      </c>
      <c r="U3966" t="str">
        <f>IF(T3966='Analysis backend'!$L$1,IF(ISERROR(MATCH('Analysis backend'!$M$1,E3966:I3966,0)),"Dire","Radiant"),"")</f>
        <v/>
      </c>
    </row>
    <row r="3967" spans="20:21" x14ac:dyDescent="0.3">
      <c r="T3967" t="str">
        <f>IF(ISERROR(MATCH('Analysis backend'!$M$1,E3967:N3967,0)),"",'Analysis backend'!$L$1)</f>
        <v/>
      </c>
      <c r="U3967" t="str">
        <f>IF(T3967='Analysis backend'!$L$1,IF(ISERROR(MATCH('Analysis backend'!$M$1,E3967:I3967,0)),"Dire","Radiant"),"")</f>
        <v/>
      </c>
    </row>
    <row r="3968" spans="20:21" x14ac:dyDescent="0.3">
      <c r="T3968" t="str">
        <f>IF(ISERROR(MATCH('Analysis backend'!$M$1,E3968:N3968,0)),"",'Analysis backend'!$L$1)</f>
        <v/>
      </c>
      <c r="U3968" t="str">
        <f>IF(T3968='Analysis backend'!$L$1,IF(ISERROR(MATCH('Analysis backend'!$M$1,E3968:I3968,0)),"Dire","Radiant"),"")</f>
        <v/>
      </c>
    </row>
    <row r="3969" spans="20:21" x14ac:dyDescent="0.3">
      <c r="T3969" t="str">
        <f>IF(ISERROR(MATCH('Analysis backend'!$M$1,E3969:N3969,0)),"",'Analysis backend'!$L$1)</f>
        <v/>
      </c>
      <c r="U3969" t="str">
        <f>IF(T3969='Analysis backend'!$L$1,IF(ISERROR(MATCH('Analysis backend'!$M$1,E3969:I3969,0)),"Dire","Radiant"),"")</f>
        <v/>
      </c>
    </row>
    <row r="3970" spans="20:21" x14ac:dyDescent="0.3">
      <c r="T3970" t="str">
        <f>IF(ISERROR(MATCH('Analysis backend'!$M$1,E3970:N3970,0)),"",'Analysis backend'!$L$1)</f>
        <v/>
      </c>
      <c r="U3970" t="str">
        <f>IF(T3970='Analysis backend'!$L$1,IF(ISERROR(MATCH('Analysis backend'!$M$1,E3970:I3970,0)),"Dire","Radiant"),"")</f>
        <v/>
      </c>
    </row>
    <row r="3971" spans="20:21" x14ac:dyDescent="0.3">
      <c r="T3971" t="str">
        <f>IF(ISERROR(MATCH('Analysis backend'!$M$1,E3971:N3971,0)),"",'Analysis backend'!$L$1)</f>
        <v/>
      </c>
      <c r="U3971" t="str">
        <f>IF(T3971='Analysis backend'!$L$1,IF(ISERROR(MATCH('Analysis backend'!$M$1,E3971:I3971,0)),"Dire","Radiant"),"")</f>
        <v/>
      </c>
    </row>
    <row r="3972" spans="20:21" x14ac:dyDescent="0.3">
      <c r="T3972" t="str">
        <f>IF(ISERROR(MATCH('Analysis backend'!$M$1,E3972:N3972,0)),"",'Analysis backend'!$L$1)</f>
        <v/>
      </c>
      <c r="U3972" t="str">
        <f>IF(T3972='Analysis backend'!$L$1,IF(ISERROR(MATCH('Analysis backend'!$M$1,E3972:I3972,0)),"Dire","Radiant"),"")</f>
        <v/>
      </c>
    </row>
    <row r="3973" spans="20:21" x14ac:dyDescent="0.3">
      <c r="T3973" t="str">
        <f>IF(ISERROR(MATCH('Analysis backend'!$M$1,E3973:N3973,0)),"",'Analysis backend'!$L$1)</f>
        <v/>
      </c>
      <c r="U3973" t="str">
        <f>IF(T3973='Analysis backend'!$L$1,IF(ISERROR(MATCH('Analysis backend'!$M$1,E3973:I3973,0)),"Dire","Radiant"),"")</f>
        <v/>
      </c>
    </row>
    <row r="3974" spans="20:21" x14ac:dyDescent="0.3">
      <c r="T3974" t="str">
        <f>IF(ISERROR(MATCH('Analysis backend'!$M$1,E3974:N3974,0)),"",'Analysis backend'!$L$1)</f>
        <v/>
      </c>
      <c r="U3974" t="str">
        <f>IF(T3974='Analysis backend'!$L$1,IF(ISERROR(MATCH('Analysis backend'!$M$1,E3974:I3974,0)),"Dire","Radiant"),"")</f>
        <v/>
      </c>
    </row>
    <row r="3975" spans="20:21" x14ac:dyDescent="0.3">
      <c r="T3975" t="str">
        <f>IF(ISERROR(MATCH('Analysis backend'!$M$1,E3975:N3975,0)),"",'Analysis backend'!$L$1)</f>
        <v/>
      </c>
      <c r="U3975" t="str">
        <f>IF(T3975='Analysis backend'!$L$1,IF(ISERROR(MATCH('Analysis backend'!$M$1,E3975:I3975,0)),"Dire","Radiant"),"")</f>
        <v/>
      </c>
    </row>
    <row r="3976" spans="20:21" x14ac:dyDescent="0.3">
      <c r="T3976" t="str">
        <f>IF(ISERROR(MATCH('Analysis backend'!$M$1,E3976:N3976,0)),"",'Analysis backend'!$L$1)</f>
        <v/>
      </c>
      <c r="U3976" t="str">
        <f>IF(T3976='Analysis backend'!$L$1,IF(ISERROR(MATCH('Analysis backend'!$M$1,E3976:I3976,0)),"Dire","Radiant"),"")</f>
        <v/>
      </c>
    </row>
    <row r="3977" spans="20:21" x14ac:dyDescent="0.3">
      <c r="T3977" t="str">
        <f>IF(ISERROR(MATCH('Analysis backend'!$M$1,E3977:N3977,0)),"",'Analysis backend'!$L$1)</f>
        <v/>
      </c>
      <c r="U3977" t="str">
        <f>IF(T3977='Analysis backend'!$L$1,IF(ISERROR(MATCH('Analysis backend'!$M$1,E3977:I3977,0)),"Dire","Radiant"),"")</f>
        <v/>
      </c>
    </row>
    <row r="3978" spans="20:21" x14ac:dyDescent="0.3">
      <c r="T3978" t="str">
        <f>IF(ISERROR(MATCH('Analysis backend'!$M$1,E3978:N3978,0)),"",'Analysis backend'!$L$1)</f>
        <v/>
      </c>
      <c r="U3978" t="str">
        <f>IF(T3978='Analysis backend'!$L$1,IF(ISERROR(MATCH('Analysis backend'!$M$1,E3978:I3978,0)),"Dire","Radiant"),"")</f>
        <v/>
      </c>
    </row>
    <row r="3979" spans="20:21" x14ac:dyDescent="0.3">
      <c r="T3979" t="str">
        <f>IF(ISERROR(MATCH('Analysis backend'!$M$1,E3979:N3979,0)),"",'Analysis backend'!$L$1)</f>
        <v/>
      </c>
      <c r="U3979" t="str">
        <f>IF(T3979='Analysis backend'!$L$1,IF(ISERROR(MATCH('Analysis backend'!$M$1,E3979:I3979,0)),"Dire","Radiant"),"")</f>
        <v/>
      </c>
    </row>
    <row r="3980" spans="20:21" x14ac:dyDescent="0.3">
      <c r="T3980" t="str">
        <f>IF(ISERROR(MATCH('Analysis backend'!$M$1,E3980:N3980,0)),"",'Analysis backend'!$L$1)</f>
        <v/>
      </c>
      <c r="U3980" t="str">
        <f>IF(T3980='Analysis backend'!$L$1,IF(ISERROR(MATCH('Analysis backend'!$M$1,E3980:I3980,0)),"Dire","Radiant"),"")</f>
        <v/>
      </c>
    </row>
    <row r="3981" spans="20:21" x14ac:dyDescent="0.3">
      <c r="T3981" t="str">
        <f>IF(ISERROR(MATCH('Analysis backend'!$M$1,E3981:N3981,0)),"",'Analysis backend'!$L$1)</f>
        <v/>
      </c>
      <c r="U3981" t="str">
        <f>IF(T3981='Analysis backend'!$L$1,IF(ISERROR(MATCH('Analysis backend'!$M$1,E3981:I3981,0)),"Dire","Radiant"),"")</f>
        <v/>
      </c>
    </row>
    <row r="3982" spans="20:21" x14ac:dyDescent="0.3">
      <c r="T3982" t="str">
        <f>IF(ISERROR(MATCH('Analysis backend'!$M$1,E3982:N3982,0)),"",'Analysis backend'!$L$1)</f>
        <v/>
      </c>
      <c r="U3982" t="str">
        <f>IF(T3982='Analysis backend'!$L$1,IF(ISERROR(MATCH('Analysis backend'!$M$1,E3982:I3982,0)),"Dire","Radiant"),"")</f>
        <v/>
      </c>
    </row>
    <row r="3983" spans="20:21" x14ac:dyDescent="0.3">
      <c r="T3983" t="str">
        <f>IF(ISERROR(MATCH('Analysis backend'!$M$1,E3983:N3983,0)),"",'Analysis backend'!$L$1)</f>
        <v/>
      </c>
      <c r="U3983" t="str">
        <f>IF(T3983='Analysis backend'!$L$1,IF(ISERROR(MATCH('Analysis backend'!$M$1,E3983:I3983,0)),"Dire","Radiant"),"")</f>
        <v/>
      </c>
    </row>
    <row r="3984" spans="20:21" x14ac:dyDescent="0.3">
      <c r="T3984" t="str">
        <f>IF(ISERROR(MATCH('Analysis backend'!$M$1,E3984:N3984,0)),"",'Analysis backend'!$L$1)</f>
        <v/>
      </c>
      <c r="U3984" t="str">
        <f>IF(T3984='Analysis backend'!$L$1,IF(ISERROR(MATCH('Analysis backend'!$M$1,E3984:I3984,0)),"Dire","Radiant"),"")</f>
        <v/>
      </c>
    </row>
    <row r="3985" spans="20:21" x14ac:dyDescent="0.3">
      <c r="T3985" t="str">
        <f>IF(ISERROR(MATCH('Analysis backend'!$M$1,E3985:N3985,0)),"",'Analysis backend'!$L$1)</f>
        <v/>
      </c>
      <c r="U3985" t="str">
        <f>IF(T3985='Analysis backend'!$L$1,IF(ISERROR(MATCH('Analysis backend'!$M$1,E3985:I3985,0)),"Dire","Radiant"),"")</f>
        <v/>
      </c>
    </row>
    <row r="3986" spans="20:21" x14ac:dyDescent="0.3">
      <c r="T3986" t="str">
        <f>IF(ISERROR(MATCH('Analysis backend'!$M$1,E3986:N3986,0)),"",'Analysis backend'!$L$1)</f>
        <v/>
      </c>
      <c r="U3986" t="str">
        <f>IF(T3986='Analysis backend'!$L$1,IF(ISERROR(MATCH('Analysis backend'!$M$1,E3986:I3986,0)),"Dire","Radiant"),"")</f>
        <v/>
      </c>
    </row>
    <row r="3987" spans="20:21" x14ac:dyDescent="0.3">
      <c r="T3987" t="str">
        <f>IF(ISERROR(MATCH('Analysis backend'!$M$1,E3987:N3987,0)),"",'Analysis backend'!$L$1)</f>
        <v/>
      </c>
      <c r="U3987" t="str">
        <f>IF(T3987='Analysis backend'!$L$1,IF(ISERROR(MATCH('Analysis backend'!$M$1,E3987:I3987,0)),"Dire","Radiant"),"")</f>
        <v/>
      </c>
    </row>
    <row r="3988" spans="20:21" x14ac:dyDescent="0.3">
      <c r="T3988" t="str">
        <f>IF(ISERROR(MATCH('Analysis backend'!$M$1,E3988:N3988,0)),"",'Analysis backend'!$L$1)</f>
        <v/>
      </c>
      <c r="U3988" t="str">
        <f>IF(T3988='Analysis backend'!$L$1,IF(ISERROR(MATCH('Analysis backend'!$M$1,E3988:I3988,0)),"Dire","Radiant"),"")</f>
        <v/>
      </c>
    </row>
    <row r="3989" spans="20:21" x14ac:dyDescent="0.3">
      <c r="T3989" t="str">
        <f>IF(ISERROR(MATCH('Analysis backend'!$M$1,E3989:N3989,0)),"",'Analysis backend'!$L$1)</f>
        <v/>
      </c>
      <c r="U3989" t="str">
        <f>IF(T3989='Analysis backend'!$L$1,IF(ISERROR(MATCH('Analysis backend'!$M$1,E3989:I3989,0)),"Dire","Radiant"),"")</f>
        <v/>
      </c>
    </row>
    <row r="3990" spans="20:21" x14ac:dyDescent="0.3">
      <c r="T3990" t="str">
        <f>IF(ISERROR(MATCH('Analysis backend'!$M$1,E3990:N3990,0)),"",'Analysis backend'!$L$1)</f>
        <v/>
      </c>
      <c r="U3990" t="str">
        <f>IF(T3990='Analysis backend'!$L$1,IF(ISERROR(MATCH('Analysis backend'!$M$1,E3990:I3990,0)),"Dire","Radiant"),"")</f>
        <v/>
      </c>
    </row>
    <row r="3991" spans="20:21" x14ac:dyDescent="0.3">
      <c r="T3991" t="str">
        <f>IF(ISERROR(MATCH('Analysis backend'!$M$1,E3991:N3991,0)),"",'Analysis backend'!$L$1)</f>
        <v/>
      </c>
      <c r="U3991" t="str">
        <f>IF(T3991='Analysis backend'!$L$1,IF(ISERROR(MATCH('Analysis backend'!$M$1,E3991:I3991,0)),"Dire","Radiant"),"")</f>
        <v/>
      </c>
    </row>
    <row r="3992" spans="20:21" x14ac:dyDescent="0.3">
      <c r="T3992" t="str">
        <f>IF(ISERROR(MATCH('Analysis backend'!$M$1,E3992:N3992,0)),"",'Analysis backend'!$L$1)</f>
        <v/>
      </c>
      <c r="U3992" t="str">
        <f>IF(T3992='Analysis backend'!$L$1,IF(ISERROR(MATCH('Analysis backend'!$M$1,E3992:I3992,0)),"Dire","Radiant"),"")</f>
        <v/>
      </c>
    </row>
    <row r="3993" spans="20:21" x14ac:dyDescent="0.3">
      <c r="T3993" t="str">
        <f>IF(ISERROR(MATCH('Analysis backend'!$M$1,E3993:N3993,0)),"",'Analysis backend'!$L$1)</f>
        <v/>
      </c>
      <c r="U3993" t="str">
        <f>IF(T3993='Analysis backend'!$L$1,IF(ISERROR(MATCH('Analysis backend'!$M$1,E3993:I3993,0)),"Dire","Radiant"),"")</f>
        <v/>
      </c>
    </row>
    <row r="3994" spans="20:21" x14ac:dyDescent="0.3">
      <c r="T3994" t="str">
        <f>IF(ISERROR(MATCH('Analysis backend'!$M$1,E3994:N3994,0)),"",'Analysis backend'!$L$1)</f>
        <v/>
      </c>
      <c r="U3994" t="str">
        <f>IF(T3994='Analysis backend'!$L$1,IF(ISERROR(MATCH('Analysis backend'!$M$1,E3994:I3994,0)),"Dire","Radiant"),"")</f>
        <v/>
      </c>
    </row>
    <row r="3995" spans="20:21" x14ac:dyDescent="0.3">
      <c r="T3995" t="str">
        <f>IF(ISERROR(MATCH('Analysis backend'!$M$1,E3995:N3995,0)),"",'Analysis backend'!$L$1)</f>
        <v/>
      </c>
      <c r="U3995" t="str">
        <f>IF(T3995='Analysis backend'!$L$1,IF(ISERROR(MATCH('Analysis backend'!$M$1,E3995:I3995,0)),"Dire","Radiant"),"")</f>
        <v/>
      </c>
    </row>
    <row r="3996" spans="20:21" x14ac:dyDescent="0.3">
      <c r="T3996" t="str">
        <f>IF(ISERROR(MATCH('Analysis backend'!$M$1,E3996:N3996,0)),"",'Analysis backend'!$L$1)</f>
        <v/>
      </c>
      <c r="U3996" t="str">
        <f>IF(T3996='Analysis backend'!$L$1,IF(ISERROR(MATCH('Analysis backend'!$M$1,E3996:I3996,0)),"Dire","Radiant"),"")</f>
        <v/>
      </c>
    </row>
    <row r="3997" spans="20:21" x14ac:dyDescent="0.3">
      <c r="T3997" t="str">
        <f>IF(ISERROR(MATCH('Analysis backend'!$M$1,E3997:N3997,0)),"",'Analysis backend'!$L$1)</f>
        <v/>
      </c>
      <c r="U3997" t="str">
        <f>IF(T3997='Analysis backend'!$L$1,IF(ISERROR(MATCH('Analysis backend'!$M$1,E3997:I3997,0)),"Dire","Radiant"),"")</f>
        <v/>
      </c>
    </row>
    <row r="3998" spans="20:21" x14ac:dyDescent="0.3">
      <c r="T3998" t="str">
        <f>IF(ISERROR(MATCH('Analysis backend'!$M$1,E3998:N3998,0)),"",'Analysis backend'!$L$1)</f>
        <v/>
      </c>
      <c r="U3998" t="str">
        <f>IF(T3998='Analysis backend'!$L$1,IF(ISERROR(MATCH('Analysis backend'!$M$1,E3998:I3998,0)),"Dire","Radiant"),"")</f>
        <v/>
      </c>
    </row>
    <row r="3999" spans="20:21" x14ac:dyDescent="0.3">
      <c r="T3999" t="str">
        <f>IF(ISERROR(MATCH('Analysis backend'!$M$1,E3999:N3999,0)),"",'Analysis backend'!$L$1)</f>
        <v/>
      </c>
      <c r="U3999" t="str">
        <f>IF(T3999='Analysis backend'!$L$1,IF(ISERROR(MATCH('Analysis backend'!$M$1,E3999:I3999,0)),"Dire","Radiant"),"")</f>
        <v/>
      </c>
    </row>
    <row r="4000" spans="20:21" x14ac:dyDescent="0.3">
      <c r="T4000" t="str">
        <f>IF(ISERROR(MATCH('Analysis backend'!$M$1,E4000:N4000,0)),"",'Analysis backend'!$L$1)</f>
        <v/>
      </c>
      <c r="U4000" t="str">
        <f>IF(T4000='Analysis backend'!$L$1,IF(ISERROR(MATCH('Analysis backend'!$M$1,E4000:I4000,0)),"Dire","Radiant"),"")</f>
        <v/>
      </c>
    </row>
    <row r="4001" spans="20:21" x14ac:dyDescent="0.3">
      <c r="T4001" t="str">
        <f>IF(ISERROR(MATCH('Analysis backend'!$M$1,E4001:N4001,0)),"",'Analysis backend'!$L$1)</f>
        <v/>
      </c>
      <c r="U4001" t="str">
        <f>IF(T4001='Analysis backend'!$L$1,IF(ISERROR(MATCH('Analysis backend'!$M$1,E4001:I4001,0)),"Dire","Radiant"),"")</f>
        <v/>
      </c>
    </row>
    <row r="4002" spans="20:21" x14ac:dyDescent="0.3">
      <c r="T4002" t="str">
        <f>IF(ISERROR(MATCH('Analysis backend'!$M$1,E4002:N4002,0)),"",'Analysis backend'!$L$1)</f>
        <v/>
      </c>
      <c r="U4002" t="str">
        <f>IF(T4002='Analysis backend'!$L$1,IF(ISERROR(MATCH('Analysis backend'!$M$1,E4002:I4002,0)),"Dire","Radiant"),"")</f>
        <v/>
      </c>
    </row>
    <row r="4003" spans="20:21" x14ac:dyDescent="0.3">
      <c r="T4003" t="str">
        <f>IF(ISERROR(MATCH('Analysis backend'!$M$1,E4003:N4003,0)),"",'Analysis backend'!$L$1)</f>
        <v/>
      </c>
      <c r="U4003" t="str">
        <f>IF(T4003='Analysis backend'!$L$1,IF(ISERROR(MATCH('Analysis backend'!$M$1,E4003:I4003,0)),"Dire","Radiant"),"")</f>
        <v/>
      </c>
    </row>
    <row r="4004" spans="20:21" x14ac:dyDescent="0.3">
      <c r="T4004" t="str">
        <f>IF(ISERROR(MATCH('Analysis backend'!$M$1,E4004:N4004,0)),"",'Analysis backend'!$L$1)</f>
        <v/>
      </c>
      <c r="U4004" t="str">
        <f>IF(T4004='Analysis backend'!$L$1,IF(ISERROR(MATCH('Analysis backend'!$M$1,E4004:I4004,0)),"Dire","Radiant"),"")</f>
        <v/>
      </c>
    </row>
    <row r="4005" spans="20:21" x14ac:dyDescent="0.3">
      <c r="T4005" t="str">
        <f>IF(ISERROR(MATCH('Analysis backend'!$M$1,E4005:N4005,0)),"",'Analysis backend'!$L$1)</f>
        <v/>
      </c>
      <c r="U4005" t="str">
        <f>IF(T4005='Analysis backend'!$L$1,IF(ISERROR(MATCH('Analysis backend'!$M$1,E4005:I4005,0)),"Dire","Radiant"),"")</f>
        <v/>
      </c>
    </row>
    <row r="4006" spans="20:21" x14ac:dyDescent="0.3">
      <c r="T4006" t="str">
        <f>IF(ISERROR(MATCH('Analysis backend'!$M$1,E4006:N4006,0)),"",'Analysis backend'!$L$1)</f>
        <v/>
      </c>
      <c r="U4006" t="str">
        <f>IF(T4006='Analysis backend'!$L$1,IF(ISERROR(MATCH('Analysis backend'!$M$1,E4006:I4006,0)),"Dire","Radiant"),"")</f>
        <v/>
      </c>
    </row>
    <row r="4007" spans="20:21" x14ac:dyDescent="0.3">
      <c r="T4007" t="str">
        <f>IF(ISERROR(MATCH('Analysis backend'!$M$1,E4007:N4007,0)),"",'Analysis backend'!$L$1)</f>
        <v/>
      </c>
      <c r="U4007" t="str">
        <f>IF(T4007='Analysis backend'!$L$1,IF(ISERROR(MATCH('Analysis backend'!$M$1,E4007:I4007,0)),"Dire","Radiant"),"")</f>
        <v/>
      </c>
    </row>
    <row r="4008" spans="20:21" x14ac:dyDescent="0.3">
      <c r="T4008" t="str">
        <f>IF(ISERROR(MATCH('Analysis backend'!$M$1,E4008:N4008,0)),"",'Analysis backend'!$L$1)</f>
        <v/>
      </c>
      <c r="U4008" t="str">
        <f>IF(T4008='Analysis backend'!$L$1,IF(ISERROR(MATCH('Analysis backend'!$M$1,E4008:I4008,0)),"Dire","Radiant"),"")</f>
        <v/>
      </c>
    </row>
    <row r="4009" spans="20:21" x14ac:dyDescent="0.3">
      <c r="T4009" t="str">
        <f>IF(ISERROR(MATCH('Analysis backend'!$M$1,E4009:N4009,0)),"",'Analysis backend'!$L$1)</f>
        <v/>
      </c>
      <c r="U4009" t="str">
        <f>IF(T4009='Analysis backend'!$L$1,IF(ISERROR(MATCH('Analysis backend'!$M$1,E4009:I4009,0)),"Dire","Radiant"),"")</f>
        <v/>
      </c>
    </row>
    <row r="4010" spans="20:21" x14ac:dyDescent="0.3">
      <c r="T4010" t="str">
        <f>IF(ISERROR(MATCH('Analysis backend'!$M$1,E4010:N4010,0)),"",'Analysis backend'!$L$1)</f>
        <v/>
      </c>
      <c r="U4010" t="str">
        <f>IF(T4010='Analysis backend'!$L$1,IF(ISERROR(MATCH('Analysis backend'!$M$1,E4010:I4010,0)),"Dire","Radiant"),"")</f>
        <v/>
      </c>
    </row>
    <row r="4011" spans="20:21" x14ac:dyDescent="0.3">
      <c r="T4011" t="str">
        <f>IF(ISERROR(MATCH('Analysis backend'!$M$1,E4011:N4011,0)),"",'Analysis backend'!$L$1)</f>
        <v/>
      </c>
      <c r="U4011" t="str">
        <f>IF(T4011='Analysis backend'!$L$1,IF(ISERROR(MATCH('Analysis backend'!$M$1,E4011:I4011,0)),"Dire","Radiant"),"")</f>
        <v/>
      </c>
    </row>
    <row r="4012" spans="20:21" x14ac:dyDescent="0.3">
      <c r="T4012" t="str">
        <f>IF(ISERROR(MATCH('Analysis backend'!$M$1,E4012:N4012,0)),"",'Analysis backend'!$L$1)</f>
        <v/>
      </c>
      <c r="U4012" t="str">
        <f>IF(T4012='Analysis backend'!$L$1,IF(ISERROR(MATCH('Analysis backend'!$M$1,E4012:I4012,0)),"Dire","Radiant"),"")</f>
        <v/>
      </c>
    </row>
    <row r="4013" spans="20:21" x14ac:dyDescent="0.3">
      <c r="T4013" t="str">
        <f>IF(ISERROR(MATCH('Analysis backend'!$M$1,E4013:N4013,0)),"",'Analysis backend'!$L$1)</f>
        <v/>
      </c>
      <c r="U4013" t="str">
        <f>IF(T4013='Analysis backend'!$L$1,IF(ISERROR(MATCH('Analysis backend'!$M$1,E4013:I4013,0)),"Dire","Radiant"),"")</f>
        <v/>
      </c>
    </row>
    <row r="4014" spans="20:21" x14ac:dyDescent="0.3">
      <c r="T4014" t="str">
        <f>IF(ISERROR(MATCH('Analysis backend'!$M$1,E4014:N4014,0)),"",'Analysis backend'!$L$1)</f>
        <v/>
      </c>
      <c r="U4014" t="str">
        <f>IF(T4014='Analysis backend'!$L$1,IF(ISERROR(MATCH('Analysis backend'!$M$1,E4014:I4014,0)),"Dire","Radiant"),"")</f>
        <v/>
      </c>
    </row>
    <row r="4015" spans="20:21" x14ac:dyDescent="0.3">
      <c r="T4015" t="str">
        <f>IF(ISERROR(MATCH('Analysis backend'!$M$1,E4015:N4015,0)),"",'Analysis backend'!$L$1)</f>
        <v/>
      </c>
      <c r="U4015" t="str">
        <f>IF(T4015='Analysis backend'!$L$1,IF(ISERROR(MATCH('Analysis backend'!$M$1,E4015:I4015,0)),"Dire","Radiant"),"")</f>
        <v/>
      </c>
    </row>
    <row r="4016" spans="20:21" x14ac:dyDescent="0.3">
      <c r="T4016" t="str">
        <f>IF(ISERROR(MATCH('Analysis backend'!$M$1,E4016:N4016,0)),"",'Analysis backend'!$L$1)</f>
        <v/>
      </c>
      <c r="U4016" t="str">
        <f>IF(T4016='Analysis backend'!$L$1,IF(ISERROR(MATCH('Analysis backend'!$M$1,E4016:I4016,0)),"Dire","Radiant"),"")</f>
        <v/>
      </c>
    </row>
    <row r="4017" spans="20:21" x14ac:dyDescent="0.3">
      <c r="T4017" t="str">
        <f>IF(ISERROR(MATCH('Analysis backend'!$M$1,E4017:N4017,0)),"",'Analysis backend'!$L$1)</f>
        <v/>
      </c>
      <c r="U4017" t="str">
        <f>IF(T4017='Analysis backend'!$L$1,IF(ISERROR(MATCH('Analysis backend'!$M$1,E4017:I4017,0)),"Dire","Radiant"),"")</f>
        <v/>
      </c>
    </row>
    <row r="4018" spans="20:21" x14ac:dyDescent="0.3">
      <c r="T4018" t="str">
        <f>IF(ISERROR(MATCH('Analysis backend'!$M$1,E4018:N4018,0)),"",'Analysis backend'!$L$1)</f>
        <v/>
      </c>
      <c r="U4018" t="str">
        <f>IF(T4018='Analysis backend'!$L$1,IF(ISERROR(MATCH('Analysis backend'!$M$1,E4018:I4018,0)),"Dire","Radiant"),"")</f>
        <v/>
      </c>
    </row>
    <row r="4019" spans="20:21" x14ac:dyDescent="0.3">
      <c r="T4019" t="str">
        <f>IF(ISERROR(MATCH('Analysis backend'!$M$1,E4019:N4019,0)),"",'Analysis backend'!$L$1)</f>
        <v/>
      </c>
      <c r="U4019" t="str">
        <f>IF(T4019='Analysis backend'!$L$1,IF(ISERROR(MATCH('Analysis backend'!$M$1,E4019:I4019,0)),"Dire","Radiant"),"")</f>
        <v/>
      </c>
    </row>
    <row r="4020" spans="20:21" x14ac:dyDescent="0.3">
      <c r="T4020" t="str">
        <f>IF(ISERROR(MATCH('Analysis backend'!$M$1,E4020:N4020,0)),"",'Analysis backend'!$L$1)</f>
        <v/>
      </c>
      <c r="U4020" t="str">
        <f>IF(T4020='Analysis backend'!$L$1,IF(ISERROR(MATCH('Analysis backend'!$M$1,E4020:I4020,0)),"Dire","Radiant"),"")</f>
        <v/>
      </c>
    </row>
    <row r="4021" spans="20:21" x14ac:dyDescent="0.3">
      <c r="T4021" t="str">
        <f>IF(ISERROR(MATCH('Analysis backend'!$M$1,E4021:N4021,0)),"",'Analysis backend'!$L$1)</f>
        <v/>
      </c>
      <c r="U4021" t="str">
        <f>IF(T4021='Analysis backend'!$L$1,IF(ISERROR(MATCH('Analysis backend'!$M$1,E4021:I4021,0)),"Dire","Radiant"),"")</f>
        <v/>
      </c>
    </row>
    <row r="4022" spans="20:21" x14ac:dyDescent="0.3">
      <c r="T4022" t="str">
        <f>IF(ISERROR(MATCH('Analysis backend'!$M$1,E4022:N4022,0)),"",'Analysis backend'!$L$1)</f>
        <v/>
      </c>
      <c r="U4022" t="str">
        <f>IF(T4022='Analysis backend'!$L$1,IF(ISERROR(MATCH('Analysis backend'!$M$1,E4022:I4022,0)),"Dire","Radiant"),"")</f>
        <v/>
      </c>
    </row>
    <row r="4023" spans="20:21" x14ac:dyDescent="0.3">
      <c r="T4023" t="str">
        <f>IF(ISERROR(MATCH('Analysis backend'!$M$1,E4023:N4023,0)),"",'Analysis backend'!$L$1)</f>
        <v/>
      </c>
      <c r="U4023" t="str">
        <f>IF(T4023='Analysis backend'!$L$1,IF(ISERROR(MATCH('Analysis backend'!$M$1,E4023:I4023,0)),"Dire","Radiant"),"")</f>
        <v/>
      </c>
    </row>
    <row r="4024" spans="20:21" x14ac:dyDescent="0.3">
      <c r="T4024" t="str">
        <f>IF(ISERROR(MATCH('Analysis backend'!$M$1,E4024:N4024,0)),"",'Analysis backend'!$L$1)</f>
        <v/>
      </c>
      <c r="U4024" t="str">
        <f>IF(T4024='Analysis backend'!$L$1,IF(ISERROR(MATCH('Analysis backend'!$M$1,E4024:I4024,0)),"Dire","Radiant"),"")</f>
        <v/>
      </c>
    </row>
    <row r="4025" spans="20:21" x14ac:dyDescent="0.3">
      <c r="T4025" t="str">
        <f>IF(ISERROR(MATCH('Analysis backend'!$M$1,E4025:N4025,0)),"",'Analysis backend'!$L$1)</f>
        <v/>
      </c>
      <c r="U4025" t="str">
        <f>IF(T4025='Analysis backend'!$L$1,IF(ISERROR(MATCH('Analysis backend'!$M$1,E4025:I4025,0)),"Dire","Radiant"),"")</f>
        <v/>
      </c>
    </row>
    <row r="4026" spans="20:21" x14ac:dyDescent="0.3">
      <c r="T4026" t="str">
        <f>IF(ISERROR(MATCH('Analysis backend'!$M$1,E4026:N4026,0)),"",'Analysis backend'!$L$1)</f>
        <v/>
      </c>
      <c r="U4026" t="str">
        <f>IF(T4026='Analysis backend'!$L$1,IF(ISERROR(MATCH('Analysis backend'!$M$1,E4026:I4026,0)),"Dire","Radiant"),"")</f>
        <v/>
      </c>
    </row>
    <row r="4027" spans="20:21" x14ac:dyDescent="0.3">
      <c r="T4027" t="str">
        <f>IF(ISERROR(MATCH('Analysis backend'!$M$1,E4027:N4027,0)),"",'Analysis backend'!$L$1)</f>
        <v/>
      </c>
      <c r="U4027" t="str">
        <f>IF(T4027='Analysis backend'!$L$1,IF(ISERROR(MATCH('Analysis backend'!$M$1,E4027:I4027,0)),"Dire","Radiant"),"")</f>
        <v/>
      </c>
    </row>
    <row r="4028" spans="20:21" x14ac:dyDescent="0.3">
      <c r="T4028" t="str">
        <f>IF(ISERROR(MATCH('Analysis backend'!$M$1,E4028:N4028,0)),"",'Analysis backend'!$L$1)</f>
        <v/>
      </c>
      <c r="U4028" t="str">
        <f>IF(T4028='Analysis backend'!$L$1,IF(ISERROR(MATCH('Analysis backend'!$M$1,E4028:I4028,0)),"Dire","Radiant"),"")</f>
        <v/>
      </c>
    </row>
    <row r="4029" spans="20:21" x14ac:dyDescent="0.3">
      <c r="T4029" t="str">
        <f>IF(ISERROR(MATCH('Analysis backend'!$M$1,E4029:N4029,0)),"",'Analysis backend'!$L$1)</f>
        <v/>
      </c>
      <c r="U4029" t="str">
        <f>IF(T4029='Analysis backend'!$L$1,IF(ISERROR(MATCH('Analysis backend'!$M$1,E4029:I4029,0)),"Dire","Radiant"),"")</f>
        <v/>
      </c>
    </row>
    <row r="4030" spans="20:21" x14ac:dyDescent="0.3">
      <c r="T4030" t="str">
        <f>IF(ISERROR(MATCH('Analysis backend'!$M$1,E4030:N4030,0)),"",'Analysis backend'!$L$1)</f>
        <v/>
      </c>
      <c r="U4030" t="str">
        <f>IF(T4030='Analysis backend'!$L$1,IF(ISERROR(MATCH('Analysis backend'!$M$1,E4030:I4030,0)),"Dire","Radiant"),"")</f>
        <v/>
      </c>
    </row>
    <row r="4031" spans="20:21" x14ac:dyDescent="0.3">
      <c r="T4031" t="str">
        <f>IF(ISERROR(MATCH('Analysis backend'!$M$1,E4031:N4031,0)),"",'Analysis backend'!$L$1)</f>
        <v/>
      </c>
      <c r="U4031" t="str">
        <f>IF(T4031='Analysis backend'!$L$1,IF(ISERROR(MATCH('Analysis backend'!$M$1,E4031:I4031,0)),"Dire","Radiant"),"")</f>
        <v/>
      </c>
    </row>
    <row r="4032" spans="20:21" x14ac:dyDescent="0.3">
      <c r="T4032" t="str">
        <f>IF(ISERROR(MATCH('Analysis backend'!$M$1,E4032:N4032,0)),"",'Analysis backend'!$L$1)</f>
        <v/>
      </c>
      <c r="U4032" t="str">
        <f>IF(T4032='Analysis backend'!$L$1,IF(ISERROR(MATCH('Analysis backend'!$M$1,E4032:I4032,0)),"Dire","Radiant"),"")</f>
        <v/>
      </c>
    </row>
    <row r="4033" spans="20:21" x14ac:dyDescent="0.3">
      <c r="T4033" t="str">
        <f>IF(ISERROR(MATCH('Analysis backend'!$M$1,E4033:N4033,0)),"",'Analysis backend'!$L$1)</f>
        <v/>
      </c>
      <c r="U4033" t="str">
        <f>IF(T4033='Analysis backend'!$L$1,IF(ISERROR(MATCH('Analysis backend'!$M$1,E4033:I4033,0)),"Dire","Radiant"),"")</f>
        <v/>
      </c>
    </row>
    <row r="4034" spans="20:21" x14ac:dyDescent="0.3">
      <c r="T4034" t="str">
        <f>IF(ISERROR(MATCH('Analysis backend'!$M$1,E4034:N4034,0)),"",'Analysis backend'!$L$1)</f>
        <v/>
      </c>
      <c r="U4034" t="str">
        <f>IF(T4034='Analysis backend'!$L$1,IF(ISERROR(MATCH('Analysis backend'!$M$1,E4034:I4034,0)),"Dire","Radiant"),"")</f>
        <v/>
      </c>
    </row>
    <row r="4035" spans="20:21" x14ac:dyDescent="0.3">
      <c r="T4035" t="str">
        <f>IF(ISERROR(MATCH('Analysis backend'!$M$1,E4035:N4035,0)),"",'Analysis backend'!$L$1)</f>
        <v/>
      </c>
      <c r="U4035" t="str">
        <f>IF(T4035='Analysis backend'!$L$1,IF(ISERROR(MATCH('Analysis backend'!$M$1,E4035:I4035,0)),"Dire","Radiant"),"")</f>
        <v/>
      </c>
    </row>
    <row r="4036" spans="20:21" x14ac:dyDescent="0.3">
      <c r="T4036" t="str">
        <f>IF(ISERROR(MATCH('Analysis backend'!$M$1,E4036:N4036,0)),"",'Analysis backend'!$L$1)</f>
        <v/>
      </c>
      <c r="U4036" t="str">
        <f>IF(T4036='Analysis backend'!$L$1,IF(ISERROR(MATCH('Analysis backend'!$M$1,E4036:I4036,0)),"Dire","Radiant"),"")</f>
        <v/>
      </c>
    </row>
    <row r="4037" spans="20:21" x14ac:dyDescent="0.3">
      <c r="T4037" t="str">
        <f>IF(ISERROR(MATCH('Analysis backend'!$M$1,E4037:N4037,0)),"",'Analysis backend'!$L$1)</f>
        <v/>
      </c>
      <c r="U4037" t="str">
        <f>IF(T4037='Analysis backend'!$L$1,IF(ISERROR(MATCH('Analysis backend'!$M$1,E4037:I4037,0)),"Dire","Radiant"),"")</f>
        <v/>
      </c>
    </row>
    <row r="4038" spans="20:21" x14ac:dyDescent="0.3">
      <c r="T4038" t="str">
        <f>IF(ISERROR(MATCH('Analysis backend'!$M$1,E4038:N4038,0)),"",'Analysis backend'!$L$1)</f>
        <v/>
      </c>
      <c r="U4038" t="str">
        <f>IF(T4038='Analysis backend'!$L$1,IF(ISERROR(MATCH('Analysis backend'!$M$1,E4038:I4038,0)),"Dire","Radiant"),"")</f>
        <v/>
      </c>
    </row>
    <row r="4039" spans="20:21" x14ac:dyDescent="0.3">
      <c r="T4039" t="str">
        <f>IF(ISERROR(MATCH('Analysis backend'!$M$1,E4039:N4039,0)),"",'Analysis backend'!$L$1)</f>
        <v/>
      </c>
      <c r="U4039" t="str">
        <f>IF(T4039='Analysis backend'!$L$1,IF(ISERROR(MATCH('Analysis backend'!$M$1,E4039:I4039,0)),"Dire","Radiant"),"")</f>
        <v/>
      </c>
    </row>
    <row r="4040" spans="20:21" x14ac:dyDescent="0.3">
      <c r="T4040" t="str">
        <f>IF(ISERROR(MATCH('Analysis backend'!$M$1,E4040:N4040,0)),"",'Analysis backend'!$L$1)</f>
        <v/>
      </c>
      <c r="U4040" t="str">
        <f>IF(T4040='Analysis backend'!$L$1,IF(ISERROR(MATCH('Analysis backend'!$M$1,E4040:I4040,0)),"Dire","Radiant"),"")</f>
        <v/>
      </c>
    </row>
    <row r="4041" spans="20:21" x14ac:dyDescent="0.3">
      <c r="T4041" t="str">
        <f>IF(ISERROR(MATCH('Analysis backend'!$M$1,E4041:N4041,0)),"",'Analysis backend'!$L$1)</f>
        <v/>
      </c>
      <c r="U4041" t="str">
        <f>IF(T4041='Analysis backend'!$L$1,IF(ISERROR(MATCH('Analysis backend'!$M$1,E4041:I4041,0)),"Dire","Radiant"),"")</f>
        <v/>
      </c>
    </row>
    <row r="4042" spans="20:21" x14ac:dyDescent="0.3">
      <c r="T4042" t="str">
        <f>IF(ISERROR(MATCH('Analysis backend'!$M$1,E4042:N4042,0)),"",'Analysis backend'!$L$1)</f>
        <v/>
      </c>
      <c r="U4042" t="str">
        <f>IF(T4042='Analysis backend'!$L$1,IF(ISERROR(MATCH('Analysis backend'!$M$1,E4042:I4042,0)),"Dire","Radiant"),"")</f>
        <v/>
      </c>
    </row>
    <row r="4043" spans="20:21" x14ac:dyDescent="0.3">
      <c r="T4043" t="str">
        <f>IF(ISERROR(MATCH('Analysis backend'!$M$1,E4043:N4043,0)),"",'Analysis backend'!$L$1)</f>
        <v/>
      </c>
      <c r="U4043" t="str">
        <f>IF(T4043='Analysis backend'!$L$1,IF(ISERROR(MATCH('Analysis backend'!$M$1,E4043:I4043,0)),"Dire","Radiant"),"")</f>
        <v/>
      </c>
    </row>
    <row r="4044" spans="20:21" x14ac:dyDescent="0.3">
      <c r="T4044" t="str">
        <f>IF(ISERROR(MATCH('Analysis backend'!$M$1,E4044:N4044,0)),"",'Analysis backend'!$L$1)</f>
        <v/>
      </c>
      <c r="U4044" t="str">
        <f>IF(T4044='Analysis backend'!$L$1,IF(ISERROR(MATCH('Analysis backend'!$M$1,E4044:I4044,0)),"Dire","Radiant"),"")</f>
        <v/>
      </c>
    </row>
    <row r="4045" spans="20:21" x14ac:dyDescent="0.3">
      <c r="T4045" t="str">
        <f>IF(ISERROR(MATCH('Analysis backend'!$M$1,E4045:N4045,0)),"",'Analysis backend'!$L$1)</f>
        <v/>
      </c>
      <c r="U4045" t="str">
        <f>IF(T4045='Analysis backend'!$L$1,IF(ISERROR(MATCH('Analysis backend'!$M$1,E4045:I4045,0)),"Dire","Radiant"),"")</f>
        <v/>
      </c>
    </row>
    <row r="4046" spans="20:21" x14ac:dyDescent="0.3">
      <c r="T4046" t="str">
        <f>IF(ISERROR(MATCH('Analysis backend'!$M$1,E4046:N4046,0)),"",'Analysis backend'!$L$1)</f>
        <v/>
      </c>
      <c r="U4046" t="str">
        <f>IF(T4046='Analysis backend'!$L$1,IF(ISERROR(MATCH('Analysis backend'!$M$1,E4046:I4046,0)),"Dire","Radiant"),"")</f>
        <v/>
      </c>
    </row>
    <row r="4047" spans="20:21" x14ac:dyDescent="0.3">
      <c r="T4047" t="str">
        <f>IF(ISERROR(MATCH('Analysis backend'!$M$1,E4047:N4047,0)),"",'Analysis backend'!$L$1)</f>
        <v/>
      </c>
      <c r="U4047" t="str">
        <f>IF(T4047='Analysis backend'!$L$1,IF(ISERROR(MATCH('Analysis backend'!$M$1,E4047:I4047,0)),"Dire","Radiant"),"")</f>
        <v/>
      </c>
    </row>
    <row r="4048" spans="20:21" x14ac:dyDescent="0.3">
      <c r="T4048" t="str">
        <f>IF(ISERROR(MATCH('Analysis backend'!$M$1,E4048:N4048,0)),"",'Analysis backend'!$L$1)</f>
        <v/>
      </c>
      <c r="U4048" t="str">
        <f>IF(T4048='Analysis backend'!$L$1,IF(ISERROR(MATCH('Analysis backend'!$M$1,E4048:I4048,0)),"Dire","Radiant"),"")</f>
        <v/>
      </c>
    </row>
    <row r="4049" spans="20:21" x14ac:dyDescent="0.3">
      <c r="T4049" t="str">
        <f>IF(ISERROR(MATCH('Analysis backend'!$M$1,E4049:N4049,0)),"",'Analysis backend'!$L$1)</f>
        <v/>
      </c>
      <c r="U4049" t="str">
        <f>IF(T4049='Analysis backend'!$L$1,IF(ISERROR(MATCH('Analysis backend'!$M$1,E4049:I4049,0)),"Dire","Radiant"),"")</f>
        <v/>
      </c>
    </row>
    <row r="4050" spans="20:21" x14ac:dyDescent="0.3">
      <c r="T4050" t="str">
        <f>IF(ISERROR(MATCH('Analysis backend'!$M$1,E4050:N4050,0)),"",'Analysis backend'!$L$1)</f>
        <v/>
      </c>
      <c r="U4050" t="str">
        <f>IF(T4050='Analysis backend'!$L$1,IF(ISERROR(MATCH('Analysis backend'!$M$1,E4050:I4050,0)),"Dire","Radiant"),"")</f>
        <v/>
      </c>
    </row>
    <row r="4051" spans="20:21" x14ac:dyDescent="0.3">
      <c r="T4051" t="str">
        <f>IF(ISERROR(MATCH('Analysis backend'!$M$1,E4051:N4051,0)),"",'Analysis backend'!$L$1)</f>
        <v/>
      </c>
      <c r="U4051" t="str">
        <f>IF(T4051='Analysis backend'!$L$1,IF(ISERROR(MATCH('Analysis backend'!$M$1,E4051:I4051,0)),"Dire","Radiant"),"")</f>
        <v/>
      </c>
    </row>
    <row r="4052" spans="20:21" x14ac:dyDescent="0.3">
      <c r="T4052" t="str">
        <f>IF(ISERROR(MATCH('Analysis backend'!$M$1,E4052:N4052,0)),"",'Analysis backend'!$L$1)</f>
        <v/>
      </c>
      <c r="U4052" t="str">
        <f>IF(T4052='Analysis backend'!$L$1,IF(ISERROR(MATCH('Analysis backend'!$M$1,E4052:I4052,0)),"Dire","Radiant"),"")</f>
        <v/>
      </c>
    </row>
    <row r="4053" spans="20:21" x14ac:dyDescent="0.3">
      <c r="T4053" t="str">
        <f>IF(ISERROR(MATCH('Analysis backend'!$M$1,E4053:N4053,0)),"",'Analysis backend'!$L$1)</f>
        <v/>
      </c>
      <c r="U4053" t="str">
        <f>IF(T4053='Analysis backend'!$L$1,IF(ISERROR(MATCH('Analysis backend'!$M$1,E4053:I4053,0)),"Dire","Radiant"),"")</f>
        <v/>
      </c>
    </row>
    <row r="4054" spans="20:21" x14ac:dyDescent="0.3">
      <c r="T4054" t="str">
        <f>IF(ISERROR(MATCH('Analysis backend'!$M$1,E4054:N4054,0)),"",'Analysis backend'!$L$1)</f>
        <v/>
      </c>
      <c r="U4054" t="str">
        <f>IF(T4054='Analysis backend'!$L$1,IF(ISERROR(MATCH('Analysis backend'!$M$1,E4054:I4054,0)),"Dire","Radiant"),"")</f>
        <v/>
      </c>
    </row>
    <row r="4055" spans="20:21" x14ac:dyDescent="0.3">
      <c r="T4055" t="str">
        <f>IF(ISERROR(MATCH('Analysis backend'!$M$1,E4055:N4055,0)),"",'Analysis backend'!$L$1)</f>
        <v/>
      </c>
      <c r="U4055" t="str">
        <f>IF(T4055='Analysis backend'!$L$1,IF(ISERROR(MATCH('Analysis backend'!$M$1,E4055:I4055,0)),"Dire","Radiant"),"")</f>
        <v/>
      </c>
    </row>
    <row r="4056" spans="20:21" x14ac:dyDescent="0.3">
      <c r="T4056" t="str">
        <f>IF(ISERROR(MATCH('Analysis backend'!$M$1,E4056:N4056,0)),"",'Analysis backend'!$L$1)</f>
        <v/>
      </c>
      <c r="U4056" t="str">
        <f>IF(T4056='Analysis backend'!$L$1,IF(ISERROR(MATCH('Analysis backend'!$M$1,E4056:I4056,0)),"Dire","Radiant"),"")</f>
        <v/>
      </c>
    </row>
    <row r="4057" spans="20:21" x14ac:dyDescent="0.3">
      <c r="T4057" t="str">
        <f>IF(ISERROR(MATCH('Analysis backend'!$M$1,E4057:N4057,0)),"",'Analysis backend'!$L$1)</f>
        <v/>
      </c>
      <c r="U4057" t="str">
        <f>IF(T4057='Analysis backend'!$L$1,IF(ISERROR(MATCH('Analysis backend'!$M$1,E4057:I4057,0)),"Dire","Radiant"),"")</f>
        <v/>
      </c>
    </row>
    <row r="4058" spans="20:21" x14ac:dyDescent="0.3">
      <c r="T4058" t="str">
        <f>IF(ISERROR(MATCH('Analysis backend'!$M$1,E4058:N4058,0)),"",'Analysis backend'!$L$1)</f>
        <v/>
      </c>
      <c r="U4058" t="str">
        <f>IF(T4058='Analysis backend'!$L$1,IF(ISERROR(MATCH('Analysis backend'!$M$1,E4058:I4058,0)),"Dire","Radiant"),"")</f>
        <v/>
      </c>
    </row>
    <row r="4059" spans="20:21" x14ac:dyDescent="0.3">
      <c r="T4059" t="str">
        <f>IF(ISERROR(MATCH('Analysis backend'!$M$1,E4059:N4059,0)),"",'Analysis backend'!$L$1)</f>
        <v/>
      </c>
      <c r="U4059" t="str">
        <f>IF(T4059='Analysis backend'!$L$1,IF(ISERROR(MATCH('Analysis backend'!$M$1,E4059:I4059,0)),"Dire","Radiant"),"")</f>
        <v/>
      </c>
    </row>
    <row r="4060" spans="20:21" x14ac:dyDescent="0.3">
      <c r="T4060" t="str">
        <f>IF(ISERROR(MATCH('Analysis backend'!$M$1,E4060:N4060,0)),"",'Analysis backend'!$L$1)</f>
        <v/>
      </c>
      <c r="U4060" t="str">
        <f>IF(T4060='Analysis backend'!$L$1,IF(ISERROR(MATCH('Analysis backend'!$M$1,E4060:I4060,0)),"Dire","Radiant"),"")</f>
        <v/>
      </c>
    </row>
    <row r="4061" spans="20:21" x14ac:dyDescent="0.3">
      <c r="T4061" t="str">
        <f>IF(ISERROR(MATCH('Analysis backend'!$M$1,E4061:N4061,0)),"",'Analysis backend'!$L$1)</f>
        <v/>
      </c>
      <c r="U4061" t="str">
        <f>IF(T4061='Analysis backend'!$L$1,IF(ISERROR(MATCH('Analysis backend'!$M$1,E4061:I4061,0)),"Dire","Radiant"),"")</f>
        <v/>
      </c>
    </row>
    <row r="4062" spans="20:21" x14ac:dyDescent="0.3">
      <c r="T4062" t="str">
        <f>IF(ISERROR(MATCH('Analysis backend'!$M$1,E4062:N4062,0)),"",'Analysis backend'!$L$1)</f>
        <v/>
      </c>
      <c r="U4062" t="str">
        <f>IF(T4062='Analysis backend'!$L$1,IF(ISERROR(MATCH('Analysis backend'!$M$1,E4062:I4062,0)),"Dire","Radiant"),"")</f>
        <v/>
      </c>
    </row>
    <row r="4063" spans="20:21" x14ac:dyDescent="0.3">
      <c r="T4063" t="str">
        <f>IF(ISERROR(MATCH('Analysis backend'!$M$1,E4063:N4063,0)),"",'Analysis backend'!$L$1)</f>
        <v/>
      </c>
      <c r="U4063" t="str">
        <f>IF(T4063='Analysis backend'!$L$1,IF(ISERROR(MATCH('Analysis backend'!$M$1,E4063:I4063,0)),"Dire","Radiant"),"")</f>
        <v/>
      </c>
    </row>
    <row r="4064" spans="20:21" x14ac:dyDescent="0.3">
      <c r="T4064" t="str">
        <f>IF(ISERROR(MATCH('Analysis backend'!$M$1,E4064:N4064,0)),"",'Analysis backend'!$L$1)</f>
        <v/>
      </c>
      <c r="U4064" t="str">
        <f>IF(T4064='Analysis backend'!$L$1,IF(ISERROR(MATCH('Analysis backend'!$M$1,E4064:I4064,0)),"Dire","Radiant"),"")</f>
        <v/>
      </c>
    </row>
    <row r="4065" spans="20:21" x14ac:dyDescent="0.3">
      <c r="T4065" t="str">
        <f>IF(ISERROR(MATCH('Analysis backend'!$M$1,E4065:N4065,0)),"",'Analysis backend'!$L$1)</f>
        <v/>
      </c>
      <c r="U4065" t="str">
        <f>IF(T4065='Analysis backend'!$L$1,IF(ISERROR(MATCH('Analysis backend'!$M$1,E4065:I4065,0)),"Dire","Radiant"),"")</f>
        <v/>
      </c>
    </row>
    <row r="4066" spans="20:21" x14ac:dyDescent="0.3">
      <c r="T4066" t="str">
        <f>IF(ISERROR(MATCH('Analysis backend'!$M$1,E4066:N4066,0)),"",'Analysis backend'!$L$1)</f>
        <v/>
      </c>
      <c r="U4066" t="str">
        <f>IF(T4066='Analysis backend'!$L$1,IF(ISERROR(MATCH('Analysis backend'!$M$1,E4066:I4066,0)),"Dire","Radiant"),"")</f>
        <v/>
      </c>
    </row>
    <row r="4067" spans="20:21" x14ac:dyDescent="0.3">
      <c r="T4067" t="str">
        <f>IF(ISERROR(MATCH('Analysis backend'!$M$1,E4067:N4067,0)),"",'Analysis backend'!$L$1)</f>
        <v/>
      </c>
      <c r="U4067" t="str">
        <f>IF(T4067='Analysis backend'!$L$1,IF(ISERROR(MATCH('Analysis backend'!$M$1,E4067:I4067,0)),"Dire","Radiant"),"")</f>
        <v/>
      </c>
    </row>
    <row r="4068" spans="20:21" x14ac:dyDescent="0.3">
      <c r="T4068" t="str">
        <f>IF(ISERROR(MATCH('Analysis backend'!$M$1,E4068:N4068,0)),"",'Analysis backend'!$L$1)</f>
        <v/>
      </c>
      <c r="U4068" t="str">
        <f>IF(T4068='Analysis backend'!$L$1,IF(ISERROR(MATCH('Analysis backend'!$M$1,E4068:I4068,0)),"Dire","Radiant"),"")</f>
        <v/>
      </c>
    </row>
    <row r="4069" spans="20:21" x14ac:dyDescent="0.3">
      <c r="T4069" t="str">
        <f>IF(ISERROR(MATCH('Analysis backend'!$M$1,E4069:N4069,0)),"",'Analysis backend'!$L$1)</f>
        <v/>
      </c>
      <c r="U4069" t="str">
        <f>IF(T4069='Analysis backend'!$L$1,IF(ISERROR(MATCH('Analysis backend'!$M$1,E4069:I4069,0)),"Dire","Radiant"),"")</f>
        <v/>
      </c>
    </row>
    <row r="4070" spans="20:21" x14ac:dyDescent="0.3">
      <c r="T4070" t="str">
        <f>IF(ISERROR(MATCH('Analysis backend'!$M$1,E4070:N4070,0)),"",'Analysis backend'!$L$1)</f>
        <v/>
      </c>
      <c r="U4070" t="str">
        <f>IF(T4070='Analysis backend'!$L$1,IF(ISERROR(MATCH('Analysis backend'!$M$1,E4070:I4070,0)),"Dire","Radiant"),"")</f>
        <v/>
      </c>
    </row>
    <row r="4071" spans="20:21" x14ac:dyDescent="0.3">
      <c r="T4071" t="str">
        <f>IF(ISERROR(MATCH('Analysis backend'!$M$1,E4071:N4071,0)),"",'Analysis backend'!$L$1)</f>
        <v/>
      </c>
      <c r="U4071" t="str">
        <f>IF(T4071='Analysis backend'!$L$1,IF(ISERROR(MATCH('Analysis backend'!$M$1,E4071:I4071,0)),"Dire","Radiant"),"")</f>
        <v/>
      </c>
    </row>
    <row r="4072" spans="20:21" x14ac:dyDescent="0.3">
      <c r="T4072" t="str">
        <f>IF(ISERROR(MATCH('Analysis backend'!$M$1,E4072:N4072,0)),"",'Analysis backend'!$L$1)</f>
        <v/>
      </c>
      <c r="U4072" t="str">
        <f>IF(T4072='Analysis backend'!$L$1,IF(ISERROR(MATCH('Analysis backend'!$M$1,E4072:I4072,0)),"Dire","Radiant"),"")</f>
        <v/>
      </c>
    </row>
    <row r="4073" spans="20:21" x14ac:dyDescent="0.3">
      <c r="T4073" t="str">
        <f>IF(ISERROR(MATCH('Analysis backend'!$M$1,E4073:N4073,0)),"",'Analysis backend'!$L$1)</f>
        <v/>
      </c>
      <c r="U4073" t="str">
        <f>IF(T4073='Analysis backend'!$L$1,IF(ISERROR(MATCH('Analysis backend'!$M$1,E4073:I4073,0)),"Dire","Radiant"),"")</f>
        <v/>
      </c>
    </row>
    <row r="4074" spans="20:21" x14ac:dyDescent="0.3">
      <c r="T4074" t="str">
        <f>IF(ISERROR(MATCH('Analysis backend'!$M$1,E4074:N4074,0)),"",'Analysis backend'!$L$1)</f>
        <v/>
      </c>
      <c r="U4074" t="str">
        <f>IF(T4074='Analysis backend'!$L$1,IF(ISERROR(MATCH('Analysis backend'!$M$1,E4074:I4074,0)),"Dire","Radiant"),"")</f>
        <v/>
      </c>
    </row>
    <row r="4075" spans="20:21" x14ac:dyDescent="0.3">
      <c r="T4075" t="str">
        <f>IF(ISERROR(MATCH('Analysis backend'!$M$1,E4075:N4075,0)),"",'Analysis backend'!$L$1)</f>
        <v/>
      </c>
      <c r="U4075" t="str">
        <f>IF(T4075='Analysis backend'!$L$1,IF(ISERROR(MATCH('Analysis backend'!$M$1,E4075:I4075,0)),"Dire","Radiant"),"")</f>
        <v/>
      </c>
    </row>
    <row r="4076" spans="20:21" x14ac:dyDescent="0.3">
      <c r="T4076" t="str">
        <f>IF(ISERROR(MATCH('Analysis backend'!$M$1,E4076:N4076,0)),"",'Analysis backend'!$L$1)</f>
        <v/>
      </c>
      <c r="U4076" t="str">
        <f>IF(T4076='Analysis backend'!$L$1,IF(ISERROR(MATCH('Analysis backend'!$M$1,E4076:I4076,0)),"Dire","Radiant"),"")</f>
        <v/>
      </c>
    </row>
    <row r="4077" spans="20:21" x14ac:dyDescent="0.3">
      <c r="T4077" t="str">
        <f>IF(ISERROR(MATCH('Analysis backend'!$M$1,E4077:N4077,0)),"",'Analysis backend'!$L$1)</f>
        <v/>
      </c>
      <c r="U4077" t="str">
        <f>IF(T4077='Analysis backend'!$L$1,IF(ISERROR(MATCH('Analysis backend'!$M$1,E4077:I4077,0)),"Dire","Radiant"),"")</f>
        <v/>
      </c>
    </row>
    <row r="4078" spans="20:21" x14ac:dyDescent="0.3">
      <c r="T4078" t="str">
        <f>IF(ISERROR(MATCH('Analysis backend'!$M$1,E4078:N4078,0)),"",'Analysis backend'!$L$1)</f>
        <v/>
      </c>
      <c r="U4078" t="str">
        <f>IF(T4078='Analysis backend'!$L$1,IF(ISERROR(MATCH('Analysis backend'!$M$1,E4078:I4078,0)),"Dire","Radiant"),"")</f>
        <v/>
      </c>
    </row>
    <row r="4079" spans="20:21" x14ac:dyDescent="0.3">
      <c r="T4079" t="str">
        <f>IF(ISERROR(MATCH('Analysis backend'!$M$1,E4079:N4079,0)),"",'Analysis backend'!$L$1)</f>
        <v/>
      </c>
      <c r="U4079" t="str">
        <f>IF(T4079='Analysis backend'!$L$1,IF(ISERROR(MATCH('Analysis backend'!$M$1,E4079:I4079,0)),"Dire","Radiant"),"")</f>
        <v/>
      </c>
    </row>
    <row r="4080" spans="20:21" x14ac:dyDescent="0.3">
      <c r="T4080" t="str">
        <f>IF(ISERROR(MATCH('Analysis backend'!$M$1,E4080:N4080,0)),"",'Analysis backend'!$L$1)</f>
        <v/>
      </c>
      <c r="U4080" t="str">
        <f>IF(T4080='Analysis backend'!$L$1,IF(ISERROR(MATCH('Analysis backend'!$M$1,E4080:I4080,0)),"Dire","Radiant"),"")</f>
        <v/>
      </c>
    </row>
    <row r="4081" spans="20:21" x14ac:dyDescent="0.3">
      <c r="T4081" t="str">
        <f>IF(ISERROR(MATCH('Analysis backend'!$M$1,E4081:N4081,0)),"",'Analysis backend'!$L$1)</f>
        <v/>
      </c>
      <c r="U4081" t="str">
        <f>IF(T4081='Analysis backend'!$L$1,IF(ISERROR(MATCH('Analysis backend'!$M$1,E4081:I4081,0)),"Dire","Radiant"),"")</f>
        <v/>
      </c>
    </row>
    <row r="4082" spans="20:21" x14ac:dyDescent="0.3">
      <c r="T4082" t="str">
        <f>IF(ISERROR(MATCH('Analysis backend'!$M$1,E4082:N4082,0)),"",'Analysis backend'!$L$1)</f>
        <v/>
      </c>
      <c r="U4082" t="str">
        <f>IF(T4082='Analysis backend'!$L$1,IF(ISERROR(MATCH('Analysis backend'!$M$1,E4082:I4082,0)),"Dire","Radiant"),"")</f>
        <v/>
      </c>
    </row>
    <row r="4083" spans="20:21" x14ac:dyDescent="0.3">
      <c r="T4083" t="str">
        <f>IF(ISERROR(MATCH('Analysis backend'!$M$1,E4083:N4083,0)),"",'Analysis backend'!$L$1)</f>
        <v/>
      </c>
      <c r="U4083" t="str">
        <f>IF(T4083='Analysis backend'!$L$1,IF(ISERROR(MATCH('Analysis backend'!$M$1,E4083:I4083,0)),"Dire","Radiant"),"")</f>
        <v/>
      </c>
    </row>
    <row r="4084" spans="20:21" x14ac:dyDescent="0.3">
      <c r="T4084" t="str">
        <f>IF(ISERROR(MATCH('Analysis backend'!$M$1,E4084:N4084,0)),"",'Analysis backend'!$L$1)</f>
        <v/>
      </c>
      <c r="U4084" t="str">
        <f>IF(T4084='Analysis backend'!$L$1,IF(ISERROR(MATCH('Analysis backend'!$M$1,E4084:I4084,0)),"Dire","Radiant"),"")</f>
        <v/>
      </c>
    </row>
    <row r="4085" spans="20:21" x14ac:dyDescent="0.3">
      <c r="T4085" t="str">
        <f>IF(ISERROR(MATCH('Analysis backend'!$M$1,E4085:N4085,0)),"",'Analysis backend'!$L$1)</f>
        <v/>
      </c>
      <c r="U4085" t="str">
        <f>IF(T4085='Analysis backend'!$L$1,IF(ISERROR(MATCH('Analysis backend'!$M$1,E4085:I4085,0)),"Dire","Radiant"),"")</f>
        <v/>
      </c>
    </row>
    <row r="4086" spans="20:21" x14ac:dyDescent="0.3">
      <c r="T4086" t="str">
        <f>IF(ISERROR(MATCH('Analysis backend'!$M$1,E4086:N4086,0)),"",'Analysis backend'!$L$1)</f>
        <v/>
      </c>
      <c r="U4086" t="str">
        <f>IF(T4086='Analysis backend'!$L$1,IF(ISERROR(MATCH('Analysis backend'!$M$1,E4086:I4086,0)),"Dire","Radiant"),"")</f>
        <v/>
      </c>
    </row>
    <row r="4087" spans="20:21" x14ac:dyDescent="0.3">
      <c r="T4087" t="str">
        <f>IF(ISERROR(MATCH('Analysis backend'!$M$1,E4087:N4087,0)),"",'Analysis backend'!$L$1)</f>
        <v/>
      </c>
      <c r="U4087" t="str">
        <f>IF(T4087='Analysis backend'!$L$1,IF(ISERROR(MATCH('Analysis backend'!$M$1,E4087:I4087,0)),"Dire","Radiant"),"")</f>
        <v/>
      </c>
    </row>
    <row r="4088" spans="20:21" x14ac:dyDescent="0.3">
      <c r="T4088" t="str">
        <f>IF(ISERROR(MATCH('Analysis backend'!$M$1,E4088:N4088,0)),"",'Analysis backend'!$L$1)</f>
        <v/>
      </c>
      <c r="U4088" t="str">
        <f>IF(T4088='Analysis backend'!$L$1,IF(ISERROR(MATCH('Analysis backend'!$M$1,E4088:I4088,0)),"Dire","Radiant"),"")</f>
        <v/>
      </c>
    </row>
    <row r="4089" spans="20:21" x14ac:dyDescent="0.3">
      <c r="T4089" t="str">
        <f>IF(ISERROR(MATCH('Analysis backend'!$M$1,E4089:N4089,0)),"",'Analysis backend'!$L$1)</f>
        <v/>
      </c>
      <c r="U4089" t="str">
        <f>IF(T4089='Analysis backend'!$L$1,IF(ISERROR(MATCH('Analysis backend'!$M$1,E4089:I4089,0)),"Dire","Radiant"),"")</f>
        <v/>
      </c>
    </row>
    <row r="4090" spans="20:21" x14ac:dyDescent="0.3">
      <c r="T4090" t="str">
        <f>IF(ISERROR(MATCH('Analysis backend'!$M$1,E4090:N4090,0)),"",'Analysis backend'!$L$1)</f>
        <v/>
      </c>
      <c r="U4090" t="str">
        <f>IF(T4090='Analysis backend'!$L$1,IF(ISERROR(MATCH('Analysis backend'!$M$1,E4090:I4090,0)),"Dire","Radiant"),"")</f>
        <v/>
      </c>
    </row>
    <row r="4091" spans="20:21" x14ac:dyDescent="0.3">
      <c r="T4091" t="str">
        <f>IF(ISERROR(MATCH('Analysis backend'!$M$1,E4091:N4091,0)),"",'Analysis backend'!$L$1)</f>
        <v/>
      </c>
      <c r="U4091" t="str">
        <f>IF(T4091='Analysis backend'!$L$1,IF(ISERROR(MATCH('Analysis backend'!$M$1,E4091:I4091,0)),"Dire","Radiant"),"")</f>
        <v/>
      </c>
    </row>
    <row r="4092" spans="20:21" x14ac:dyDescent="0.3">
      <c r="T4092" t="str">
        <f>IF(ISERROR(MATCH('Analysis backend'!$M$1,E4092:N4092,0)),"",'Analysis backend'!$L$1)</f>
        <v/>
      </c>
      <c r="U4092" t="str">
        <f>IF(T4092='Analysis backend'!$L$1,IF(ISERROR(MATCH('Analysis backend'!$M$1,E4092:I4092,0)),"Dire","Radiant"),"")</f>
        <v/>
      </c>
    </row>
    <row r="4093" spans="20:21" x14ac:dyDescent="0.3">
      <c r="T4093" t="str">
        <f>IF(ISERROR(MATCH('Analysis backend'!$M$1,E4093:N4093,0)),"",'Analysis backend'!$L$1)</f>
        <v/>
      </c>
      <c r="U4093" t="str">
        <f>IF(T4093='Analysis backend'!$L$1,IF(ISERROR(MATCH('Analysis backend'!$M$1,E4093:I4093,0)),"Dire","Radiant"),"")</f>
        <v/>
      </c>
    </row>
    <row r="4094" spans="20:21" x14ac:dyDescent="0.3">
      <c r="T4094" t="str">
        <f>IF(ISERROR(MATCH('Analysis backend'!$M$1,E4094:N4094,0)),"",'Analysis backend'!$L$1)</f>
        <v/>
      </c>
      <c r="U4094" t="str">
        <f>IF(T4094='Analysis backend'!$L$1,IF(ISERROR(MATCH('Analysis backend'!$M$1,E4094:I4094,0)),"Dire","Radiant"),"")</f>
        <v/>
      </c>
    </row>
    <row r="4095" spans="20:21" x14ac:dyDescent="0.3">
      <c r="T4095" t="str">
        <f>IF(ISERROR(MATCH('Analysis backend'!$M$1,E4095:N4095,0)),"",'Analysis backend'!$L$1)</f>
        <v/>
      </c>
      <c r="U4095" t="str">
        <f>IF(T4095='Analysis backend'!$L$1,IF(ISERROR(MATCH('Analysis backend'!$M$1,E4095:I4095,0)),"Dire","Radiant"),"")</f>
        <v/>
      </c>
    </row>
    <row r="4096" spans="20:21" x14ac:dyDescent="0.3">
      <c r="T4096" t="str">
        <f>IF(ISERROR(MATCH('Analysis backend'!$M$1,E4096:N4096,0)),"",'Analysis backend'!$L$1)</f>
        <v/>
      </c>
      <c r="U4096" t="str">
        <f>IF(T4096='Analysis backend'!$L$1,IF(ISERROR(MATCH('Analysis backend'!$M$1,E4096:I4096,0)),"Dire","Radiant"),"")</f>
        <v/>
      </c>
    </row>
    <row r="4097" spans="20:21" x14ac:dyDescent="0.3">
      <c r="T4097" t="str">
        <f>IF(ISERROR(MATCH('Analysis backend'!$M$1,E4097:N4097,0)),"",'Analysis backend'!$L$1)</f>
        <v/>
      </c>
      <c r="U4097" t="str">
        <f>IF(T4097='Analysis backend'!$L$1,IF(ISERROR(MATCH('Analysis backend'!$M$1,E4097:I4097,0)),"Dire","Radiant"),"")</f>
        <v/>
      </c>
    </row>
    <row r="4098" spans="20:21" x14ac:dyDescent="0.3">
      <c r="T4098" t="str">
        <f>IF(ISERROR(MATCH('Analysis backend'!$M$1,E4098:N4098,0)),"",'Analysis backend'!$L$1)</f>
        <v/>
      </c>
      <c r="U4098" t="str">
        <f>IF(T4098='Analysis backend'!$L$1,IF(ISERROR(MATCH('Analysis backend'!$M$1,E4098:I4098,0)),"Dire","Radiant"),"")</f>
        <v/>
      </c>
    </row>
    <row r="4099" spans="20:21" x14ac:dyDescent="0.3">
      <c r="T4099" t="str">
        <f>IF(ISERROR(MATCH('Analysis backend'!$M$1,E4099:N4099,0)),"",'Analysis backend'!$L$1)</f>
        <v/>
      </c>
      <c r="U4099" t="str">
        <f>IF(T4099='Analysis backend'!$L$1,IF(ISERROR(MATCH('Analysis backend'!$M$1,E4099:I4099,0)),"Dire","Radiant"),"")</f>
        <v/>
      </c>
    </row>
    <row r="4100" spans="20:21" x14ac:dyDescent="0.3">
      <c r="T4100" t="str">
        <f>IF(ISERROR(MATCH('Analysis backend'!$M$1,E4100:N4100,0)),"",'Analysis backend'!$L$1)</f>
        <v/>
      </c>
      <c r="U4100" t="str">
        <f>IF(T4100='Analysis backend'!$L$1,IF(ISERROR(MATCH('Analysis backend'!$M$1,E4100:I4100,0)),"Dire","Radiant"),"")</f>
        <v/>
      </c>
    </row>
    <row r="4101" spans="20:21" x14ac:dyDescent="0.3">
      <c r="T4101" t="str">
        <f>IF(ISERROR(MATCH('Analysis backend'!$M$1,E4101:N4101,0)),"",'Analysis backend'!$L$1)</f>
        <v/>
      </c>
      <c r="U4101" t="str">
        <f>IF(T4101='Analysis backend'!$L$1,IF(ISERROR(MATCH('Analysis backend'!$M$1,E4101:I4101,0)),"Dire","Radiant"),"")</f>
        <v/>
      </c>
    </row>
    <row r="4102" spans="20:21" x14ac:dyDescent="0.3">
      <c r="T4102" t="str">
        <f>IF(ISERROR(MATCH('Analysis backend'!$M$1,E4102:N4102,0)),"",'Analysis backend'!$L$1)</f>
        <v/>
      </c>
      <c r="U4102" t="str">
        <f>IF(T4102='Analysis backend'!$L$1,IF(ISERROR(MATCH('Analysis backend'!$M$1,E4102:I4102,0)),"Dire","Radiant"),"")</f>
        <v/>
      </c>
    </row>
    <row r="4103" spans="20:21" x14ac:dyDescent="0.3">
      <c r="T4103" t="str">
        <f>IF(ISERROR(MATCH('Analysis backend'!$M$1,E4103:N4103,0)),"",'Analysis backend'!$L$1)</f>
        <v/>
      </c>
      <c r="U4103" t="str">
        <f>IF(T4103='Analysis backend'!$L$1,IF(ISERROR(MATCH('Analysis backend'!$M$1,E4103:I4103,0)),"Dire","Radiant"),"")</f>
        <v/>
      </c>
    </row>
    <row r="4104" spans="20:21" x14ac:dyDescent="0.3">
      <c r="T4104" t="str">
        <f>IF(ISERROR(MATCH('Analysis backend'!$M$1,E4104:N4104,0)),"",'Analysis backend'!$L$1)</f>
        <v/>
      </c>
      <c r="U4104" t="str">
        <f>IF(T4104='Analysis backend'!$L$1,IF(ISERROR(MATCH('Analysis backend'!$M$1,E4104:I4104,0)),"Dire","Radiant"),"")</f>
        <v/>
      </c>
    </row>
    <row r="4105" spans="20:21" x14ac:dyDescent="0.3">
      <c r="T4105" t="str">
        <f>IF(ISERROR(MATCH('Analysis backend'!$M$1,E4105:N4105,0)),"",'Analysis backend'!$L$1)</f>
        <v/>
      </c>
      <c r="U4105" t="str">
        <f>IF(T4105='Analysis backend'!$L$1,IF(ISERROR(MATCH('Analysis backend'!$M$1,E4105:I4105,0)),"Dire","Radiant"),"")</f>
        <v/>
      </c>
    </row>
    <row r="4106" spans="20:21" x14ac:dyDescent="0.3">
      <c r="T4106" t="str">
        <f>IF(ISERROR(MATCH('Analysis backend'!$M$1,E4106:N4106,0)),"",'Analysis backend'!$L$1)</f>
        <v/>
      </c>
      <c r="U4106" t="str">
        <f>IF(T4106='Analysis backend'!$L$1,IF(ISERROR(MATCH('Analysis backend'!$M$1,E4106:I4106,0)),"Dire","Radiant"),"")</f>
        <v/>
      </c>
    </row>
    <row r="4107" spans="20:21" x14ac:dyDescent="0.3">
      <c r="T4107" t="str">
        <f>IF(ISERROR(MATCH('Analysis backend'!$M$1,E4107:N4107,0)),"",'Analysis backend'!$L$1)</f>
        <v/>
      </c>
      <c r="U4107" t="str">
        <f>IF(T4107='Analysis backend'!$L$1,IF(ISERROR(MATCH('Analysis backend'!$M$1,E4107:I4107,0)),"Dire","Radiant"),"")</f>
        <v/>
      </c>
    </row>
    <row r="4108" spans="20:21" x14ac:dyDescent="0.3">
      <c r="T4108" t="str">
        <f>IF(ISERROR(MATCH('Analysis backend'!$M$1,E4108:N4108,0)),"",'Analysis backend'!$L$1)</f>
        <v/>
      </c>
      <c r="U4108" t="str">
        <f>IF(T4108='Analysis backend'!$L$1,IF(ISERROR(MATCH('Analysis backend'!$M$1,E4108:I4108,0)),"Dire","Radiant"),"")</f>
        <v/>
      </c>
    </row>
    <row r="4109" spans="20:21" x14ac:dyDescent="0.3">
      <c r="T4109" t="str">
        <f>IF(ISERROR(MATCH('Analysis backend'!$M$1,E4109:N4109,0)),"",'Analysis backend'!$L$1)</f>
        <v/>
      </c>
      <c r="U4109" t="str">
        <f>IF(T4109='Analysis backend'!$L$1,IF(ISERROR(MATCH('Analysis backend'!$M$1,E4109:I4109,0)),"Dire","Radiant"),"")</f>
        <v/>
      </c>
    </row>
    <row r="4110" spans="20:21" x14ac:dyDescent="0.3">
      <c r="T4110" t="str">
        <f>IF(ISERROR(MATCH('Analysis backend'!$M$1,E4110:N4110,0)),"",'Analysis backend'!$L$1)</f>
        <v/>
      </c>
      <c r="U4110" t="str">
        <f>IF(T4110='Analysis backend'!$L$1,IF(ISERROR(MATCH('Analysis backend'!$M$1,E4110:I4110,0)),"Dire","Radiant"),"")</f>
        <v/>
      </c>
    </row>
    <row r="4111" spans="20:21" x14ac:dyDescent="0.3">
      <c r="T4111" t="str">
        <f>IF(ISERROR(MATCH('Analysis backend'!$M$1,E4111:N4111,0)),"",'Analysis backend'!$L$1)</f>
        <v/>
      </c>
      <c r="U4111" t="str">
        <f>IF(T4111='Analysis backend'!$L$1,IF(ISERROR(MATCH('Analysis backend'!$M$1,E4111:I4111,0)),"Dire","Radiant"),"")</f>
        <v/>
      </c>
    </row>
    <row r="4112" spans="20:21" x14ac:dyDescent="0.3">
      <c r="T4112" t="str">
        <f>IF(ISERROR(MATCH('Analysis backend'!$M$1,E4112:N4112,0)),"",'Analysis backend'!$L$1)</f>
        <v/>
      </c>
      <c r="U4112" t="str">
        <f>IF(T4112='Analysis backend'!$L$1,IF(ISERROR(MATCH('Analysis backend'!$M$1,E4112:I4112,0)),"Dire","Radiant"),"")</f>
        <v/>
      </c>
    </row>
    <row r="4113" spans="20:21" x14ac:dyDescent="0.3">
      <c r="T4113" t="str">
        <f>IF(ISERROR(MATCH('Analysis backend'!$M$1,E4113:N4113,0)),"",'Analysis backend'!$L$1)</f>
        <v/>
      </c>
      <c r="U4113" t="str">
        <f>IF(T4113='Analysis backend'!$L$1,IF(ISERROR(MATCH('Analysis backend'!$M$1,E4113:I4113,0)),"Dire","Radiant"),"")</f>
        <v/>
      </c>
    </row>
    <row r="4114" spans="20:21" x14ac:dyDescent="0.3">
      <c r="T4114" t="str">
        <f>IF(ISERROR(MATCH('Analysis backend'!$M$1,E4114:N4114,0)),"",'Analysis backend'!$L$1)</f>
        <v/>
      </c>
      <c r="U4114" t="str">
        <f>IF(T4114='Analysis backend'!$L$1,IF(ISERROR(MATCH('Analysis backend'!$M$1,E4114:I4114,0)),"Dire","Radiant"),"")</f>
        <v/>
      </c>
    </row>
    <row r="4115" spans="20:21" x14ac:dyDescent="0.3">
      <c r="T4115" t="str">
        <f>IF(ISERROR(MATCH('Analysis backend'!$M$1,E4115:N4115,0)),"",'Analysis backend'!$L$1)</f>
        <v/>
      </c>
      <c r="U4115" t="str">
        <f>IF(T4115='Analysis backend'!$L$1,IF(ISERROR(MATCH('Analysis backend'!$M$1,E4115:I4115,0)),"Dire","Radiant"),"")</f>
        <v/>
      </c>
    </row>
    <row r="4116" spans="20:21" x14ac:dyDescent="0.3">
      <c r="T4116" t="str">
        <f>IF(ISERROR(MATCH('Analysis backend'!$M$1,E4116:N4116,0)),"",'Analysis backend'!$L$1)</f>
        <v/>
      </c>
      <c r="U4116" t="str">
        <f>IF(T4116='Analysis backend'!$L$1,IF(ISERROR(MATCH('Analysis backend'!$M$1,E4116:I4116,0)),"Dire","Radiant"),"")</f>
        <v/>
      </c>
    </row>
    <row r="4117" spans="20:21" x14ac:dyDescent="0.3">
      <c r="T4117" t="str">
        <f>IF(ISERROR(MATCH('Analysis backend'!$M$1,E4117:N4117,0)),"",'Analysis backend'!$L$1)</f>
        <v/>
      </c>
      <c r="U4117" t="str">
        <f>IF(T4117='Analysis backend'!$L$1,IF(ISERROR(MATCH('Analysis backend'!$M$1,E4117:I4117,0)),"Dire","Radiant"),"")</f>
        <v/>
      </c>
    </row>
    <row r="4118" spans="20:21" x14ac:dyDescent="0.3">
      <c r="T4118" t="str">
        <f>IF(ISERROR(MATCH('Analysis backend'!$M$1,E4118:N4118,0)),"",'Analysis backend'!$L$1)</f>
        <v/>
      </c>
      <c r="U4118" t="str">
        <f>IF(T4118='Analysis backend'!$L$1,IF(ISERROR(MATCH('Analysis backend'!$M$1,E4118:I4118,0)),"Dire","Radiant"),"")</f>
        <v/>
      </c>
    </row>
    <row r="4119" spans="20:21" x14ac:dyDescent="0.3">
      <c r="T4119" t="str">
        <f>IF(ISERROR(MATCH('Analysis backend'!$M$1,E4119:N4119,0)),"",'Analysis backend'!$L$1)</f>
        <v/>
      </c>
      <c r="U4119" t="str">
        <f>IF(T4119='Analysis backend'!$L$1,IF(ISERROR(MATCH('Analysis backend'!$M$1,E4119:I4119,0)),"Dire","Radiant"),"")</f>
        <v/>
      </c>
    </row>
    <row r="4120" spans="20:21" x14ac:dyDescent="0.3">
      <c r="T4120" t="str">
        <f>IF(ISERROR(MATCH('Analysis backend'!$M$1,E4120:N4120,0)),"",'Analysis backend'!$L$1)</f>
        <v/>
      </c>
      <c r="U4120" t="str">
        <f>IF(T4120='Analysis backend'!$L$1,IF(ISERROR(MATCH('Analysis backend'!$M$1,E4120:I4120,0)),"Dire","Radiant"),"")</f>
        <v/>
      </c>
    </row>
    <row r="4121" spans="20:21" x14ac:dyDescent="0.3">
      <c r="T4121" t="str">
        <f>IF(ISERROR(MATCH('Analysis backend'!$M$1,E4121:N4121,0)),"",'Analysis backend'!$L$1)</f>
        <v/>
      </c>
      <c r="U4121" t="str">
        <f>IF(T4121='Analysis backend'!$L$1,IF(ISERROR(MATCH('Analysis backend'!$M$1,E4121:I4121,0)),"Dire","Radiant"),"")</f>
        <v/>
      </c>
    </row>
    <row r="4122" spans="20:21" x14ac:dyDescent="0.3">
      <c r="T4122" t="str">
        <f>IF(ISERROR(MATCH('Analysis backend'!$M$1,E4122:N4122,0)),"",'Analysis backend'!$L$1)</f>
        <v/>
      </c>
      <c r="U4122" t="str">
        <f>IF(T4122='Analysis backend'!$L$1,IF(ISERROR(MATCH('Analysis backend'!$M$1,E4122:I4122,0)),"Dire","Radiant"),"")</f>
        <v/>
      </c>
    </row>
    <row r="4123" spans="20:21" x14ac:dyDescent="0.3">
      <c r="T4123" t="str">
        <f>IF(ISERROR(MATCH('Analysis backend'!$M$1,E4123:N4123,0)),"",'Analysis backend'!$L$1)</f>
        <v/>
      </c>
      <c r="U4123" t="str">
        <f>IF(T4123='Analysis backend'!$L$1,IF(ISERROR(MATCH('Analysis backend'!$M$1,E4123:I4123,0)),"Dire","Radiant"),"")</f>
        <v/>
      </c>
    </row>
    <row r="4124" spans="20:21" x14ac:dyDescent="0.3">
      <c r="T4124" t="str">
        <f>IF(ISERROR(MATCH('Analysis backend'!$M$1,E4124:N4124,0)),"",'Analysis backend'!$L$1)</f>
        <v/>
      </c>
      <c r="U4124" t="str">
        <f>IF(T4124='Analysis backend'!$L$1,IF(ISERROR(MATCH('Analysis backend'!$M$1,E4124:I4124,0)),"Dire","Radiant"),"")</f>
        <v/>
      </c>
    </row>
    <row r="4125" spans="20:21" x14ac:dyDescent="0.3">
      <c r="T4125" t="str">
        <f>IF(ISERROR(MATCH('Analysis backend'!$M$1,E4125:N4125,0)),"",'Analysis backend'!$L$1)</f>
        <v/>
      </c>
      <c r="U4125" t="str">
        <f>IF(T4125='Analysis backend'!$L$1,IF(ISERROR(MATCH('Analysis backend'!$M$1,E4125:I4125,0)),"Dire","Radiant"),"")</f>
        <v/>
      </c>
    </row>
    <row r="4126" spans="20:21" x14ac:dyDescent="0.3">
      <c r="T4126" t="str">
        <f>IF(ISERROR(MATCH('Analysis backend'!$M$1,E4126:N4126,0)),"",'Analysis backend'!$L$1)</f>
        <v/>
      </c>
      <c r="U4126" t="str">
        <f>IF(T4126='Analysis backend'!$L$1,IF(ISERROR(MATCH('Analysis backend'!$M$1,E4126:I4126,0)),"Dire","Radiant"),"")</f>
        <v/>
      </c>
    </row>
    <row r="4127" spans="20:21" x14ac:dyDescent="0.3">
      <c r="T4127" t="str">
        <f>IF(ISERROR(MATCH('Analysis backend'!$M$1,E4127:N4127,0)),"",'Analysis backend'!$L$1)</f>
        <v/>
      </c>
      <c r="U4127" t="str">
        <f>IF(T4127='Analysis backend'!$L$1,IF(ISERROR(MATCH('Analysis backend'!$M$1,E4127:I4127,0)),"Dire","Radiant"),"")</f>
        <v/>
      </c>
    </row>
    <row r="4128" spans="20:21" x14ac:dyDescent="0.3">
      <c r="T4128" t="str">
        <f>IF(ISERROR(MATCH('Analysis backend'!$M$1,E4128:N4128,0)),"",'Analysis backend'!$L$1)</f>
        <v/>
      </c>
      <c r="U4128" t="str">
        <f>IF(T4128='Analysis backend'!$L$1,IF(ISERROR(MATCH('Analysis backend'!$M$1,E4128:I4128,0)),"Dire","Radiant"),"")</f>
        <v/>
      </c>
    </row>
    <row r="4129" spans="20:21" x14ac:dyDescent="0.3">
      <c r="T4129" t="str">
        <f>IF(ISERROR(MATCH('Analysis backend'!$M$1,E4129:N4129,0)),"",'Analysis backend'!$L$1)</f>
        <v/>
      </c>
      <c r="U4129" t="str">
        <f>IF(T4129='Analysis backend'!$L$1,IF(ISERROR(MATCH('Analysis backend'!$M$1,E4129:I4129,0)),"Dire","Radiant"),"")</f>
        <v/>
      </c>
    </row>
    <row r="4130" spans="20:21" x14ac:dyDescent="0.3">
      <c r="T4130" t="str">
        <f>IF(ISERROR(MATCH('Analysis backend'!$M$1,E4130:N4130,0)),"",'Analysis backend'!$L$1)</f>
        <v/>
      </c>
      <c r="U4130" t="str">
        <f>IF(T4130='Analysis backend'!$L$1,IF(ISERROR(MATCH('Analysis backend'!$M$1,E4130:I4130,0)),"Dire","Radiant"),"")</f>
        <v/>
      </c>
    </row>
    <row r="4131" spans="20:21" x14ac:dyDescent="0.3">
      <c r="T4131" t="str">
        <f>IF(ISERROR(MATCH('Analysis backend'!$M$1,E4131:N4131,0)),"",'Analysis backend'!$L$1)</f>
        <v/>
      </c>
      <c r="U4131" t="str">
        <f>IF(T4131='Analysis backend'!$L$1,IF(ISERROR(MATCH('Analysis backend'!$M$1,E4131:I4131,0)),"Dire","Radiant"),"")</f>
        <v/>
      </c>
    </row>
    <row r="4132" spans="20:21" x14ac:dyDescent="0.3">
      <c r="T4132" t="str">
        <f>IF(ISERROR(MATCH('Analysis backend'!$M$1,E4132:N4132,0)),"",'Analysis backend'!$L$1)</f>
        <v/>
      </c>
      <c r="U4132" t="str">
        <f>IF(T4132='Analysis backend'!$L$1,IF(ISERROR(MATCH('Analysis backend'!$M$1,E4132:I4132,0)),"Dire","Radiant"),"")</f>
        <v/>
      </c>
    </row>
    <row r="4133" spans="20:21" x14ac:dyDescent="0.3">
      <c r="T4133" t="str">
        <f>IF(ISERROR(MATCH('Analysis backend'!$M$1,E4133:N4133,0)),"",'Analysis backend'!$L$1)</f>
        <v/>
      </c>
      <c r="U4133" t="str">
        <f>IF(T4133='Analysis backend'!$L$1,IF(ISERROR(MATCH('Analysis backend'!$M$1,E4133:I4133,0)),"Dire","Radiant"),"")</f>
        <v/>
      </c>
    </row>
    <row r="4134" spans="20:21" x14ac:dyDescent="0.3">
      <c r="T4134" t="str">
        <f>IF(ISERROR(MATCH('Analysis backend'!$M$1,E4134:N4134,0)),"",'Analysis backend'!$L$1)</f>
        <v/>
      </c>
      <c r="U4134" t="str">
        <f>IF(T4134='Analysis backend'!$L$1,IF(ISERROR(MATCH('Analysis backend'!$M$1,E4134:I4134,0)),"Dire","Radiant"),"")</f>
        <v/>
      </c>
    </row>
    <row r="4135" spans="20:21" x14ac:dyDescent="0.3">
      <c r="T4135" t="str">
        <f>IF(ISERROR(MATCH('Analysis backend'!$M$1,E4135:N4135,0)),"",'Analysis backend'!$L$1)</f>
        <v/>
      </c>
      <c r="U4135" t="str">
        <f>IF(T4135='Analysis backend'!$L$1,IF(ISERROR(MATCH('Analysis backend'!$M$1,E4135:I4135,0)),"Dire","Radiant"),"")</f>
        <v/>
      </c>
    </row>
    <row r="4136" spans="20:21" x14ac:dyDescent="0.3">
      <c r="T4136" t="str">
        <f>IF(ISERROR(MATCH('Analysis backend'!$M$1,E4136:N4136,0)),"",'Analysis backend'!$L$1)</f>
        <v/>
      </c>
      <c r="U4136" t="str">
        <f>IF(T4136='Analysis backend'!$L$1,IF(ISERROR(MATCH('Analysis backend'!$M$1,E4136:I4136,0)),"Dire","Radiant"),"")</f>
        <v/>
      </c>
    </row>
    <row r="4137" spans="20:21" x14ac:dyDescent="0.3">
      <c r="T4137" t="str">
        <f>IF(ISERROR(MATCH('Analysis backend'!$M$1,E4137:N4137,0)),"",'Analysis backend'!$L$1)</f>
        <v/>
      </c>
      <c r="U4137" t="str">
        <f>IF(T4137='Analysis backend'!$L$1,IF(ISERROR(MATCH('Analysis backend'!$M$1,E4137:I4137,0)),"Dire","Radiant"),"")</f>
        <v/>
      </c>
    </row>
    <row r="4138" spans="20:21" x14ac:dyDescent="0.3">
      <c r="T4138" t="str">
        <f>IF(ISERROR(MATCH('Analysis backend'!$M$1,E4138:N4138,0)),"",'Analysis backend'!$L$1)</f>
        <v/>
      </c>
      <c r="U4138" t="str">
        <f>IF(T4138='Analysis backend'!$L$1,IF(ISERROR(MATCH('Analysis backend'!$M$1,E4138:I4138,0)),"Dire","Radiant"),"")</f>
        <v/>
      </c>
    </row>
    <row r="4139" spans="20:21" x14ac:dyDescent="0.3">
      <c r="T4139" t="str">
        <f>IF(ISERROR(MATCH('Analysis backend'!$M$1,E4139:N4139,0)),"",'Analysis backend'!$L$1)</f>
        <v/>
      </c>
      <c r="U4139" t="str">
        <f>IF(T4139='Analysis backend'!$L$1,IF(ISERROR(MATCH('Analysis backend'!$M$1,E4139:I4139,0)),"Dire","Radiant"),"")</f>
        <v/>
      </c>
    </row>
    <row r="4140" spans="20:21" x14ac:dyDescent="0.3">
      <c r="T4140" t="str">
        <f>IF(ISERROR(MATCH('Analysis backend'!$M$1,E4140:N4140,0)),"",'Analysis backend'!$L$1)</f>
        <v/>
      </c>
      <c r="U4140" t="str">
        <f>IF(T4140='Analysis backend'!$L$1,IF(ISERROR(MATCH('Analysis backend'!$M$1,E4140:I4140,0)),"Dire","Radiant"),"")</f>
        <v/>
      </c>
    </row>
    <row r="4141" spans="20:21" x14ac:dyDescent="0.3">
      <c r="T4141" t="str">
        <f>IF(ISERROR(MATCH('Analysis backend'!$M$1,E4141:N4141,0)),"",'Analysis backend'!$L$1)</f>
        <v/>
      </c>
      <c r="U4141" t="str">
        <f>IF(T4141='Analysis backend'!$L$1,IF(ISERROR(MATCH('Analysis backend'!$M$1,E4141:I4141,0)),"Dire","Radiant"),"")</f>
        <v/>
      </c>
    </row>
    <row r="4142" spans="20:21" x14ac:dyDescent="0.3">
      <c r="T4142" t="str">
        <f>IF(ISERROR(MATCH('Analysis backend'!$M$1,E4142:N4142,0)),"",'Analysis backend'!$L$1)</f>
        <v/>
      </c>
      <c r="U4142" t="str">
        <f>IF(T4142='Analysis backend'!$L$1,IF(ISERROR(MATCH('Analysis backend'!$M$1,E4142:I4142,0)),"Dire","Radiant"),"")</f>
        <v/>
      </c>
    </row>
    <row r="4143" spans="20:21" x14ac:dyDescent="0.3">
      <c r="T4143" t="str">
        <f>IF(ISERROR(MATCH('Analysis backend'!$M$1,E4143:N4143,0)),"",'Analysis backend'!$L$1)</f>
        <v/>
      </c>
      <c r="U4143" t="str">
        <f>IF(T4143='Analysis backend'!$L$1,IF(ISERROR(MATCH('Analysis backend'!$M$1,E4143:I4143,0)),"Dire","Radiant"),"")</f>
        <v/>
      </c>
    </row>
    <row r="4144" spans="20:21" x14ac:dyDescent="0.3">
      <c r="T4144" t="str">
        <f>IF(ISERROR(MATCH('Analysis backend'!$M$1,E4144:N4144,0)),"",'Analysis backend'!$L$1)</f>
        <v/>
      </c>
      <c r="U4144" t="str">
        <f>IF(T4144='Analysis backend'!$L$1,IF(ISERROR(MATCH('Analysis backend'!$M$1,E4144:I4144,0)),"Dire","Radiant"),"")</f>
        <v/>
      </c>
    </row>
    <row r="4145" spans="20:21" x14ac:dyDescent="0.3">
      <c r="T4145" t="str">
        <f>IF(ISERROR(MATCH('Analysis backend'!$M$1,E4145:N4145,0)),"",'Analysis backend'!$L$1)</f>
        <v/>
      </c>
      <c r="U4145" t="str">
        <f>IF(T4145='Analysis backend'!$L$1,IF(ISERROR(MATCH('Analysis backend'!$M$1,E4145:I4145,0)),"Dire","Radiant"),"")</f>
        <v/>
      </c>
    </row>
    <row r="4146" spans="20:21" x14ac:dyDescent="0.3">
      <c r="T4146" t="str">
        <f>IF(ISERROR(MATCH('Analysis backend'!$M$1,E4146:N4146,0)),"",'Analysis backend'!$L$1)</f>
        <v/>
      </c>
      <c r="U4146" t="str">
        <f>IF(T4146='Analysis backend'!$L$1,IF(ISERROR(MATCH('Analysis backend'!$M$1,E4146:I4146,0)),"Dire","Radiant"),"")</f>
        <v/>
      </c>
    </row>
    <row r="4147" spans="20:21" x14ac:dyDescent="0.3">
      <c r="T4147" t="str">
        <f>IF(ISERROR(MATCH('Analysis backend'!$M$1,E4147:N4147,0)),"",'Analysis backend'!$L$1)</f>
        <v/>
      </c>
      <c r="U4147" t="str">
        <f>IF(T4147='Analysis backend'!$L$1,IF(ISERROR(MATCH('Analysis backend'!$M$1,E4147:I4147,0)),"Dire","Radiant"),"")</f>
        <v/>
      </c>
    </row>
    <row r="4148" spans="20:21" x14ac:dyDescent="0.3">
      <c r="T4148" t="str">
        <f>IF(ISERROR(MATCH('Analysis backend'!$M$1,E4148:N4148,0)),"",'Analysis backend'!$L$1)</f>
        <v/>
      </c>
      <c r="U4148" t="str">
        <f>IF(T4148='Analysis backend'!$L$1,IF(ISERROR(MATCH('Analysis backend'!$M$1,E4148:I4148,0)),"Dire","Radiant"),"")</f>
        <v/>
      </c>
    </row>
    <row r="4149" spans="20:21" x14ac:dyDescent="0.3">
      <c r="T4149" t="str">
        <f>IF(ISERROR(MATCH('Analysis backend'!$M$1,E4149:N4149,0)),"",'Analysis backend'!$L$1)</f>
        <v/>
      </c>
      <c r="U4149" t="str">
        <f>IF(T4149='Analysis backend'!$L$1,IF(ISERROR(MATCH('Analysis backend'!$M$1,E4149:I4149,0)),"Dire","Radiant"),"")</f>
        <v/>
      </c>
    </row>
    <row r="4150" spans="20:21" x14ac:dyDescent="0.3">
      <c r="T4150" t="str">
        <f>IF(ISERROR(MATCH('Analysis backend'!$M$1,E4150:N4150,0)),"",'Analysis backend'!$L$1)</f>
        <v/>
      </c>
      <c r="U4150" t="str">
        <f>IF(T4150='Analysis backend'!$L$1,IF(ISERROR(MATCH('Analysis backend'!$M$1,E4150:I4150,0)),"Dire","Radiant"),"")</f>
        <v/>
      </c>
    </row>
    <row r="4151" spans="20:21" x14ac:dyDescent="0.3">
      <c r="T4151" t="str">
        <f>IF(ISERROR(MATCH('Analysis backend'!$M$1,E4151:N4151,0)),"",'Analysis backend'!$L$1)</f>
        <v/>
      </c>
      <c r="U4151" t="str">
        <f>IF(T4151='Analysis backend'!$L$1,IF(ISERROR(MATCH('Analysis backend'!$M$1,E4151:I4151,0)),"Dire","Radiant"),"")</f>
        <v/>
      </c>
    </row>
    <row r="4152" spans="20:21" x14ac:dyDescent="0.3">
      <c r="T4152" t="str">
        <f>IF(ISERROR(MATCH('Analysis backend'!$M$1,E4152:N4152,0)),"",'Analysis backend'!$L$1)</f>
        <v/>
      </c>
      <c r="U4152" t="str">
        <f>IF(T4152='Analysis backend'!$L$1,IF(ISERROR(MATCH('Analysis backend'!$M$1,E4152:I4152,0)),"Dire","Radiant"),"")</f>
        <v/>
      </c>
    </row>
    <row r="4153" spans="20:21" x14ac:dyDescent="0.3">
      <c r="T4153" t="str">
        <f>IF(ISERROR(MATCH('Analysis backend'!$M$1,E4153:N4153,0)),"",'Analysis backend'!$L$1)</f>
        <v/>
      </c>
      <c r="U4153" t="str">
        <f>IF(T4153='Analysis backend'!$L$1,IF(ISERROR(MATCH('Analysis backend'!$M$1,E4153:I4153,0)),"Dire","Radiant"),"")</f>
        <v/>
      </c>
    </row>
    <row r="4154" spans="20:21" x14ac:dyDescent="0.3">
      <c r="T4154" t="str">
        <f>IF(ISERROR(MATCH('Analysis backend'!$M$1,E4154:N4154,0)),"",'Analysis backend'!$L$1)</f>
        <v/>
      </c>
      <c r="U4154" t="str">
        <f>IF(T4154='Analysis backend'!$L$1,IF(ISERROR(MATCH('Analysis backend'!$M$1,E4154:I4154,0)),"Dire","Radiant"),"")</f>
        <v/>
      </c>
    </row>
    <row r="4155" spans="20:21" x14ac:dyDescent="0.3">
      <c r="T4155" t="str">
        <f>IF(ISERROR(MATCH('Analysis backend'!$M$1,E4155:N4155,0)),"",'Analysis backend'!$L$1)</f>
        <v/>
      </c>
      <c r="U4155" t="str">
        <f>IF(T4155='Analysis backend'!$L$1,IF(ISERROR(MATCH('Analysis backend'!$M$1,E4155:I4155,0)),"Dire","Radiant"),"")</f>
        <v/>
      </c>
    </row>
    <row r="4156" spans="20:21" x14ac:dyDescent="0.3">
      <c r="T4156" t="str">
        <f>IF(ISERROR(MATCH('Analysis backend'!$M$1,E4156:N4156,0)),"",'Analysis backend'!$L$1)</f>
        <v/>
      </c>
      <c r="U4156" t="str">
        <f>IF(T4156='Analysis backend'!$L$1,IF(ISERROR(MATCH('Analysis backend'!$M$1,E4156:I4156,0)),"Dire","Radiant"),"")</f>
        <v/>
      </c>
    </row>
    <row r="4157" spans="20:21" x14ac:dyDescent="0.3">
      <c r="T4157" t="str">
        <f>IF(ISERROR(MATCH('Analysis backend'!$M$1,E4157:N4157,0)),"",'Analysis backend'!$L$1)</f>
        <v/>
      </c>
      <c r="U4157" t="str">
        <f>IF(T4157='Analysis backend'!$L$1,IF(ISERROR(MATCH('Analysis backend'!$M$1,E4157:I4157,0)),"Dire","Radiant"),"")</f>
        <v/>
      </c>
    </row>
    <row r="4158" spans="20:21" x14ac:dyDescent="0.3">
      <c r="T4158" t="str">
        <f>IF(ISERROR(MATCH('Analysis backend'!$M$1,E4158:N4158,0)),"",'Analysis backend'!$L$1)</f>
        <v/>
      </c>
      <c r="U4158" t="str">
        <f>IF(T4158='Analysis backend'!$L$1,IF(ISERROR(MATCH('Analysis backend'!$M$1,E4158:I4158,0)),"Dire","Radiant"),"")</f>
        <v/>
      </c>
    </row>
    <row r="4159" spans="20:21" x14ac:dyDescent="0.3">
      <c r="T4159" t="str">
        <f>IF(ISERROR(MATCH('Analysis backend'!$M$1,E4159:N4159,0)),"",'Analysis backend'!$L$1)</f>
        <v/>
      </c>
      <c r="U4159" t="str">
        <f>IF(T4159='Analysis backend'!$L$1,IF(ISERROR(MATCH('Analysis backend'!$M$1,E4159:I4159,0)),"Dire","Radiant"),"")</f>
        <v/>
      </c>
    </row>
    <row r="4160" spans="20:21" x14ac:dyDescent="0.3">
      <c r="T4160" t="str">
        <f>IF(ISERROR(MATCH('Analysis backend'!$M$1,E4160:N4160,0)),"",'Analysis backend'!$L$1)</f>
        <v/>
      </c>
      <c r="U4160" t="str">
        <f>IF(T4160='Analysis backend'!$L$1,IF(ISERROR(MATCH('Analysis backend'!$M$1,E4160:I4160,0)),"Dire","Radiant"),"")</f>
        <v/>
      </c>
    </row>
    <row r="4161" spans="20:21" x14ac:dyDescent="0.3">
      <c r="T4161" t="str">
        <f>IF(ISERROR(MATCH('Analysis backend'!$M$1,E4161:N4161,0)),"",'Analysis backend'!$L$1)</f>
        <v/>
      </c>
      <c r="U4161" t="str">
        <f>IF(T4161='Analysis backend'!$L$1,IF(ISERROR(MATCH('Analysis backend'!$M$1,E4161:I4161,0)),"Dire","Radiant"),"")</f>
        <v/>
      </c>
    </row>
    <row r="4162" spans="20:21" x14ac:dyDescent="0.3">
      <c r="T4162" t="str">
        <f>IF(ISERROR(MATCH('Analysis backend'!$M$1,E4162:N4162,0)),"",'Analysis backend'!$L$1)</f>
        <v/>
      </c>
      <c r="U4162" t="str">
        <f>IF(T4162='Analysis backend'!$L$1,IF(ISERROR(MATCH('Analysis backend'!$M$1,E4162:I4162,0)),"Dire","Radiant"),"")</f>
        <v/>
      </c>
    </row>
    <row r="4163" spans="20:21" x14ac:dyDescent="0.3">
      <c r="T4163" t="str">
        <f>IF(ISERROR(MATCH('Analysis backend'!$M$1,E4163:N4163,0)),"",'Analysis backend'!$L$1)</f>
        <v/>
      </c>
      <c r="U4163" t="str">
        <f>IF(T4163='Analysis backend'!$L$1,IF(ISERROR(MATCH('Analysis backend'!$M$1,E4163:I4163,0)),"Dire","Radiant"),"")</f>
        <v/>
      </c>
    </row>
    <row r="4164" spans="20:21" x14ac:dyDescent="0.3">
      <c r="T4164" t="str">
        <f>IF(ISERROR(MATCH('Analysis backend'!$M$1,E4164:N4164,0)),"",'Analysis backend'!$L$1)</f>
        <v/>
      </c>
      <c r="U4164" t="str">
        <f>IF(T4164='Analysis backend'!$L$1,IF(ISERROR(MATCH('Analysis backend'!$M$1,E4164:I4164,0)),"Dire","Radiant"),"")</f>
        <v/>
      </c>
    </row>
    <row r="4165" spans="20:21" x14ac:dyDescent="0.3">
      <c r="T4165" t="str">
        <f>IF(ISERROR(MATCH('Analysis backend'!$M$1,E4165:N4165,0)),"",'Analysis backend'!$L$1)</f>
        <v/>
      </c>
      <c r="U4165" t="str">
        <f>IF(T4165='Analysis backend'!$L$1,IF(ISERROR(MATCH('Analysis backend'!$M$1,E4165:I4165,0)),"Dire","Radiant"),"")</f>
        <v/>
      </c>
    </row>
    <row r="4166" spans="20:21" x14ac:dyDescent="0.3">
      <c r="T4166" t="str">
        <f>IF(ISERROR(MATCH('Analysis backend'!$M$1,E4166:N4166,0)),"",'Analysis backend'!$L$1)</f>
        <v/>
      </c>
      <c r="U4166" t="str">
        <f>IF(T4166='Analysis backend'!$L$1,IF(ISERROR(MATCH('Analysis backend'!$M$1,E4166:I4166,0)),"Dire","Radiant"),"")</f>
        <v/>
      </c>
    </row>
    <row r="4167" spans="20:21" x14ac:dyDescent="0.3">
      <c r="T4167" t="str">
        <f>IF(ISERROR(MATCH('Analysis backend'!$M$1,E4167:N4167,0)),"",'Analysis backend'!$L$1)</f>
        <v/>
      </c>
      <c r="U4167" t="str">
        <f>IF(T4167='Analysis backend'!$L$1,IF(ISERROR(MATCH('Analysis backend'!$M$1,E4167:I4167,0)),"Dire","Radiant"),"")</f>
        <v/>
      </c>
    </row>
    <row r="4168" spans="20:21" x14ac:dyDescent="0.3">
      <c r="T4168" t="str">
        <f>IF(ISERROR(MATCH('Analysis backend'!$M$1,E4168:N4168,0)),"",'Analysis backend'!$L$1)</f>
        <v/>
      </c>
      <c r="U4168" t="str">
        <f>IF(T4168='Analysis backend'!$L$1,IF(ISERROR(MATCH('Analysis backend'!$M$1,E4168:I4168,0)),"Dire","Radiant"),"")</f>
        <v/>
      </c>
    </row>
    <row r="4169" spans="20:21" x14ac:dyDescent="0.3">
      <c r="T4169" t="str">
        <f>IF(ISERROR(MATCH('Analysis backend'!$M$1,E4169:N4169,0)),"",'Analysis backend'!$L$1)</f>
        <v/>
      </c>
      <c r="U4169" t="str">
        <f>IF(T4169='Analysis backend'!$L$1,IF(ISERROR(MATCH('Analysis backend'!$M$1,E4169:I4169,0)),"Dire","Radiant"),"")</f>
        <v/>
      </c>
    </row>
    <row r="4170" spans="20:21" x14ac:dyDescent="0.3">
      <c r="T4170" t="str">
        <f>IF(ISERROR(MATCH('Analysis backend'!$M$1,E4170:N4170,0)),"",'Analysis backend'!$L$1)</f>
        <v/>
      </c>
      <c r="U4170" t="str">
        <f>IF(T4170='Analysis backend'!$L$1,IF(ISERROR(MATCH('Analysis backend'!$M$1,E4170:I4170,0)),"Dire","Radiant"),"")</f>
        <v/>
      </c>
    </row>
    <row r="4171" spans="20:21" x14ac:dyDescent="0.3">
      <c r="T4171" t="str">
        <f>IF(ISERROR(MATCH('Analysis backend'!$M$1,E4171:N4171,0)),"",'Analysis backend'!$L$1)</f>
        <v/>
      </c>
      <c r="U4171" t="str">
        <f>IF(T4171='Analysis backend'!$L$1,IF(ISERROR(MATCH('Analysis backend'!$M$1,E4171:I4171,0)),"Dire","Radiant"),"")</f>
        <v/>
      </c>
    </row>
    <row r="4172" spans="20:21" x14ac:dyDescent="0.3">
      <c r="T4172" t="str">
        <f>IF(ISERROR(MATCH('Analysis backend'!$M$1,E4172:N4172,0)),"",'Analysis backend'!$L$1)</f>
        <v/>
      </c>
      <c r="U4172" t="str">
        <f>IF(T4172='Analysis backend'!$L$1,IF(ISERROR(MATCH('Analysis backend'!$M$1,E4172:I4172,0)),"Dire","Radiant"),"")</f>
        <v/>
      </c>
    </row>
    <row r="4173" spans="20:21" x14ac:dyDescent="0.3">
      <c r="T4173" t="str">
        <f>IF(ISERROR(MATCH('Analysis backend'!$M$1,E4173:N4173,0)),"",'Analysis backend'!$L$1)</f>
        <v/>
      </c>
      <c r="U4173" t="str">
        <f>IF(T4173='Analysis backend'!$L$1,IF(ISERROR(MATCH('Analysis backend'!$M$1,E4173:I4173,0)),"Dire","Radiant"),"")</f>
        <v/>
      </c>
    </row>
    <row r="4174" spans="20:21" x14ac:dyDescent="0.3">
      <c r="T4174" t="str">
        <f>IF(ISERROR(MATCH('Analysis backend'!$M$1,E4174:N4174,0)),"",'Analysis backend'!$L$1)</f>
        <v/>
      </c>
      <c r="U4174" t="str">
        <f>IF(T4174='Analysis backend'!$L$1,IF(ISERROR(MATCH('Analysis backend'!$M$1,E4174:I4174,0)),"Dire","Radiant"),"")</f>
        <v/>
      </c>
    </row>
    <row r="4175" spans="20:21" x14ac:dyDescent="0.3">
      <c r="T4175" t="str">
        <f>IF(ISERROR(MATCH('Analysis backend'!$M$1,E4175:N4175,0)),"",'Analysis backend'!$L$1)</f>
        <v/>
      </c>
      <c r="U4175" t="str">
        <f>IF(T4175='Analysis backend'!$L$1,IF(ISERROR(MATCH('Analysis backend'!$M$1,E4175:I4175,0)),"Dire","Radiant"),"")</f>
        <v/>
      </c>
    </row>
    <row r="4176" spans="20:21" x14ac:dyDescent="0.3">
      <c r="T4176" t="str">
        <f>IF(ISERROR(MATCH('Analysis backend'!$M$1,E4176:N4176,0)),"",'Analysis backend'!$L$1)</f>
        <v/>
      </c>
      <c r="U4176" t="str">
        <f>IF(T4176='Analysis backend'!$L$1,IF(ISERROR(MATCH('Analysis backend'!$M$1,E4176:I4176,0)),"Dire","Radiant"),"")</f>
        <v/>
      </c>
    </row>
    <row r="4177" spans="20:21" x14ac:dyDescent="0.3">
      <c r="T4177" t="str">
        <f>IF(ISERROR(MATCH('Analysis backend'!$M$1,E4177:N4177,0)),"",'Analysis backend'!$L$1)</f>
        <v/>
      </c>
      <c r="U4177" t="str">
        <f>IF(T4177='Analysis backend'!$L$1,IF(ISERROR(MATCH('Analysis backend'!$M$1,E4177:I4177,0)),"Dire","Radiant"),"")</f>
        <v/>
      </c>
    </row>
    <row r="4178" spans="20:21" x14ac:dyDescent="0.3">
      <c r="T4178" t="str">
        <f>IF(ISERROR(MATCH('Analysis backend'!$M$1,E4178:N4178,0)),"",'Analysis backend'!$L$1)</f>
        <v/>
      </c>
      <c r="U4178" t="str">
        <f>IF(T4178='Analysis backend'!$L$1,IF(ISERROR(MATCH('Analysis backend'!$M$1,E4178:I4178,0)),"Dire","Radiant"),"")</f>
        <v/>
      </c>
    </row>
    <row r="4179" spans="20:21" x14ac:dyDescent="0.3">
      <c r="T4179" t="str">
        <f>IF(ISERROR(MATCH('Analysis backend'!$M$1,E4179:N4179,0)),"",'Analysis backend'!$L$1)</f>
        <v/>
      </c>
      <c r="U4179" t="str">
        <f>IF(T4179='Analysis backend'!$L$1,IF(ISERROR(MATCH('Analysis backend'!$M$1,E4179:I4179,0)),"Dire","Radiant"),"")</f>
        <v/>
      </c>
    </row>
    <row r="4180" spans="20:21" x14ac:dyDescent="0.3">
      <c r="T4180" t="str">
        <f>IF(ISERROR(MATCH('Analysis backend'!$M$1,E4180:N4180,0)),"",'Analysis backend'!$L$1)</f>
        <v/>
      </c>
      <c r="U4180" t="str">
        <f>IF(T4180='Analysis backend'!$L$1,IF(ISERROR(MATCH('Analysis backend'!$M$1,E4180:I4180,0)),"Dire","Radiant"),"")</f>
        <v/>
      </c>
    </row>
    <row r="4181" spans="20:21" x14ac:dyDescent="0.3">
      <c r="T4181" t="str">
        <f>IF(ISERROR(MATCH('Analysis backend'!$M$1,E4181:N4181,0)),"",'Analysis backend'!$L$1)</f>
        <v/>
      </c>
      <c r="U4181" t="str">
        <f>IF(T4181='Analysis backend'!$L$1,IF(ISERROR(MATCH('Analysis backend'!$M$1,E4181:I4181,0)),"Dire","Radiant"),"")</f>
        <v/>
      </c>
    </row>
    <row r="4182" spans="20:21" x14ac:dyDescent="0.3">
      <c r="T4182" t="str">
        <f>IF(ISERROR(MATCH('Analysis backend'!$M$1,E4182:N4182,0)),"",'Analysis backend'!$L$1)</f>
        <v/>
      </c>
      <c r="U4182" t="str">
        <f>IF(T4182='Analysis backend'!$L$1,IF(ISERROR(MATCH('Analysis backend'!$M$1,E4182:I4182,0)),"Dire","Radiant"),"")</f>
        <v/>
      </c>
    </row>
    <row r="4183" spans="20:21" x14ac:dyDescent="0.3">
      <c r="T4183" t="str">
        <f>IF(ISERROR(MATCH('Analysis backend'!$M$1,E4183:N4183,0)),"",'Analysis backend'!$L$1)</f>
        <v/>
      </c>
      <c r="U4183" t="str">
        <f>IF(T4183='Analysis backend'!$L$1,IF(ISERROR(MATCH('Analysis backend'!$M$1,E4183:I4183,0)),"Dire","Radiant"),"")</f>
        <v/>
      </c>
    </row>
    <row r="4184" spans="20:21" x14ac:dyDescent="0.3">
      <c r="T4184" t="str">
        <f>IF(ISERROR(MATCH('Analysis backend'!$M$1,E4184:N4184,0)),"",'Analysis backend'!$L$1)</f>
        <v/>
      </c>
      <c r="U4184" t="str">
        <f>IF(T4184='Analysis backend'!$L$1,IF(ISERROR(MATCH('Analysis backend'!$M$1,E4184:I4184,0)),"Dire","Radiant"),"")</f>
        <v/>
      </c>
    </row>
    <row r="4185" spans="20:21" x14ac:dyDescent="0.3">
      <c r="T4185" t="str">
        <f>IF(ISERROR(MATCH('Analysis backend'!$M$1,E4185:N4185,0)),"",'Analysis backend'!$L$1)</f>
        <v/>
      </c>
      <c r="U4185" t="str">
        <f>IF(T4185='Analysis backend'!$L$1,IF(ISERROR(MATCH('Analysis backend'!$M$1,E4185:I4185,0)),"Dire","Radiant"),"")</f>
        <v/>
      </c>
    </row>
    <row r="4186" spans="20:21" x14ac:dyDescent="0.3">
      <c r="T4186" t="str">
        <f>IF(ISERROR(MATCH('Analysis backend'!$M$1,E4186:N4186,0)),"",'Analysis backend'!$L$1)</f>
        <v/>
      </c>
      <c r="U4186" t="str">
        <f>IF(T4186='Analysis backend'!$L$1,IF(ISERROR(MATCH('Analysis backend'!$M$1,E4186:I4186,0)),"Dire","Radiant"),"")</f>
        <v/>
      </c>
    </row>
    <row r="4187" spans="20:21" x14ac:dyDescent="0.3">
      <c r="T4187" t="str">
        <f>IF(ISERROR(MATCH('Analysis backend'!$M$1,E4187:N4187,0)),"",'Analysis backend'!$L$1)</f>
        <v/>
      </c>
      <c r="U4187" t="str">
        <f>IF(T4187='Analysis backend'!$L$1,IF(ISERROR(MATCH('Analysis backend'!$M$1,E4187:I4187,0)),"Dire","Radiant"),"")</f>
        <v/>
      </c>
    </row>
    <row r="4188" spans="20:21" x14ac:dyDescent="0.3">
      <c r="T4188" t="str">
        <f>IF(ISERROR(MATCH('Analysis backend'!$M$1,E4188:N4188,0)),"",'Analysis backend'!$L$1)</f>
        <v/>
      </c>
      <c r="U4188" t="str">
        <f>IF(T4188='Analysis backend'!$L$1,IF(ISERROR(MATCH('Analysis backend'!$M$1,E4188:I4188,0)),"Dire","Radiant"),"")</f>
        <v/>
      </c>
    </row>
    <row r="4189" spans="20:21" x14ac:dyDescent="0.3">
      <c r="T4189" t="str">
        <f>IF(ISERROR(MATCH('Analysis backend'!$M$1,E4189:N4189,0)),"",'Analysis backend'!$L$1)</f>
        <v/>
      </c>
      <c r="U4189" t="str">
        <f>IF(T4189='Analysis backend'!$L$1,IF(ISERROR(MATCH('Analysis backend'!$M$1,E4189:I4189,0)),"Dire","Radiant"),"")</f>
        <v/>
      </c>
    </row>
    <row r="4190" spans="20:21" x14ac:dyDescent="0.3">
      <c r="T4190" t="str">
        <f>IF(ISERROR(MATCH('Analysis backend'!$M$1,E4190:N4190,0)),"",'Analysis backend'!$L$1)</f>
        <v/>
      </c>
      <c r="U4190" t="str">
        <f>IF(T4190='Analysis backend'!$L$1,IF(ISERROR(MATCH('Analysis backend'!$M$1,E4190:I4190,0)),"Dire","Radiant"),"")</f>
        <v/>
      </c>
    </row>
    <row r="4191" spans="20:21" x14ac:dyDescent="0.3">
      <c r="T4191" t="str">
        <f>IF(ISERROR(MATCH('Analysis backend'!$M$1,E4191:N4191,0)),"",'Analysis backend'!$L$1)</f>
        <v/>
      </c>
      <c r="U4191" t="str">
        <f>IF(T4191='Analysis backend'!$L$1,IF(ISERROR(MATCH('Analysis backend'!$M$1,E4191:I4191,0)),"Dire","Radiant"),"")</f>
        <v/>
      </c>
    </row>
    <row r="4192" spans="20:21" x14ac:dyDescent="0.3">
      <c r="T4192" t="str">
        <f>IF(ISERROR(MATCH('Analysis backend'!$M$1,E4192:N4192,0)),"",'Analysis backend'!$L$1)</f>
        <v/>
      </c>
      <c r="U4192" t="str">
        <f>IF(T4192='Analysis backend'!$L$1,IF(ISERROR(MATCH('Analysis backend'!$M$1,E4192:I4192,0)),"Dire","Radiant"),"")</f>
        <v/>
      </c>
    </row>
    <row r="4193" spans="20:21" x14ac:dyDescent="0.3">
      <c r="T4193" t="str">
        <f>IF(ISERROR(MATCH('Analysis backend'!$M$1,E4193:N4193,0)),"",'Analysis backend'!$L$1)</f>
        <v/>
      </c>
      <c r="U4193" t="str">
        <f>IF(T4193='Analysis backend'!$L$1,IF(ISERROR(MATCH('Analysis backend'!$M$1,E4193:I4193,0)),"Dire","Radiant"),"")</f>
        <v/>
      </c>
    </row>
    <row r="4194" spans="20:21" x14ac:dyDescent="0.3">
      <c r="T4194" t="str">
        <f>IF(ISERROR(MATCH('Analysis backend'!$M$1,E4194:N4194,0)),"",'Analysis backend'!$L$1)</f>
        <v/>
      </c>
      <c r="U4194" t="str">
        <f>IF(T4194='Analysis backend'!$L$1,IF(ISERROR(MATCH('Analysis backend'!$M$1,E4194:I4194,0)),"Dire","Radiant"),"")</f>
        <v/>
      </c>
    </row>
    <row r="4195" spans="20:21" x14ac:dyDescent="0.3">
      <c r="T4195" t="str">
        <f>IF(ISERROR(MATCH('Analysis backend'!$M$1,E4195:N4195,0)),"",'Analysis backend'!$L$1)</f>
        <v/>
      </c>
      <c r="U4195" t="str">
        <f>IF(T4195='Analysis backend'!$L$1,IF(ISERROR(MATCH('Analysis backend'!$M$1,E4195:I4195,0)),"Dire","Radiant"),"")</f>
        <v/>
      </c>
    </row>
    <row r="4196" spans="20:21" x14ac:dyDescent="0.3">
      <c r="T4196" t="str">
        <f>IF(ISERROR(MATCH('Analysis backend'!$M$1,E4196:N4196,0)),"",'Analysis backend'!$L$1)</f>
        <v/>
      </c>
      <c r="U4196" t="str">
        <f>IF(T4196='Analysis backend'!$L$1,IF(ISERROR(MATCH('Analysis backend'!$M$1,E4196:I4196,0)),"Dire","Radiant"),"")</f>
        <v/>
      </c>
    </row>
    <row r="4197" spans="20:21" x14ac:dyDescent="0.3">
      <c r="T4197" t="str">
        <f>IF(ISERROR(MATCH('Analysis backend'!$M$1,E4197:N4197,0)),"",'Analysis backend'!$L$1)</f>
        <v/>
      </c>
      <c r="U4197" t="str">
        <f>IF(T4197='Analysis backend'!$L$1,IF(ISERROR(MATCH('Analysis backend'!$M$1,E4197:I4197,0)),"Dire","Radiant"),"")</f>
        <v/>
      </c>
    </row>
    <row r="4198" spans="20:21" x14ac:dyDescent="0.3">
      <c r="T4198" t="str">
        <f>IF(ISERROR(MATCH('Analysis backend'!$M$1,E4198:N4198,0)),"",'Analysis backend'!$L$1)</f>
        <v/>
      </c>
      <c r="U4198" t="str">
        <f>IF(T4198='Analysis backend'!$L$1,IF(ISERROR(MATCH('Analysis backend'!$M$1,E4198:I4198,0)),"Dire","Radiant"),"")</f>
        <v/>
      </c>
    </row>
    <row r="4199" spans="20:21" x14ac:dyDescent="0.3">
      <c r="T4199" t="str">
        <f>IF(ISERROR(MATCH('Analysis backend'!$M$1,E4199:N4199,0)),"",'Analysis backend'!$L$1)</f>
        <v/>
      </c>
      <c r="U4199" t="str">
        <f>IF(T4199='Analysis backend'!$L$1,IF(ISERROR(MATCH('Analysis backend'!$M$1,E4199:I4199,0)),"Dire","Radiant"),"")</f>
        <v/>
      </c>
    </row>
    <row r="4200" spans="20:21" x14ac:dyDescent="0.3">
      <c r="T4200" t="str">
        <f>IF(ISERROR(MATCH('Analysis backend'!$M$1,E4200:N4200,0)),"",'Analysis backend'!$L$1)</f>
        <v/>
      </c>
      <c r="U4200" t="str">
        <f>IF(T4200='Analysis backend'!$L$1,IF(ISERROR(MATCH('Analysis backend'!$M$1,E4200:I4200,0)),"Dire","Radiant"),"")</f>
        <v/>
      </c>
    </row>
    <row r="4201" spans="20:21" x14ac:dyDescent="0.3">
      <c r="T4201" t="str">
        <f>IF(ISERROR(MATCH('Analysis backend'!$M$1,E4201:N4201,0)),"",'Analysis backend'!$L$1)</f>
        <v/>
      </c>
      <c r="U4201" t="str">
        <f>IF(T4201='Analysis backend'!$L$1,IF(ISERROR(MATCH('Analysis backend'!$M$1,E4201:I4201,0)),"Dire","Radiant"),"")</f>
        <v/>
      </c>
    </row>
    <row r="4202" spans="20:21" x14ac:dyDescent="0.3">
      <c r="T4202" t="str">
        <f>IF(ISERROR(MATCH('Analysis backend'!$M$1,E4202:N4202,0)),"",'Analysis backend'!$L$1)</f>
        <v/>
      </c>
      <c r="U4202" t="str">
        <f>IF(T4202='Analysis backend'!$L$1,IF(ISERROR(MATCH('Analysis backend'!$M$1,E4202:I4202,0)),"Dire","Radiant"),"")</f>
        <v/>
      </c>
    </row>
    <row r="4203" spans="20:21" x14ac:dyDescent="0.3">
      <c r="T4203" t="str">
        <f>IF(ISERROR(MATCH('Analysis backend'!$M$1,E4203:N4203,0)),"",'Analysis backend'!$L$1)</f>
        <v/>
      </c>
      <c r="U4203" t="str">
        <f>IF(T4203='Analysis backend'!$L$1,IF(ISERROR(MATCH('Analysis backend'!$M$1,E4203:I4203,0)),"Dire","Radiant"),"")</f>
        <v/>
      </c>
    </row>
    <row r="4204" spans="20:21" x14ac:dyDescent="0.3">
      <c r="T4204" t="str">
        <f>IF(ISERROR(MATCH('Analysis backend'!$M$1,E4204:N4204,0)),"",'Analysis backend'!$L$1)</f>
        <v/>
      </c>
      <c r="U4204" t="str">
        <f>IF(T4204='Analysis backend'!$L$1,IF(ISERROR(MATCH('Analysis backend'!$M$1,E4204:I4204,0)),"Dire","Radiant"),"")</f>
        <v/>
      </c>
    </row>
    <row r="4205" spans="20:21" x14ac:dyDescent="0.3">
      <c r="T4205" t="str">
        <f>IF(ISERROR(MATCH('Analysis backend'!$M$1,E4205:N4205,0)),"",'Analysis backend'!$L$1)</f>
        <v/>
      </c>
      <c r="U4205" t="str">
        <f>IF(T4205='Analysis backend'!$L$1,IF(ISERROR(MATCH('Analysis backend'!$M$1,E4205:I4205,0)),"Dire","Radiant"),"")</f>
        <v/>
      </c>
    </row>
    <row r="4206" spans="20:21" x14ac:dyDescent="0.3">
      <c r="T4206" t="str">
        <f>IF(ISERROR(MATCH('Analysis backend'!$M$1,E4206:N4206,0)),"",'Analysis backend'!$L$1)</f>
        <v/>
      </c>
      <c r="U4206" t="str">
        <f>IF(T4206='Analysis backend'!$L$1,IF(ISERROR(MATCH('Analysis backend'!$M$1,E4206:I4206,0)),"Dire","Radiant"),"")</f>
        <v/>
      </c>
    </row>
    <row r="4207" spans="20:21" x14ac:dyDescent="0.3">
      <c r="T4207" t="str">
        <f>IF(ISERROR(MATCH('Analysis backend'!$M$1,E4207:N4207,0)),"",'Analysis backend'!$L$1)</f>
        <v/>
      </c>
      <c r="U4207" t="str">
        <f>IF(T4207='Analysis backend'!$L$1,IF(ISERROR(MATCH('Analysis backend'!$M$1,E4207:I4207,0)),"Dire","Radiant"),"")</f>
        <v/>
      </c>
    </row>
    <row r="4208" spans="20:21" x14ac:dyDescent="0.3">
      <c r="T4208" t="str">
        <f>IF(ISERROR(MATCH('Analysis backend'!$M$1,E4208:N4208,0)),"",'Analysis backend'!$L$1)</f>
        <v/>
      </c>
      <c r="U4208" t="str">
        <f>IF(T4208='Analysis backend'!$L$1,IF(ISERROR(MATCH('Analysis backend'!$M$1,E4208:I4208,0)),"Dire","Radiant"),"")</f>
        <v/>
      </c>
    </row>
    <row r="4209" spans="20:21" x14ac:dyDescent="0.3">
      <c r="T4209" t="str">
        <f>IF(ISERROR(MATCH('Analysis backend'!$M$1,E4209:N4209,0)),"",'Analysis backend'!$L$1)</f>
        <v/>
      </c>
      <c r="U4209" t="str">
        <f>IF(T4209='Analysis backend'!$L$1,IF(ISERROR(MATCH('Analysis backend'!$M$1,E4209:I4209,0)),"Dire","Radiant"),"")</f>
        <v/>
      </c>
    </row>
    <row r="4210" spans="20:21" x14ac:dyDescent="0.3">
      <c r="T4210" t="str">
        <f>IF(ISERROR(MATCH('Analysis backend'!$M$1,E4210:N4210,0)),"",'Analysis backend'!$L$1)</f>
        <v/>
      </c>
      <c r="U4210" t="str">
        <f>IF(T4210='Analysis backend'!$L$1,IF(ISERROR(MATCH('Analysis backend'!$M$1,E4210:I4210,0)),"Dire","Radiant"),"")</f>
        <v/>
      </c>
    </row>
    <row r="4211" spans="20:21" x14ac:dyDescent="0.3">
      <c r="T4211" t="str">
        <f>IF(ISERROR(MATCH('Analysis backend'!$M$1,E4211:N4211,0)),"",'Analysis backend'!$L$1)</f>
        <v/>
      </c>
      <c r="U4211" t="str">
        <f>IF(T4211='Analysis backend'!$L$1,IF(ISERROR(MATCH('Analysis backend'!$M$1,E4211:I4211,0)),"Dire","Radiant"),"")</f>
        <v/>
      </c>
    </row>
    <row r="4212" spans="20:21" x14ac:dyDescent="0.3">
      <c r="T4212" t="str">
        <f>IF(ISERROR(MATCH('Analysis backend'!$M$1,E4212:N4212,0)),"",'Analysis backend'!$L$1)</f>
        <v/>
      </c>
      <c r="U4212" t="str">
        <f>IF(T4212='Analysis backend'!$L$1,IF(ISERROR(MATCH('Analysis backend'!$M$1,E4212:I4212,0)),"Dire","Radiant"),"")</f>
        <v/>
      </c>
    </row>
    <row r="4213" spans="20:21" x14ac:dyDescent="0.3">
      <c r="T4213" t="str">
        <f>IF(ISERROR(MATCH('Analysis backend'!$M$1,E4213:N4213,0)),"",'Analysis backend'!$L$1)</f>
        <v/>
      </c>
      <c r="U4213" t="str">
        <f>IF(T4213='Analysis backend'!$L$1,IF(ISERROR(MATCH('Analysis backend'!$M$1,E4213:I4213,0)),"Dire","Radiant"),"")</f>
        <v/>
      </c>
    </row>
    <row r="4214" spans="20:21" x14ac:dyDescent="0.3">
      <c r="T4214" t="str">
        <f>IF(ISERROR(MATCH('Analysis backend'!$M$1,E4214:N4214,0)),"",'Analysis backend'!$L$1)</f>
        <v/>
      </c>
      <c r="U4214" t="str">
        <f>IF(T4214='Analysis backend'!$L$1,IF(ISERROR(MATCH('Analysis backend'!$M$1,E4214:I4214,0)),"Dire","Radiant"),"")</f>
        <v/>
      </c>
    </row>
    <row r="4215" spans="20:21" x14ac:dyDescent="0.3">
      <c r="T4215" t="str">
        <f>IF(ISERROR(MATCH('Analysis backend'!$M$1,E4215:N4215,0)),"",'Analysis backend'!$L$1)</f>
        <v/>
      </c>
      <c r="U4215" t="str">
        <f>IF(T4215='Analysis backend'!$L$1,IF(ISERROR(MATCH('Analysis backend'!$M$1,E4215:I4215,0)),"Dire","Radiant"),"")</f>
        <v/>
      </c>
    </row>
    <row r="4216" spans="20:21" x14ac:dyDescent="0.3">
      <c r="T4216" t="str">
        <f>IF(ISERROR(MATCH('Analysis backend'!$M$1,E4216:N4216,0)),"",'Analysis backend'!$L$1)</f>
        <v/>
      </c>
      <c r="U4216" t="str">
        <f>IF(T4216='Analysis backend'!$L$1,IF(ISERROR(MATCH('Analysis backend'!$M$1,E4216:I4216,0)),"Dire","Radiant"),"")</f>
        <v/>
      </c>
    </row>
    <row r="4217" spans="20:21" x14ac:dyDescent="0.3">
      <c r="T4217" t="str">
        <f>IF(ISERROR(MATCH('Analysis backend'!$M$1,E4217:N4217,0)),"",'Analysis backend'!$L$1)</f>
        <v/>
      </c>
      <c r="U4217" t="str">
        <f>IF(T4217='Analysis backend'!$L$1,IF(ISERROR(MATCH('Analysis backend'!$M$1,E4217:I4217,0)),"Dire","Radiant"),"")</f>
        <v/>
      </c>
    </row>
    <row r="4218" spans="20:21" x14ac:dyDescent="0.3">
      <c r="T4218" t="str">
        <f>IF(ISERROR(MATCH('Analysis backend'!$M$1,E4218:N4218,0)),"",'Analysis backend'!$L$1)</f>
        <v/>
      </c>
      <c r="U4218" t="str">
        <f>IF(T4218='Analysis backend'!$L$1,IF(ISERROR(MATCH('Analysis backend'!$M$1,E4218:I4218,0)),"Dire","Radiant"),"")</f>
        <v/>
      </c>
    </row>
    <row r="4219" spans="20:21" x14ac:dyDescent="0.3">
      <c r="T4219" t="str">
        <f>IF(ISERROR(MATCH('Analysis backend'!$M$1,E4219:N4219,0)),"",'Analysis backend'!$L$1)</f>
        <v/>
      </c>
      <c r="U4219" t="str">
        <f>IF(T4219='Analysis backend'!$L$1,IF(ISERROR(MATCH('Analysis backend'!$M$1,E4219:I4219,0)),"Dire","Radiant"),"")</f>
        <v/>
      </c>
    </row>
    <row r="4220" spans="20:21" x14ac:dyDescent="0.3">
      <c r="T4220" t="str">
        <f>IF(ISERROR(MATCH('Analysis backend'!$M$1,E4220:N4220,0)),"",'Analysis backend'!$L$1)</f>
        <v/>
      </c>
      <c r="U4220" t="str">
        <f>IF(T4220='Analysis backend'!$L$1,IF(ISERROR(MATCH('Analysis backend'!$M$1,E4220:I4220,0)),"Dire","Radiant"),"")</f>
        <v/>
      </c>
    </row>
    <row r="4221" spans="20:21" x14ac:dyDescent="0.3">
      <c r="T4221" t="str">
        <f>IF(ISERROR(MATCH('Analysis backend'!$M$1,E4221:N4221,0)),"",'Analysis backend'!$L$1)</f>
        <v/>
      </c>
      <c r="U4221" t="str">
        <f>IF(T4221='Analysis backend'!$L$1,IF(ISERROR(MATCH('Analysis backend'!$M$1,E4221:I4221,0)),"Dire","Radiant"),"")</f>
        <v/>
      </c>
    </row>
    <row r="4222" spans="20:21" x14ac:dyDescent="0.3">
      <c r="T4222" t="str">
        <f>IF(ISERROR(MATCH('Analysis backend'!$M$1,E4222:N4222,0)),"",'Analysis backend'!$L$1)</f>
        <v/>
      </c>
      <c r="U4222" t="str">
        <f>IF(T4222='Analysis backend'!$L$1,IF(ISERROR(MATCH('Analysis backend'!$M$1,E4222:I4222,0)),"Dire","Radiant"),"")</f>
        <v/>
      </c>
    </row>
    <row r="4223" spans="20:21" x14ac:dyDescent="0.3">
      <c r="T4223" t="str">
        <f>IF(ISERROR(MATCH('Analysis backend'!$M$1,E4223:N4223,0)),"",'Analysis backend'!$L$1)</f>
        <v/>
      </c>
      <c r="U4223" t="str">
        <f>IF(T4223='Analysis backend'!$L$1,IF(ISERROR(MATCH('Analysis backend'!$M$1,E4223:I4223,0)),"Dire","Radiant"),"")</f>
        <v/>
      </c>
    </row>
    <row r="4224" spans="20:21" x14ac:dyDescent="0.3">
      <c r="T4224" t="str">
        <f>IF(ISERROR(MATCH('Analysis backend'!$M$1,E4224:N4224,0)),"",'Analysis backend'!$L$1)</f>
        <v/>
      </c>
      <c r="U4224" t="str">
        <f>IF(T4224='Analysis backend'!$L$1,IF(ISERROR(MATCH('Analysis backend'!$M$1,E4224:I4224,0)),"Dire","Radiant"),"")</f>
        <v/>
      </c>
    </row>
    <row r="4225" spans="20:21" x14ac:dyDescent="0.3">
      <c r="T4225" t="str">
        <f>IF(ISERROR(MATCH('Analysis backend'!$M$1,E4225:N4225,0)),"",'Analysis backend'!$L$1)</f>
        <v/>
      </c>
      <c r="U4225" t="str">
        <f>IF(T4225='Analysis backend'!$L$1,IF(ISERROR(MATCH('Analysis backend'!$M$1,E4225:I4225,0)),"Dire","Radiant"),"")</f>
        <v/>
      </c>
    </row>
    <row r="4226" spans="20:21" x14ac:dyDescent="0.3">
      <c r="T4226" t="str">
        <f>IF(ISERROR(MATCH('Analysis backend'!$M$1,E4226:N4226,0)),"",'Analysis backend'!$L$1)</f>
        <v/>
      </c>
      <c r="U4226" t="str">
        <f>IF(T4226='Analysis backend'!$L$1,IF(ISERROR(MATCH('Analysis backend'!$M$1,E4226:I4226,0)),"Dire","Radiant"),"")</f>
        <v/>
      </c>
    </row>
    <row r="4227" spans="20:21" x14ac:dyDescent="0.3">
      <c r="T4227" t="str">
        <f>IF(ISERROR(MATCH('Analysis backend'!$M$1,E4227:N4227,0)),"",'Analysis backend'!$L$1)</f>
        <v/>
      </c>
      <c r="U4227" t="str">
        <f>IF(T4227='Analysis backend'!$L$1,IF(ISERROR(MATCH('Analysis backend'!$M$1,E4227:I4227,0)),"Dire","Radiant"),"")</f>
        <v/>
      </c>
    </row>
    <row r="4228" spans="20:21" x14ac:dyDescent="0.3">
      <c r="T4228" t="str">
        <f>IF(ISERROR(MATCH('Analysis backend'!$M$1,E4228:N4228,0)),"",'Analysis backend'!$L$1)</f>
        <v/>
      </c>
      <c r="U4228" t="str">
        <f>IF(T4228='Analysis backend'!$L$1,IF(ISERROR(MATCH('Analysis backend'!$M$1,E4228:I4228,0)),"Dire","Radiant"),"")</f>
        <v/>
      </c>
    </row>
    <row r="4229" spans="20:21" x14ac:dyDescent="0.3">
      <c r="T4229" t="str">
        <f>IF(ISERROR(MATCH('Analysis backend'!$M$1,E4229:N4229,0)),"",'Analysis backend'!$L$1)</f>
        <v/>
      </c>
      <c r="U4229" t="str">
        <f>IF(T4229='Analysis backend'!$L$1,IF(ISERROR(MATCH('Analysis backend'!$M$1,E4229:I4229,0)),"Dire","Radiant"),"")</f>
        <v/>
      </c>
    </row>
    <row r="4230" spans="20:21" x14ac:dyDescent="0.3">
      <c r="T4230" t="str">
        <f>IF(ISERROR(MATCH('Analysis backend'!$M$1,E4230:N4230,0)),"",'Analysis backend'!$L$1)</f>
        <v/>
      </c>
      <c r="U4230" t="str">
        <f>IF(T4230='Analysis backend'!$L$1,IF(ISERROR(MATCH('Analysis backend'!$M$1,E4230:I4230,0)),"Dire","Radiant"),"")</f>
        <v/>
      </c>
    </row>
    <row r="4231" spans="20:21" x14ac:dyDescent="0.3">
      <c r="T4231" t="str">
        <f>IF(ISERROR(MATCH('Analysis backend'!$M$1,E4231:N4231,0)),"",'Analysis backend'!$L$1)</f>
        <v/>
      </c>
      <c r="U4231" t="str">
        <f>IF(T4231='Analysis backend'!$L$1,IF(ISERROR(MATCH('Analysis backend'!$M$1,E4231:I4231,0)),"Dire","Radiant"),"")</f>
        <v/>
      </c>
    </row>
    <row r="4232" spans="20:21" x14ac:dyDescent="0.3">
      <c r="T4232" t="str">
        <f>IF(ISERROR(MATCH('Analysis backend'!$M$1,E4232:N4232,0)),"",'Analysis backend'!$L$1)</f>
        <v/>
      </c>
      <c r="U4232" t="str">
        <f>IF(T4232='Analysis backend'!$L$1,IF(ISERROR(MATCH('Analysis backend'!$M$1,E4232:I4232,0)),"Dire","Radiant"),"")</f>
        <v/>
      </c>
    </row>
    <row r="4233" spans="20:21" x14ac:dyDescent="0.3">
      <c r="T4233" t="str">
        <f>IF(ISERROR(MATCH('Analysis backend'!$M$1,E4233:N4233,0)),"",'Analysis backend'!$L$1)</f>
        <v/>
      </c>
      <c r="U4233" t="str">
        <f>IF(T4233='Analysis backend'!$L$1,IF(ISERROR(MATCH('Analysis backend'!$M$1,E4233:I4233,0)),"Dire","Radiant"),"")</f>
        <v/>
      </c>
    </row>
    <row r="4234" spans="20:21" x14ac:dyDescent="0.3">
      <c r="T4234" t="str">
        <f>IF(ISERROR(MATCH('Analysis backend'!$M$1,E4234:N4234,0)),"",'Analysis backend'!$L$1)</f>
        <v/>
      </c>
      <c r="U4234" t="str">
        <f>IF(T4234='Analysis backend'!$L$1,IF(ISERROR(MATCH('Analysis backend'!$M$1,E4234:I4234,0)),"Dire","Radiant"),"")</f>
        <v/>
      </c>
    </row>
    <row r="4235" spans="20:21" x14ac:dyDescent="0.3">
      <c r="T4235" t="str">
        <f>IF(ISERROR(MATCH('Analysis backend'!$M$1,E4235:N4235,0)),"",'Analysis backend'!$L$1)</f>
        <v/>
      </c>
      <c r="U4235" t="str">
        <f>IF(T4235='Analysis backend'!$L$1,IF(ISERROR(MATCH('Analysis backend'!$M$1,E4235:I4235,0)),"Dire","Radiant"),"")</f>
        <v/>
      </c>
    </row>
    <row r="4236" spans="20:21" x14ac:dyDescent="0.3">
      <c r="T4236" t="str">
        <f>IF(ISERROR(MATCH('Analysis backend'!$M$1,E4236:N4236,0)),"",'Analysis backend'!$L$1)</f>
        <v/>
      </c>
      <c r="U4236" t="str">
        <f>IF(T4236='Analysis backend'!$L$1,IF(ISERROR(MATCH('Analysis backend'!$M$1,E4236:I4236,0)),"Dire","Radiant"),"")</f>
        <v/>
      </c>
    </row>
    <row r="4237" spans="20:21" x14ac:dyDescent="0.3">
      <c r="T4237" t="str">
        <f>IF(ISERROR(MATCH('Analysis backend'!$M$1,E4237:N4237,0)),"",'Analysis backend'!$L$1)</f>
        <v/>
      </c>
      <c r="U4237" t="str">
        <f>IF(T4237='Analysis backend'!$L$1,IF(ISERROR(MATCH('Analysis backend'!$M$1,E4237:I4237,0)),"Dire","Radiant"),"")</f>
        <v/>
      </c>
    </row>
    <row r="4238" spans="20:21" x14ac:dyDescent="0.3">
      <c r="T4238" t="str">
        <f>IF(ISERROR(MATCH('Analysis backend'!$M$1,E4238:N4238,0)),"",'Analysis backend'!$L$1)</f>
        <v/>
      </c>
      <c r="U4238" t="str">
        <f>IF(T4238='Analysis backend'!$L$1,IF(ISERROR(MATCH('Analysis backend'!$M$1,E4238:I4238,0)),"Dire","Radiant"),"")</f>
        <v/>
      </c>
    </row>
    <row r="4239" spans="20:21" x14ac:dyDescent="0.3">
      <c r="T4239" t="str">
        <f>IF(ISERROR(MATCH('Analysis backend'!$M$1,E4239:N4239,0)),"",'Analysis backend'!$L$1)</f>
        <v/>
      </c>
      <c r="U4239" t="str">
        <f>IF(T4239='Analysis backend'!$L$1,IF(ISERROR(MATCH('Analysis backend'!$M$1,E4239:I4239,0)),"Dire","Radiant"),"")</f>
        <v/>
      </c>
    </row>
    <row r="4240" spans="20:21" x14ac:dyDescent="0.3">
      <c r="T4240" t="str">
        <f>IF(ISERROR(MATCH('Analysis backend'!$M$1,E4240:N4240,0)),"",'Analysis backend'!$L$1)</f>
        <v/>
      </c>
      <c r="U4240" t="str">
        <f>IF(T4240='Analysis backend'!$L$1,IF(ISERROR(MATCH('Analysis backend'!$M$1,E4240:I4240,0)),"Dire","Radiant"),"")</f>
        <v/>
      </c>
    </row>
    <row r="4241" spans="20:21" x14ac:dyDescent="0.3">
      <c r="T4241" t="str">
        <f>IF(ISERROR(MATCH('Analysis backend'!$M$1,E4241:N4241,0)),"",'Analysis backend'!$L$1)</f>
        <v/>
      </c>
      <c r="U4241" t="str">
        <f>IF(T4241='Analysis backend'!$L$1,IF(ISERROR(MATCH('Analysis backend'!$M$1,E4241:I4241,0)),"Dire","Radiant"),"")</f>
        <v/>
      </c>
    </row>
    <row r="4242" spans="20:21" x14ac:dyDescent="0.3">
      <c r="T4242" t="str">
        <f>IF(ISERROR(MATCH('Analysis backend'!$M$1,E4242:N4242,0)),"",'Analysis backend'!$L$1)</f>
        <v/>
      </c>
      <c r="U4242" t="str">
        <f>IF(T4242='Analysis backend'!$L$1,IF(ISERROR(MATCH('Analysis backend'!$M$1,E4242:I4242,0)),"Dire","Radiant"),"")</f>
        <v/>
      </c>
    </row>
    <row r="4243" spans="20:21" x14ac:dyDescent="0.3">
      <c r="T4243" t="str">
        <f>IF(ISERROR(MATCH('Analysis backend'!$M$1,E4243:N4243,0)),"",'Analysis backend'!$L$1)</f>
        <v/>
      </c>
      <c r="U4243" t="str">
        <f>IF(T4243='Analysis backend'!$L$1,IF(ISERROR(MATCH('Analysis backend'!$M$1,E4243:I4243,0)),"Dire","Radiant"),"")</f>
        <v/>
      </c>
    </row>
    <row r="4244" spans="20:21" x14ac:dyDescent="0.3">
      <c r="T4244" t="str">
        <f>IF(ISERROR(MATCH('Analysis backend'!$M$1,E4244:N4244,0)),"",'Analysis backend'!$L$1)</f>
        <v/>
      </c>
      <c r="U4244" t="str">
        <f>IF(T4244='Analysis backend'!$L$1,IF(ISERROR(MATCH('Analysis backend'!$M$1,E4244:I4244,0)),"Dire","Radiant"),"")</f>
        <v/>
      </c>
    </row>
    <row r="4245" spans="20:21" x14ac:dyDescent="0.3">
      <c r="T4245" t="str">
        <f>IF(ISERROR(MATCH('Analysis backend'!$M$1,E4245:N4245,0)),"",'Analysis backend'!$L$1)</f>
        <v/>
      </c>
      <c r="U4245" t="str">
        <f>IF(T4245='Analysis backend'!$L$1,IF(ISERROR(MATCH('Analysis backend'!$M$1,E4245:I4245,0)),"Dire","Radiant"),"")</f>
        <v/>
      </c>
    </row>
    <row r="4246" spans="20:21" x14ac:dyDescent="0.3">
      <c r="T4246" t="str">
        <f>IF(ISERROR(MATCH('Analysis backend'!$M$1,E4246:N4246,0)),"",'Analysis backend'!$L$1)</f>
        <v/>
      </c>
      <c r="U4246" t="str">
        <f>IF(T4246='Analysis backend'!$L$1,IF(ISERROR(MATCH('Analysis backend'!$M$1,E4246:I4246,0)),"Dire","Radiant"),"")</f>
        <v/>
      </c>
    </row>
    <row r="4247" spans="20:21" x14ac:dyDescent="0.3">
      <c r="T4247" t="str">
        <f>IF(ISERROR(MATCH('Analysis backend'!$M$1,E4247:N4247,0)),"",'Analysis backend'!$L$1)</f>
        <v/>
      </c>
      <c r="U4247" t="str">
        <f>IF(T4247='Analysis backend'!$L$1,IF(ISERROR(MATCH('Analysis backend'!$M$1,E4247:I4247,0)),"Dire","Radiant"),"")</f>
        <v/>
      </c>
    </row>
    <row r="4248" spans="20:21" x14ac:dyDescent="0.3">
      <c r="T4248" t="str">
        <f>IF(ISERROR(MATCH('Analysis backend'!$M$1,E4248:N4248,0)),"",'Analysis backend'!$L$1)</f>
        <v/>
      </c>
      <c r="U4248" t="str">
        <f>IF(T4248='Analysis backend'!$L$1,IF(ISERROR(MATCH('Analysis backend'!$M$1,E4248:I4248,0)),"Dire","Radiant"),"")</f>
        <v/>
      </c>
    </row>
    <row r="4249" spans="20:21" x14ac:dyDescent="0.3">
      <c r="T4249" t="str">
        <f>IF(ISERROR(MATCH('Analysis backend'!$M$1,E4249:N4249,0)),"",'Analysis backend'!$L$1)</f>
        <v/>
      </c>
      <c r="U4249" t="str">
        <f>IF(T4249='Analysis backend'!$L$1,IF(ISERROR(MATCH('Analysis backend'!$M$1,E4249:I4249,0)),"Dire","Radiant"),"")</f>
        <v/>
      </c>
    </row>
    <row r="4250" spans="20:21" x14ac:dyDescent="0.3">
      <c r="T4250" t="str">
        <f>IF(ISERROR(MATCH('Analysis backend'!$M$1,E4250:N4250,0)),"",'Analysis backend'!$L$1)</f>
        <v/>
      </c>
      <c r="U4250" t="str">
        <f>IF(T4250='Analysis backend'!$L$1,IF(ISERROR(MATCH('Analysis backend'!$M$1,E4250:I4250,0)),"Dire","Radiant"),"")</f>
        <v/>
      </c>
    </row>
    <row r="4251" spans="20:21" x14ac:dyDescent="0.3">
      <c r="T4251" t="str">
        <f>IF(ISERROR(MATCH('Analysis backend'!$M$1,E4251:N4251,0)),"",'Analysis backend'!$L$1)</f>
        <v/>
      </c>
      <c r="U4251" t="str">
        <f>IF(T4251='Analysis backend'!$L$1,IF(ISERROR(MATCH('Analysis backend'!$M$1,E4251:I4251,0)),"Dire","Radiant"),"")</f>
        <v/>
      </c>
    </row>
    <row r="4252" spans="20:21" x14ac:dyDescent="0.3">
      <c r="T4252" t="str">
        <f>IF(ISERROR(MATCH('Analysis backend'!$M$1,E4252:N4252,0)),"",'Analysis backend'!$L$1)</f>
        <v/>
      </c>
      <c r="U4252" t="str">
        <f>IF(T4252='Analysis backend'!$L$1,IF(ISERROR(MATCH('Analysis backend'!$M$1,E4252:I4252,0)),"Dire","Radiant"),"")</f>
        <v/>
      </c>
    </row>
    <row r="4253" spans="20:21" x14ac:dyDescent="0.3">
      <c r="T4253" t="str">
        <f>IF(ISERROR(MATCH('Analysis backend'!$M$1,E4253:N4253,0)),"",'Analysis backend'!$L$1)</f>
        <v/>
      </c>
      <c r="U4253" t="str">
        <f>IF(T4253='Analysis backend'!$L$1,IF(ISERROR(MATCH('Analysis backend'!$M$1,E4253:I4253,0)),"Dire","Radiant"),"")</f>
        <v/>
      </c>
    </row>
    <row r="4254" spans="20:21" x14ac:dyDescent="0.3">
      <c r="T4254" t="str">
        <f>IF(ISERROR(MATCH('Analysis backend'!$M$1,E4254:N4254,0)),"",'Analysis backend'!$L$1)</f>
        <v/>
      </c>
      <c r="U4254" t="str">
        <f>IF(T4254='Analysis backend'!$L$1,IF(ISERROR(MATCH('Analysis backend'!$M$1,E4254:I4254,0)),"Dire","Radiant"),"")</f>
        <v/>
      </c>
    </row>
    <row r="4255" spans="20:21" x14ac:dyDescent="0.3">
      <c r="T4255" t="str">
        <f>IF(ISERROR(MATCH('Analysis backend'!$M$1,E4255:N4255,0)),"",'Analysis backend'!$L$1)</f>
        <v/>
      </c>
      <c r="U4255" t="str">
        <f>IF(T4255='Analysis backend'!$L$1,IF(ISERROR(MATCH('Analysis backend'!$M$1,E4255:I4255,0)),"Dire","Radiant"),"")</f>
        <v/>
      </c>
    </row>
    <row r="4256" spans="20:21" x14ac:dyDescent="0.3">
      <c r="T4256" t="str">
        <f>IF(ISERROR(MATCH('Analysis backend'!$M$1,E4256:N4256,0)),"",'Analysis backend'!$L$1)</f>
        <v/>
      </c>
      <c r="U4256" t="str">
        <f>IF(T4256='Analysis backend'!$L$1,IF(ISERROR(MATCH('Analysis backend'!$M$1,E4256:I4256,0)),"Dire","Radiant"),"")</f>
        <v/>
      </c>
    </row>
    <row r="4257" spans="20:21" x14ac:dyDescent="0.3">
      <c r="T4257" t="str">
        <f>IF(ISERROR(MATCH('Analysis backend'!$M$1,E4257:N4257,0)),"",'Analysis backend'!$L$1)</f>
        <v/>
      </c>
      <c r="U4257" t="str">
        <f>IF(T4257='Analysis backend'!$L$1,IF(ISERROR(MATCH('Analysis backend'!$M$1,E4257:I4257,0)),"Dire","Radiant"),"")</f>
        <v/>
      </c>
    </row>
    <row r="4258" spans="20:21" x14ac:dyDescent="0.3">
      <c r="T4258" t="str">
        <f>IF(ISERROR(MATCH('Analysis backend'!$M$1,E4258:N4258,0)),"",'Analysis backend'!$L$1)</f>
        <v/>
      </c>
      <c r="U4258" t="str">
        <f>IF(T4258='Analysis backend'!$L$1,IF(ISERROR(MATCH('Analysis backend'!$M$1,E4258:I4258,0)),"Dire","Radiant"),"")</f>
        <v/>
      </c>
    </row>
    <row r="4259" spans="20:21" x14ac:dyDescent="0.3">
      <c r="T4259" t="str">
        <f>IF(ISERROR(MATCH('Analysis backend'!$M$1,E4259:N4259,0)),"",'Analysis backend'!$L$1)</f>
        <v/>
      </c>
      <c r="U4259" t="str">
        <f>IF(T4259='Analysis backend'!$L$1,IF(ISERROR(MATCH('Analysis backend'!$M$1,E4259:I4259,0)),"Dire","Radiant"),"")</f>
        <v/>
      </c>
    </row>
    <row r="4260" spans="20:21" x14ac:dyDescent="0.3">
      <c r="T4260" t="str">
        <f>IF(ISERROR(MATCH('Analysis backend'!$M$1,E4260:N4260,0)),"",'Analysis backend'!$L$1)</f>
        <v/>
      </c>
      <c r="U4260" t="str">
        <f>IF(T4260='Analysis backend'!$L$1,IF(ISERROR(MATCH('Analysis backend'!$M$1,E4260:I4260,0)),"Dire","Radiant"),"")</f>
        <v/>
      </c>
    </row>
    <row r="4261" spans="20:21" x14ac:dyDescent="0.3">
      <c r="T4261" t="str">
        <f>IF(ISERROR(MATCH('Analysis backend'!$M$1,E4261:N4261,0)),"",'Analysis backend'!$L$1)</f>
        <v/>
      </c>
      <c r="U4261" t="str">
        <f>IF(T4261='Analysis backend'!$L$1,IF(ISERROR(MATCH('Analysis backend'!$M$1,E4261:I4261,0)),"Dire","Radiant"),"")</f>
        <v/>
      </c>
    </row>
    <row r="4262" spans="20:21" x14ac:dyDescent="0.3">
      <c r="T4262" t="str">
        <f>IF(ISERROR(MATCH('Analysis backend'!$M$1,E4262:N4262,0)),"",'Analysis backend'!$L$1)</f>
        <v/>
      </c>
      <c r="U4262" t="str">
        <f>IF(T4262='Analysis backend'!$L$1,IF(ISERROR(MATCH('Analysis backend'!$M$1,E4262:I4262,0)),"Dire","Radiant"),"")</f>
        <v/>
      </c>
    </row>
    <row r="4263" spans="20:21" x14ac:dyDescent="0.3">
      <c r="T4263" t="str">
        <f>IF(ISERROR(MATCH('Analysis backend'!$M$1,E4263:N4263,0)),"",'Analysis backend'!$L$1)</f>
        <v/>
      </c>
      <c r="U4263" t="str">
        <f>IF(T4263='Analysis backend'!$L$1,IF(ISERROR(MATCH('Analysis backend'!$M$1,E4263:I4263,0)),"Dire","Radiant"),"")</f>
        <v/>
      </c>
    </row>
    <row r="4264" spans="20:21" x14ac:dyDescent="0.3">
      <c r="T4264" t="str">
        <f>IF(ISERROR(MATCH('Analysis backend'!$M$1,E4264:N4264,0)),"",'Analysis backend'!$L$1)</f>
        <v/>
      </c>
      <c r="U4264" t="str">
        <f>IF(T4264='Analysis backend'!$L$1,IF(ISERROR(MATCH('Analysis backend'!$M$1,E4264:I4264,0)),"Dire","Radiant"),"")</f>
        <v/>
      </c>
    </row>
    <row r="4265" spans="20:21" x14ac:dyDescent="0.3">
      <c r="T4265" t="str">
        <f>IF(ISERROR(MATCH('Analysis backend'!$M$1,E4265:N4265,0)),"",'Analysis backend'!$L$1)</f>
        <v/>
      </c>
      <c r="U4265" t="str">
        <f>IF(T4265='Analysis backend'!$L$1,IF(ISERROR(MATCH('Analysis backend'!$M$1,E4265:I4265,0)),"Dire","Radiant"),"")</f>
        <v/>
      </c>
    </row>
    <row r="4266" spans="20:21" x14ac:dyDescent="0.3">
      <c r="T4266" t="str">
        <f>IF(ISERROR(MATCH('Analysis backend'!$M$1,E4266:N4266,0)),"",'Analysis backend'!$L$1)</f>
        <v/>
      </c>
      <c r="U4266" t="str">
        <f>IF(T4266='Analysis backend'!$L$1,IF(ISERROR(MATCH('Analysis backend'!$M$1,E4266:I4266,0)),"Dire","Radiant"),"")</f>
        <v/>
      </c>
    </row>
    <row r="4267" spans="20:21" x14ac:dyDescent="0.3">
      <c r="T4267" t="str">
        <f>IF(ISERROR(MATCH('Analysis backend'!$M$1,E4267:N4267,0)),"",'Analysis backend'!$L$1)</f>
        <v/>
      </c>
      <c r="U4267" t="str">
        <f>IF(T4267='Analysis backend'!$L$1,IF(ISERROR(MATCH('Analysis backend'!$M$1,E4267:I4267,0)),"Dire","Radiant"),"")</f>
        <v/>
      </c>
    </row>
    <row r="4268" spans="20:21" x14ac:dyDescent="0.3">
      <c r="T4268" t="str">
        <f>IF(ISERROR(MATCH('Analysis backend'!$M$1,E4268:N4268,0)),"",'Analysis backend'!$L$1)</f>
        <v/>
      </c>
      <c r="U4268" t="str">
        <f>IF(T4268='Analysis backend'!$L$1,IF(ISERROR(MATCH('Analysis backend'!$M$1,E4268:I4268,0)),"Dire","Radiant"),"")</f>
        <v/>
      </c>
    </row>
    <row r="4269" spans="20:21" x14ac:dyDescent="0.3">
      <c r="T4269" t="str">
        <f>IF(ISERROR(MATCH('Analysis backend'!$M$1,E4269:N4269,0)),"",'Analysis backend'!$L$1)</f>
        <v/>
      </c>
      <c r="U4269" t="str">
        <f>IF(T4269='Analysis backend'!$L$1,IF(ISERROR(MATCH('Analysis backend'!$M$1,E4269:I4269,0)),"Dire","Radiant"),"")</f>
        <v/>
      </c>
    </row>
    <row r="4270" spans="20:21" x14ac:dyDescent="0.3">
      <c r="T4270" t="str">
        <f>IF(ISERROR(MATCH('Analysis backend'!$M$1,E4270:N4270,0)),"",'Analysis backend'!$L$1)</f>
        <v/>
      </c>
      <c r="U4270" t="str">
        <f>IF(T4270='Analysis backend'!$L$1,IF(ISERROR(MATCH('Analysis backend'!$M$1,E4270:I4270,0)),"Dire","Radiant"),"")</f>
        <v/>
      </c>
    </row>
    <row r="4271" spans="20:21" x14ac:dyDescent="0.3">
      <c r="T4271" t="str">
        <f>IF(ISERROR(MATCH('Analysis backend'!$M$1,E4271:N4271,0)),"",'Analysis backend'!$L$1)</f>
        <v/>
      </c>
      <c r="U4271" t="str">
        <f>IF(T4271='Analysis backend'!$L$1,IF(ISERROR(MATCH('Analysis backend'!$M$1,E4271:I4271,0)),"Dire","Radiant"),"")</f>
        <v/>
      </c>
    </row>
    <row r="4272" spans="20:21" x14ac:dyDescent="0.3">
      <c r="T4272" t="str">
        <f>IF(ISERROR(MATCH('Analysis backend'!$M$1,E4272:N4272,0)),"",'Analysis backend'!$L$1)</f>
        <v/>
      </c>
      <c r="U4272" t="str">
        <f>IF(T4272='Analysis backend'!$L$1,IF(ISERROR(MATCH('Analysis backend'!$M$1,E4272:I4272,0)),"Dire","Radiant"),"")</f>
        <v/>
      </c>
    </row>
    <row r="4273" spans="20:21" x14ac:dyDescent="0.3">
      <c r="T4273" t="str">
        <f>IF(ISERROR(MATCH('Analysis backend'!$M$1,E4273:N4273,0)),"",'Analysis backend'!$L$1)</f>
        <v/>
      </c>
      <c r="U4273" t="str">
        <f>IF(T4273='Analysis backend'!$L$1,IF(ISERROR(MATCH('Analysis backend'!$M$1,E4273:I4273,0)),"Dire","Radiant"),"")</f>
        <v/>
      </c>
    </row>
    <row r="4274" spans="20:21" x14ac:dyDescent="0.3">
      <c r="T4274" t="str">
        <f>IF(ISERROR(MATCH('Analysis backend'!$M$1,E4274:N4274,0)),"",'Analysis backend'!$L$1)</f>
        <v/>
      </c>
      <c r="U4274" t="str">
        <f>IF(T4274='Analysis backend'!$L$1,IF(ISERROR(MATCH('Analysis backend'!$M$1,E4274:I4274,0)),"Dire","Radiant"),"")</f>
        <v/>
      </c>
    </row>
    <row r="4275" spans="20:21" x14ac:dyDescent="0.3">
      <c r="T4275" t="str">
        <f>IF(ISERROR(MATCH('Analysis backend'!$M$1,E4275:N4275,0)),"",'Analysis backend'!$L$1)</f>
        <v/>
      </c>
      <c r="U4275" t="str">
        <f>IF(T4275='Analysis backend'!$L$1,IF(ISERROR(MATCH('Analysis backend'!$M$1,E4275:I4275,0)),"Dire","Radiant"),"")</f>
        <v/>
      </c>
    </row>
    <row r="4276" spans="20:21" x14ac:dyDescent="0.3">
      <c r="T4276" t="str">
        <f>IF(ISERROR(MATCH('Analysis backend'!$M$1,E4276:N4276,0)),"",'Analysis backend'!$L$1)</f>
        <v/>
      </c>
      <c r="U4276" t="str">
        <f>IF(T4276='Analysis backend'!$L$1,IF(ISERROR(MATCH('Analysis backend'!$M$1,E4276:I4276,0)),"Dire","Radiant"),"")</f>
        <v/>
      </c>
    </row>
    <row r="4277" spans="20:21" x14ac:dyDescent="0.3">
      <c r="T4277" t="str">
        <f>IF(ISERROR(MATCH('Analysis backend'!$M$1,E4277:N4277,0)),"",'Analysis backend'!$L$1)</f>
        <v/>
      </c>
      <c r="U4277" t="str">
        <f>IF(T4277='Analysis backend'!$L$1,IF(ISERROR(MATCH('Analysis backend'!$M$1,E4277:I4277,0)),"Dire","Radiant"),"")</f>
        <v/>
      </c>
    </row>
    <row r="4278" spans="20:21" x14ac:dyDescent="0.3">
      <c r="T4278" t="str">
        <f>IF(ISERROR(MATCH('Analysis backend'!$M$1,E4278:N4278,0)),"",'Analysis backend'!$L$1)</f>
        <v/>
      </c>
      <c r="U4278" t="str">
        <f>IF(T4278='Analysis backend'!$L$1,IF(ISERROR(MATCH('Analysis backend'!$M$1,E4278:I4278,0)),"Dire","Radiant"),"")</f>
        <v/>
      </c>
    </row>
    <row r="4279" spans="20:21" x14ac:dyDescent="0.3">
      <c r="T4279" t="str">
        <f>IF(ISERROR(MATCH('Analysis backend'!$M$1,E4279:N4279,0)),"",'Analysis backend'!$L$1)</f>
        <v/>
      </c>
      <c r="U4279" t="str">
        <f>IF(T4279='Analysis backend'!$L$1,IF(ISERROR(MATCH('Analysis backend'!$M$1,E4279:I4279,0)),"Dire","Radiant"),"")</f>
        <v/>
      </c>
    </row>
    <row r="4280" spans="20:21" x14ac:dyDescent="0.3">
      <c r="T4280" t="str">
        <f>IF(ISERROR(MATCH('Analysis backend'!$M$1,E4280:N4280,0)),"",'Analysis backend'!$L$1)</f>
        <v/>
      </c>
      <c r="U4280" t="str">
        <f>IF(T4280='Analysis backend'!$L$1,IF(ISERROR(MATCH('Analysis backend'!$M$1,E4280:I4280,0)),"Dire","Radiant"),"")</f>
        <v/>
      </c>
    </row>
    <row r="4281" spans="20:21" x14ac:dyDescent="0.3">
      <c r="T4281" t="str">
        <f>IF(ISERROR(MATCH('Analysis backend'!$M$1,E4281:N4281,0)),"",'Analysis backend'!$L$1)</f>
        <v/>
      </c>
      <c r="U4281" t="str">
        <f>IF(T4281='Analysis backend'!$L$1,IF(ISERROR(MATCH('Analysis backend'!$M$1,E4281:I4281,0)),"Dire","Radiant"),"")</f>
        <v/>
      </c>
    </row>
    <row r="4282" spans="20:21" x14ac:dyDescent="0.3">
      <c r="T4282" t="str">
        <f>IF(ISERROR(MATCH('Analysis backend'!$M$1,E4282:N4282,0)),"",'Analysis backend'!$L$1)</f>
        <v/>
      </c>
      <c r="U4282" t="str">
        <f>IF(T4282='Analysis backend'!$L$1,IF(ISERROR(MATCH('Analysis backend'!$M$1,E4282:I4282,0)),"Dire","Radiant"),"")</f>
        <v/>
      </c>
    </row>
    <row r="4283" spans="20:21" x14ac:dyDescent="0.3">
      <c r="T4283" t="str">
        <f>IF(ISERROR(MATCH('Analysis backend'!$M$1,E4283:N4283,0)),"",'Analysis backend'!$L$1)</f>
        <v/>
      </c>
      <c r="U4283" t="str">
        <f>IF(T4283='Analysis backend'!$L$1,IF(ISERROR(MATCH('Analysis backend'!$M$1,E4283:I4283,0)),"Dire","Radiant"),"")</f>
        <v/>
      </c>
    </row>
    <row r="4284" spans="20:21" x14ac:dyDescent="0.3">
      <c r="T4284" t="str">
        <f>IF(ISERROR(MATCH('Analysis backend'!$M$1,E4284:N4284,0)),"",'Analysis backend'!$L$1)</f>
        <v/>
      </c>
      <c r="U4284" t="str">
        <f>IF(T4284='Analysis backend'!$L$1,IF(ISERROR(MATCH('Analysis backend'!$M$1,E4284:I4284,0)),"Dire","Radiant"),"")</f>
        <v/>
      </c>
    </row>
    <row r="4285" spans="20:21" x14ac:dyDescent="0.3">
      <c r="T4285" t="str">
        <f>IF(ISERROR(MATCH('Analysis backend'!$M$1,E4285:N4285,0)),"",'Analysis backend'!$L$1)</f>
        <v/>
      </c>
      <c r="U4285" t="str">
        <f>IF(T4285='Analysis backend'!$L$1,IF(ISERROR(MATCH('Analysis backend'!$M$1,E4285:I4285,0)),"Dire","Radiant"),"")</f>
        <v/>
      </c>
    </row>
    <row r="4286" spans="20:21" x14ac:dyDescent="0.3">
      <c r="T4286" t="str">
        <f>IF(ISERROR(MATCH('Analysis backend'!$M$1,E4286:N4286,0)),"",'Analysis backend'!$L$1)</f>
        <v/>
      </c>
      <c r="U4286" t="str">
        <f>IF(T4286='Analysis backend'!$L$1,IF(ISERROR(MATCH('Analysis backend'!$M$1,E4286:I4286,0)),"Dire","Radiant"),"")</f>
        <v/>
      </c>
    </row>
    <row r="4287" spans="20:21" x14ac:dyDescent="0.3">
      <c r="T4287" t="str">
        <f>IF(ISERROR(MATCH('Analysis backend'!$M$1,E4287:N4287,0)),"",'Analysis backend'!$L$1)</f>
        <v/>
      </c>
      <c r="U4287" t="str">
        <f>IF(T4287='Analysis backend'!$L$1,IF(ISERROR(MATCH('Analysis backend'!$M$1,E4287:I4287,0)),"Dire","Radiant"),"")</f>
        <v/>
      </c>
    </row>
    <row r="4288" spans="20:21" x14ac:dyDescent="0.3">
      <c r="T4288" t="str">
        <f>IF(ISERROR(MATCH('Analysis backend'!$M$1,E4288:N4288,0)),"",'Analysis backend'!$L$1)</f>
        <v/>
      </c>
      <c r="U4288" t="str">
        <f>IF(T4288='Analysis backend'!$L$1,IF(ISERROR(MATCH('Analysis backend'!$M$1,E4288:I4288,0)),"Dire","Radiant"),"")</f>
        <v/>
      </c>
    </row>
    <row r="4289" spans="20:21" x14ac:dyDescent="0.3">
      <c r="T4289" t="str">
        <f>IF(ISERROR(MATCH('Analysis backend'!$M$1,E4289:N4289,0)),"",'Analysis backend'!$L$1)</f>
        <v/>
      </c>
      <c r="U4289" t="str">
        <f>IF(T4289='Analysis backend'!$L$1,IF(ISERROR(MATCH('Analysis backend'!$M$1,E4289:I4289,0)),"Dire","Radiant"),"")</f>
        <v/>
      </c>
    </row>
    <row r="4290" spans="20:21" x14ac:dyDescent="0.3">
      <c r="T4290" t="str">
        <f>IF(ISERROR(MATCH('Analysis backend'!$M$1,E4290:N4290,0)),"",'Analysis backend'!$L$1)</f>
        <v/>
      </c>
      <c r="U4290" t="str">
        <f>IF(T4290='Analysis backend'!$L$1,IF(ISERROR(MATCH('Analysis backend'!$M$1,E4290:I4290,0)),"Dire","Radiant"),"")</f>
        <v/>
      </c>
    </row>
    <row r="4291" spans="20:21" x14ac:dyDescent="0.3">
      <c r="T4291" t="str">
        <f>IF(ISERROR(MATCH('Analysis backend'!$M$1,E4291:N4291,0)),"",'Analysis backend'!$L$1)</f>
        <v/>
      </c>
      <c r="U4291" t="str">
        <f>IF(T4291='Analysis backend'!$L$1,IF(ISERROR(MATCH('Analysis backend'!$M$1,E4291:I4291,0)),"Dire","Radiant"),"")</f>
        <v/>
      </c>
    </row>
    <row r="4292" spans="20:21" x14ac:dyDescent="0.3">
      <c r="T4292" t="str">
        <f>IF(ISERROR(MATCH('Analysis backend'!$M$1,E4292:N4292,0)),"",'Analysis backend'!$L$1)</f>
        <v/>
      </c>
      <c r="U4292" t="str">
        <f>IF(T4292='Analysis backend'!$L$1,IF(ISERROR(MATCH('Analysis backend'!$M$1,E4292:I4292,0)),"Dire","Radiant"),"")</f>
        <v/>
      </c>
    </row>
    <row r="4293" spans="20:21" x14ac:dyDescent="0.3">
      <c r="T4293" t="str">
        <f>IF(ISERROR(MATCH('Analysis backend'!$M$1,E4293:N4293,0)),"",'Analysis backend'!$L$1)</f>
        <v/>
      </c>
      <c r="U4293" t="str">
        <f>IF(T4293='Analysis backend'!$L$1,IF(ISERROR(MATCH('Analysis backend'!$M$1,E4293:I4293,0)),"Dire","Radiant"),"")</f>
        <v/>
      </c>
    </row>
    <row r="4294" spans="20:21" x14ac:dyDescent="0.3">
      <c r="T4294" t="str">
        <f>IF(ISERROR(MATCH('Analysis backend'!$M$1,E4294:N4294,0)),"",'Analysis backend'!$L$1)</f>
        <v/>
      </c>
      <c r="U4294" t="str">
        <f>IF(T4294='Analysis backend'!$L$1,IF(ISERROR(MATCH('Analysis backend'!$M$1,E4294:I4294,0)),"Dire","Radiant"),"")</f>
        <v/>
      </c>
    </row>
    <row r="4295" spans="20:21" x14ac:dyDescent="0.3">
      <c r="T4295" t="str">
        <f>IF(ISERROR(MATCH('Analysis backend'!$M$1,E4295:N4295,0)),"",'Analysis backend'!$L$1)</f>
        <v/>
      </c>
      <c r="U4295" t="str">
        <f>IF(T4295='Analysis backend'!$L$1,IF(ISERROR(MATCH('Analysis backend'!$M$1,E4295:I4295,0)),"Dire","Radiant"),"")</f>
        <v/>
      </c>
    </row>
    <row r="4296" spans="20:21" x14ac:dyDescent="0.3">
      <c r="T4296" t="str">
        <f>IF(ISERROR(MATCH('Analysis backend'!$M$1,E4296:N4296,0)),"",'Analysis backend'!$L$1)</f>
        <v/>
      </c>
      <c r="U4296" t="str">
        <f>IF(T4296='Analysis backend'!$L$1,IF(ISERROR(MATCH('Analysis backend'!$M$1,E4296:I4296,0)),"Dire","Radiant"),"")</f>
        <v/>
      </c>
    </row>
    <row r="4297" spans="20:21" x14ac:dyDescent="0.3">
      <c r="T4297" t="str">
        <f>IF(ISERROR(MATCH('Analysis backend'!$M$1,E4297:N4297,0)),"",'Analysis backend'!$L$1)</f>
        <v/>
      </c>
      <c r="U4297" t="str">
        <f>IF(T4297='Analysis backend'!$L$1,IF(ISERROR(MATCH('Analysis backend'!$M$1,E4297:I4297,0)),"Dire","Radiant"),"")</f>
        <v/>
      </c>
    </row>
    <row r="4298" spans="20:21" x14ac:dyDescent="0.3">
      <c r="T4298" t="str">
        <f>IF(ISERROR(MATCH('Analysis backend'!$M$1,E4298:N4298,0)),"",'Analysis backend'!$L$1)</f>
        <v/>
      </c>
      <c r="U4298" t="str">
        <f>IF(T4298='Analysis backend'!$L$1,IF(ISERROR(MATCH('Analysis backend'!$M$1,E4298:I4298,0)),"Dire","Radiant"),"")</f>
        <v/>
      </c>
    </row>
    <row r="4299" spans="20:21" x14ac:dyDescent="0.3">
      <c r="T4299" t="str">
        <f>IF(ISERROR(MATCH('Analysis backend'!$M$1,E4299:N4299,0)),"",'Analysis backend'!$L$1)</f>
        <v/>
      </c>
      <c r="U4299" t="str">
        <f>IF(T4299='Analysis backend'!$L$1,IF(ISERROR(MATCH('Analysis backend'!$M$1,E4299:I4299,0)),"Dire","Radiant"),"")</f>
        <v/>
      </c>
    </row>
    <row r="4300" spans="20:21" x14ac:dyDescent="0.3">
      <c r="T4300" t="str">
        <f>IF(ISERROR(MATCH('Analysis backend'!$M$1,E4300:N4300,0)),"",'Analysis backend'!$L$1)</f>
        <v/>
      </c>
      <c r="U4300" t="str">
        <f>IF(T4300='Analysis backend'!$L$1,IF(ISERROR(MATCH('Analysis backend'!$M$1,E4300:I4300,0)),"Dire","Radiant"),"")</f>
        <v/>
      </c>
    </row>
    <row r="4301" spans="20:21" x14ac:dyDescent="0.3">
      <c r="T4301" t="str">
        <f>IF(ISERROR(MATCH('Analysis backend'!$M$1,E4301:N4301,0)),"",'Analysis backend'!$L$1)</f>
        <v/>
      </c>
      <c r="U4301" t="str">
        <f>IF(T4301='Analysis backend'!$L$1,IF(ISERROR(MATCH('Analysis backend'!$M$1,E4301:I4301,0)),"Dire","Radiant"),"")</f>
        <v/>
      </c>
    </row>
    <row r="4302" spans="20:21" x14ac:dyDescent="0.3">
      <c r="T4302" t="str">
        <f>IF(ISERROR(MATCH('Analysis backend'!$M$1,E4302:N4302,0)),"",'Analysis backend'!$L$1)</f>
        <v/>
      </c>
      <c r="U4302" t="str">
        <f>IF(T4302='Analysis backend'!$L$1,IF(ISERROR(MATCH('Analysis backend'!$M$1,E4302:I4302,0)),"Dire","Radiant"),"")</f>
        <v/>
      </c>
    </row>
    <row r="4303" spans="20:21" x14ac:dyDescent="0.3">
      <c r="T4303" t="str">
        <f>IF(ISERROR(MATCH('Analysis backend'!$M$1,E4303:N4303,0)),"",'Analysis backend'!$L$1)</f>
        <v/>
      </c>
      <c r="U4303" t="str">
        <f>IF(T4303='Analysis backend'!$L$1,IF(ISERROR(MATCH('Analysis backend'!$M$1,E4303:I4303,0)),"Dire","Radiant"),"")</f>
        <v/>
      </c>
    </row>
    <row r="4304" spans="20:21" x14ac:dyDescent="0.3">
      <c r="T4304" t="str">
        <f>IF(ISERROR(MATCH('Analysis backend'!$M$1,E4304:N4304,0)),"",'Analysis backend'!$L$1)</f>
        <v/>
      </c>
      <c r="U4304" t="str">
        <f>IF(T4304='Analysis backend'!$L$1,IF(ISERROR(MATCH('Analysis backend'!$M$1,E4304:I4304,0)),"Dire","Radiant"),"")</f>
        <v/>
      </c>
    </row>
    <row r="4305" spans="20:21" x14ac:dyDescent="0.3">
      <c r="T4305" t="str">
        <f>IF(ISERROR(MATCH('Analysis backend'!$M$1,E4305:N4305,0)),"",'Analysis backend'!$L$1)</f>
        <v/>
      </c>
      <c r="U4305" t="str">
        <f>IF(T4305='Analysis backend'!$L$1,IF(ISERROR(MATCH('Analysis backend'!$M$1,E4305:I4305,0)),"Dire","Radiant"),"")</f>
        <v/>
      </c>
    </row>
    <row r="4306" spans="20:21" x14ac:dyDescent="0.3">
      <c r="T4306" t="str">
        <f>IF(ISERROR(MATCH('Analysis backend'!$M$1,E4306:N4306,0)),"",'Analysis backend'!$L$1)</f>
        <v/>
      </c>
      <c r="U4306" t="str">
        <f>IF(T4306='Analysis backend'!$L$1,IF(ISERROR(MATCH('Analysis backend'!$M$1,E4306:I4306,0)),"Dire","Radiant"),"")</f>
        <v/>
      </c>
    </row>
    <row r="4307" spans="20:21" x14ac:dyDescent="0.3">
      <c r="T4307" t="str">
        <f>IF(ISERROR(MATCH('Analysis backend'!$M$1,E4307:N4307,0)),"",'Analysis backend'!$L$1)</f>
        <v/>
      </c>
      <c r="U4307" t="str">
        <f>IF(T4307='Analysis backend'!$L$1,IF(ISERROR(MATCH('Analysis backend'!$M$1,E4307:I4307,0)),"Dire","Radiant"),"")</f>
        <v/>
      </c>
    </row>
    <row r="4308" spans="20:21" x14ac:dyDescent="0.3">
      <c r="T4308" t="str">
        <f>IF(ISERROR(MATCH('Analysis backend'!$M$1,E4308:N4308,0)),"",'Analysis backend'!$L$1)</f>
        <v/>
      </c>
      <c r="U4308" t="str">
        <f>IF(T4308='Analysis backend'!$L$1,IF(ISERROR(MATCH('Analysis backend'!$M$1,E4308:I4308,0)),"Dire","Radiant"),"")</f>
        <v/>
      </c>
    </row>
    <row r="4309" spans="20:21" x14ac:dyDescent="0.3">
      <c r="T4309" t="str">
        <f>IF(ISERROR(MATCH('Analysis backend'!$M$1,E4309:N4309,0)),"",'Analysis backend'!$L$1)</f>
        <v/>
      </c>
      <c r="U4309" t="str">
        <f>IF(T4309='Analysis backend'!$L$1,IF(ISERROR(MATCH('Analysis backend'!$M$1,E4309:I4309,0)),"Dire","Radiant"),"")</f>
        <v/>
      </c>
    </row>
    <row r="4310" spans="20:21" x14ac:dyDescent="0.3">
      <c r="T4310" t="str">
        <f>IF(ISERROR(MATCH('Analysis backend'!$M$1,E4310:N4310,0)),"",'Analysis backend'!$L$1)</f>
        <v/>
      </c>
      <c r="U4310" t="str">
        <f>IF(T4310='Analysis backend'!$L$1,IF(ISERROR(MATCH('Analysis backend'!$M$1,E4310:I4310,0)),"Dire","Radiant"),"")</f>
        <v/>
      </c>
    </row>
    <row r="4311" spans="20:21" x14ac:dyDescent="0.3">
      <c r="T4311" t="str">
        <f>IF(ISERROR(MATCH('Analysis backend'!$M$1,E4311:N4311,0)),"",'Analysis backend'!$L$1)</f>
        <v/>
      </c>
      <c r="U4311" t="str">
        <f>IF(T4311='Analysis backend'!$L$1,IF(ISERROR(MATCH('Analysis backend'!$M$1,E4311:I4311,0)),"Dire","Radiant"),"")</f>
        <v/>
      </c>
    </row>
    <row r="4312" spans="20:21" x14ac:dyDescent="0.3">
      <c r="T4312" t="str">
        <f>IF(ISERROR(MATCH('Analysis backend'!$M$1,E4312:N4312,0)),"",'Analysis backend'!$L$1)</f>
        <v/>
      </c>
      <c r="U4312" t="str">
        <f>IF(T4312='Analysis backend'!$L$1,IF(ISERROR(MATCH('Analysis backend'!$M$1,E4312:I4312,0)),"Dire","Radiant"),"")</f>
        <v/>
      </c>
    </row>
    <row r="4313" spans="20:21" x14ac:dyDescent="0.3">
      <c r="T4313" t="str">
        <f>IF(ISERROR(MATCH('Analysis backend'!$M$1,E4313:N4313,0)),"",'Analysis backend'!$L$1)</f>
        <v/>
      </c>
      <c r="U4313" t="str">
        <f>IF(T4313='Analysis backend'!$L$1,IF(ISERROR(MATCH('Analysis backend'!$M$1,E4313:I4313,0)),"Dire","Radiant"),"")</f>
        <v/>
      </c>
    </row>
    <row r="4314" spans="20:21" x14ac:dyDescent="0.3">
      <c r="T4314" t="str">
        <f>IF(ISERROR(MATCH('Analysis backend'!$M$1,E4314:N4314,0)),"",'Analysis backend'!$L$1)</f>
        <v/>
      </c>
      <c r="U4314" t="str">
        <f>IF(T4314='Analysis backend'!$L$1,IF(ISERROR(MATCH('Analysis backend'!$M$1,E4314:I4314,0)),"Dire","Radiant"),"")</f>
        <v/>
      </c>
    </row>
    <row r="4315" spans="20:21" x14ac:dyDescent="0.3">
      <c r="T4315" t="str">
        <f>IF(ISERROR(MATCH('Analysis backend'!$M$1,E4315:N4315,0)),"",'Analysis backend'!$L$1)</f>
        <v/>
      </c>
      <c r="U4315" t="str">
        <f>IF(T4315='Analysis backend'!$L$1,IF(ISERROR(MATCH('Analysis backend'!$M$1,E4315:I4315,0)),"Dire","Radiant"),"")</f>
        <v/>
      </c>
    </row>
    <row r="4316" spans="20:21" x14ac:dyDescent="0.3">
      <c r="T4316" t="str">
        <f>IF(ISERROR(MATCH('Analysis backend'!$M$1,E4316:N4316,0)),"",'Analysis backend'!$L$1)</f>
        <v/>
      </c>
      <c r="U4316" t="str">
        <f>IF(T4316='Analysis backend'!$L$1,IF(ISERROR(MATCH('Analysis backend'!$M$1,E4316:I4316,0)),"Dire","Radiant"),"")</f>
        <v/>
      </c>
    </row>
    <row r="4317" spans="20:21" x14ac:dyDescent="0.3">
      <c r="T4317" t="str">
        <f>IF(ISERROR(MATCH('Analysis backend'!$M$1,E4317:N4317,0)),"",'Analysis backend'!$L$1)</f>
        <v/>
      </c>
      <c r="U4317" t="str">
        <f>IF(T4317='Analysis backend'!$L$1,IF(ISERROR(MATCH('Analysis backend'!$M$1,E4317:I4317,0)),"Dire","Radiant"),"")</f>
        <v/>
      </c>
    </row>
    <row r="4318" spans="20:21" x14ac:dyDescent="0.3">
      <c r="T4318" t="str">
        <f>IF(ISERROR(MATCH('Analysis backend'!$M$1,E4318:N4318,0)),"",'Analysis backend'!$L$1)</f>
        <v/>
      </c>
      <c r="U4318" t="str">
        <f>IF(T4318='Analysis backend'!$L$1,IF(ISERROR(MATCH('Analysis backend'!$M$1,E4318:I4318,0)),"Dire","Radiant"),"")</f>
        <v/>
      </c>
    </row>
    <row r="4319" spans="20:21" x14ac:dyDescent="0.3">
      <c r="T4319" t="str">
        <f>IF(ISERROR(MATCH('Analysis backend'!$M$1,E4319:N4319,0)),"",'Analysis backend'!$L$1)</f>
        <v/>
      </c>
      <c r="U4319" t="str">
        <f>IF(T4319='Analysis backend'!$L$1,IF(ISERROR(MATCH('Analysis backend'!$M$1,E4319:I4319,0)),"Dire","Radiant"),"")</f>
        <v/>
      </c>
    </row>
    <row r="4320" spans="20:21" x14ac:dyDescent="0.3">
      <c r="T4320" t="str">
        <f>IF(ISERROR(MATCH('Analysis backend'!$M$1,E4320:N4320,0)),"",'Analysis backend'!$L$1)</f>
        <v/>
      </c>
      <c r="U4320" t="str">
        <f>IF(T4320='Analysis backend'!$L$1,IF(ISERROR(MATCH('Analysis backend'!$M$1,E4320:I4320,0)),"Dire","Radiant"),"")</f>
        <v/>
      </c>
    </row>
    <row r="4321" spans="20:21" x14ac:dyDescent="0.3">
      <c r="T4321" t="str">
        <f>IF(ISERROR(MATCH('Analysis backend'!$M$1,E4321:N4321,0)),"",'Analysis backend'!$L$1)</f>
        <v/>
      </c>
      <c r="U4321" t="str">
        <f>IF(T4321='Analysis backend'!$L$1,IF(ISERROR(MATCH('Analysis backend'!$M$1,E4321:I4321,0)),"Dire","Radiant"),"")</f>
        <v/>
      </c>
    </row>
    <row r="4322" spans="20:21" x14ac:dyDescent="0.3">
      <c r="T4322" t="str">
        <f>IF(ISERROR(MATCH('Analysis backend'!$M$1,E4322:N4322,0)),"",'Analysis backend'!$L$1)</f>
        <v/>
      </c>
      <c r="U4322" t="str">
        <f>IF(T4322='Analysis backend'!$L$1,IF(ISERROR(MATCH('Analysis backend'!$M$1,E4322:I4322,0)),"Dire","Radiant"),"")</f>
        <v/>
      </c>
    </row>
    <row r="4323" spans="20:21" x14ac:dyDescent="0.3">
      <c r="T4323" t="str">
        <f>IF(ISERROR(MATCH('Analysis backend'!$M$1,E4323:N4323,0)),"",'Analysis backend'!$L$1)</f>
        <v/>
      </c>
      <c r="U4323" t="str">
        <f>IF(T4323='Analysis backend'!$L$1,IF(ISERROR(MATCH('Analysis backend'!$M$1,E4323:I4323,0)),"Dire","Radiant"),"")</f>
        <v/>
      </c>
    </row>
    <row r="4324" spans="20:21" x14ac:dyDescent="0.3">
      <c r="T4324" t="str">
        <f>IF(ISERROR(MATCH('Analysis backend'!$M$1,E4324:N4324,0)),"",'Analysis backend'!$L$1)</f>
        <v/>
      </c>
      <c r="U4324" t="str">
        <f>IF(T4324='Analysis backend'!$L$1,IF(ISERROR(MATCH('Analysis backend'!$M$1,E4324:I4324,0)),"Dire","Radiant"),"")</f>
        <v/>
      </c>
    </row>
    <row r="4325" spans="20:21" x14ac:dyDescent="0.3">
      <c r="T4325" t="str">
        <f>IF(ISERROR(MATCH('Analysis backend'!$M$1,E4325:N4325,0)),"",'Analysis backend'!$L$1)</f>
        <v/>
      </c>
      <c r="U4325" t="str">
        <f>IF(T4325='Analysis backend'!$L$1,IF(ISERROR(MATCH('Analysis backend'!$M$1,E4325:I4325,0)),"Dire","Radiant"),"")</f>
        <v/>
      </c>
    </row>
    <row r="4326" spans="20:21" x14ac:dyDescent="0.3">
      <c r="T4326" t="str">
        <f>IF(ISERROR(MATCH('Analysis backend'!$M$1,E4326:N4326,0)),"",'Analysis backend'!$L$1)</f>
        <v/>
      </c>
      <c r="U4326" t="str">
        <f>IF(T4326='Analysis backend'!$L$1,IF(ISERROR(MATCH('Analysis backend'!$M$1,E4326:I4326,0)),"Dire","Radiant"),"")</f>
        <v/>
      </c>
    </row>
    <row r="4327" spans="20:21" x14ac:dyDescent="0.3">
      <c r="T4327" t="str">
        <f>IF(ISERROR(MATCH('Analysis backend'!$M$1,E4327:N4327,0)),"",'Analysis backend'!$L$1)</f>
        <v/>
      </c>
      <c r="U4327" t="str">
        <f>IF(T4327='Analysis backend'!$L$1,IF(ISERROR(MATCH('Analysis backend'!$M$1,E4327:I4327,0)),"Dire","Radiant"),"")</f>
        <v/>
      </c>
    </row>
    <row r="4328" spans="20:21" x14ac:dyDescent="0.3">
      <c r="T4328" t="str">
        <f>IF(ISERROR(MATCH('Analysis backend'!$M$1,E4328:N4328,0)),"",'Analysis backend'!$L$1)</f>
        <v/>
      </c>
      <c r="U4328" t="str">
        <f>IF(T4328='Analysis backend'!$L$1,IF(ISERROR(MATCH('Analysis backend'!$M$1,E4328:I4328,0)),"Dire","Radiant"),"")</f>
        <v/>
      </c>
    </row>
    <row r="4329" spans="20:21" x14ac:dyDescent="0.3">
      <c r="T4329" t="str">
        <f>IF(ISERROR(MATCH('Analysis backend'!$M$1,E4329:N4329,0)),"",'Analysis backend'!$L$1)</f>
        <v/>
      </c>
      <c r="U4329" t="str">
        <f>IF(T4329='Analysis backend'!$L$1,IF(ISERROR(MATCH('Analysis backend'!$M$1,E4329:I4329,0)),"Dire","Radiant"),"")</f>
        <v/>
      </c>
    </row>
    <row r="4330" spans="20:21" x14ac:dyDescent="0.3">
      <c r="T4330" t="str">
        <f>IF(ISERROR(MATCH('Analysis backend'!$M$1,E4330:N4330,0)),"",'Analysis backend'!$L$1)</f>
        <v/>
      </c>
      <c r="U4330" t="str">
        <f>IF(T4330='Analysis backend'!$L$1,IF(ISERROR(MATCH('Analysis backend'!$M$1,E4330:I4330,0)),"Dire","Radiant"),"")</f>
        <v/>
      </c>
    </row>
    <row r="4331" spans="20:21" x14ac:dyDescent="0.3">
      <c r="T4331" t="str">
        <f>IF(ISERROR(MATCH('Analysis backend'!$M$1,E4331:N4331,0)),"",'Analysis backend'!$L$1)</f>
        <v/>
      </c>
      <c r="U4331" t="str">
        <f>IF(T4331='Analysis backend'!$L$1,IF(ISERROR(MATCH('Analysis backend'!$M$1,E4331:I4331,0)),"Dire","Radiant"),"")</f>
        <v/>
      </c>
    </row>
    <row r="4332" spans="20:21" x14ac:dyDescent="0.3">
      <c r="T4332" t="str">
        <f>IF(ISERROR(MATCH('Analysis backend'!$M$1,E4332:N4332,0)),"",'Analysis backend'!$L$1)</f>
        <v/>
      </c>
      <c r="U4332" t="str">
        <f>IF(T4332='Analysis backend'!$L$1,IF(ISERROR(MATCH('Analysis backend'!$M$1,E4332:I4332,0)),"Dire","Radiant"),"")</f>
        <v/>
      </c>
    </row>
    <row r="4333" spans="20:21" x14ac:dyDescent="0.3">
      <c r="T4333" t="str">
        <f>IF(ISERROR(MATCH('Analysis backend'!$M$1,E4333:N4333,0)),"",'Analysis backend'!$L$1)</f>
        <v/>
      </c>
      <c r="U4333" t="str">
        <f>IF(T4333='Analysis backend'!$L$1,IF(ISERROR(MATCH('Analysis backend'!$M$1,E4333:I4333,0)),"Dire","Radiant"),"")</f>
        <v/>
      </c>
    </row>
    <row r="4334" spans="20:21" x14ac:dyDescent="0.3">
      <c r="T4334" t="str">
        <f>IF(ISERROR(MATCH('Analysis backend'!$M$1,E4334:N4334,0)),"",'Analysis backend'!$L$1)</f>
        <v/>
      </c>
      <c r="U4334" t="str">
        <f>IF(T4334='Analysis backend'!$L$1,IF(ISERROR(MATCH('Analysis backend'!$M$1,E4334:I4334,0)),"Dire","Radiant"),"")</f>
        <v/>
      </c>
    </row>
    <row r="4335" spans="20:21" x14ac:dyDescent="0.3">
      <c r="T4335" t="str">
        <f>IF(ISERROR(MATCH('Analysis backend'!$M$1,E4335:N4335,0)),"",'Analysis backend'!$L$1)</f>
        <v/>
      </c>
      <c r="U4335" t="str">
        <f>IF(T4335='Analysis backend'!$L$1,IF(ISERROR(MATCH('Analysis backend'!$M$1,E4335:I4335,0)),"Dire","Radiant"),"")</f>
        <v/>
      </c>
    </row>
    <row r="4336" spans="20:21" x14ac:dyDescent="0.3">
      <c r="T4336" t="str">
        <f>IF(ISERROR(MATCH('Analysis backend'!$M$1,E4336:N4336,0)),"",'Analysis backend'!$L$1)</f>
        <v/>
      </c>
      <c r="U4336" t="str">
        <f>IF(T4336='Analysis backend'!$L$1,IF(ISERROR(MATCH('Analysis backend'!$M$1,E4336:I4336,0)),"Dire","Radiant"),"")</f>
        <v/>
      </c>
    </row>
    <row r="4337" spans="20:21" x14ac:dyDescent="0.3">
      <c r="T4337" t="str">
        <f>IF(ISERROR(MATCH('Analysis backend'!$M$1,E4337:N4337,0)),"",'Analysis backend'!$L$1)</f>
        <v/>
      </c>
      <c r="U4337" t="str">
        <f>IF(T4337='Analysis backend'!$L$1,IF(ISERROR(MATCH('Analysis backend'!$M$1,E4337:I4337,0)),"Dire","Radiant"),"")</f>
        <v/>
      </c>
    </row>
    <row r="4338" spans="20:21" x14ac:dyDescent="0.3">
      <c r="T4338" t="str">
        <f>IF(ISERROR(MATCH('Analysis backend'!$M$1,E4338:N4338,0)),"",'Analysis backend'!$L$1)</f>
        <v/>
      </c>
      <c r="U4338" t="str">
        <f>IF(T4338='Analysis backend'!$L$1,IF(ISERROR(MATCH('Analysis backend'!$M$1,E4338:I4338,0)),"Dire","Radiant"),"")</f>
        <v/>
      </c>
    </row>
    <row r="4339" spans="20:21" x14ac:dyDescent="0.3">
      <c r="T4339" t="str">
        <f>IF(ISERROR(MATCH('Analysis backend'!$M$1,E4339:N4339,0)),"",'Analysis backend'!$L$1)</f>
        <v/>
      </c>
      <c r="U4339" t="str">
        <f>IF(T4339='Analysis backend'!$L$1,IF(ISERROR(MATCH('Analysis backend'!$M$1,E4339:I4339,0)),"Dire","Radiant"),"")</f>
        <v/>
      </c>
    </row>
    <row r="4340" spans="20:21" x14ac:dyDescent="0.3">
      <c r="T4340" t="str">
        <f>IF(ISERROR(MATCH('Analysis backend'!$M$1,E4340:N4340,0)),"",'Analysis backend'!$L$1)</f>
        <v/>
      </c>
      <c r="U4340" t="str">
        <f>IF(T4340='Analysis backend'!$L$1,IF(ISERROR(MATCH('Analysis backend'!$M$1,E4340:I4340,0)),"Dire","Radiant"),"")</f>
        <v/>
      </c>
    </row>
    <row r="4341" spans="20:21" x14ac:dyDescent="0.3">
      <c r="T4341" t="str">
        <f>IF(ISERROR(MATCH('Analysis backend'!$M$1,E4341:N4341,0)),"",'Analysis backend'!$L$1)</f>
        <v/>
      </c>
      <c r="U4341" t="str">
        <f>IF(T4341='Analysis backend'!$L$1,IF(ISERROR(MATCH('Analysis backend'!$M$1,E4341:I4341,0)),"Dire","Radiant"),"")</f>
        <v/>
      </c>
    </row>
    <row r="4342" spans="20:21" x14ac:dyDescent="0.3">
      <c r="T4342" t="str">
        <f>IF(ISERROR(MATCH('Analysis backend'!$M$1,E4342:N4342,0)),"",'Analysis backend'!$L$1)</f>
        <v/>
      </c>
      <c r="U4342" t="str">
        <f>IF(T4342='Analysis backend'!$L$1,IF(ISERROR(MATCH('Analysis backend'!$M$1,E4342:I4342,0)),"Dire","Radiant"),"")</f>
        <v/>
      </c>
    </row>
    <row r="4343" spans="20:21" x14ac:dyDescent="0.3">
      <c r="T4343" t="str">
        <f>IF(ISERROR(MATCH('Analysis backend'!$M$1,E4343:N4343,0)),"",'Analysis backend'!$L$1)</f>
        <v/>
      </c>
      <c r="U4343" t="str">
        <f>IF(T4343='Analysis backend'!$L$1,IF(ISERROR(MATCH('Analysis backend'!$M$1,E4343:I4343,0)),"Dire","Radiant"),"")</f>
        <v/>
      </c>
    </row>
    <row r="4344" spans="20:21" x14ac:dyDescent="0.3">
      <c r="T4344" t="str">
        <f>IF(ISERROR(MATCH('Analysis backend'!$M$1,E4344:N4344,0)),"",'Analysis backend'!$L$1)</f>
        <v/>
      </c>
      <c r="U4344" t="str">
        <f>IF(T4344='Analysis backend'!$L$1,IF(ISERROR(MATCH('Analysis backend'!$M$1,E4344:I4344,0)),"Dire","Radiant"),"")</f>
        <v/>
      </c>
    </row>
    <row r="4345" spans="20:21" x14ac:dyDescent="0.3">
      <c r="T4345" t="str">
        <f>IF(ISERROR(MATCH('Analysis backend'!$M$1,E4345:N4345,0)),"",'Analysis backend'!$L$1)</f>
        <v/>
      </c>
      <c r="U4345" t="str">
        <f>IF(T4345='Analysis backend'!$L$1,IF(ISERROR(MATCH('Analysis backend'!$M$1,E4345:I4345,0)),"Dire","Radiant"),"")</f>
        <v/>
      </c>
    </row>
    <row r="4346" spans="20:21" x14ac:dyDescent="0.3">
      <c r="T4346" t="str">
        <f>IF(ISERROR(MATCH('Analysis backend'!$M$1,E4346:N4346,0)),"",'Analysis backend'!$L$1)</f>
        <v/>
      </c>
      <c r="U4346" t="str">
        <f>IF(T4346='Analysis backend'!$L$1,IF(ISERROR(MATCH('Analysis backend'!$M$1,E4346:I4346,0)),"Dire","Radiant"),"")</f>
        <v/>
      </c>
    </row>
    <row r="4347" spans="20:21" x14ac:dyDescent="0.3">
      <c r="T4347" t="str">
        <f>IF(ISERROR(MATCH('Analysis backend'!$M$1,E4347:N4347,0)),"",'Analysis backend'!$L$1)</f>
        <v/>
      </c>
      <c r="U4347" t="str">
        <f>IF(T4347='Analysis backend'!$L$1,IF(ISERROR(MATCH('Analysis backend'!$M$1,E4347:I4347,0)),"Dire","Radiant"),"")</f>
        <v/>
      </c>
    </row>
    <row r="4348" spans="20:21" x14ac:dyDescent="0.3">
      <c r="T4348" t="str">
        <f>IF(ISERROR(MATCH('Analysis backend'!$M$1,E4348:N4348,0)),"",'Analysis backend'!$L$1)</f>
        <v/>
      </c>
      <c r="U4348" t="str">
        <f>IF(T4348='Analysis backend'!$L$1,IF(ISERROR(MATCH('Analysis backend'!$M$1,E4348:I4348,0)),"Dire","Radiant"),"")</f>
        <v/>
      </c>
    </row>
    <row r="4349" spans="20:21" x14ac:dyDescent="0.3">
      <c r="T4349" t="str">
        <f>IF(ISERROR(MATCH('Analysis backend'!$M$1,E4349:N4349,0)),"",'Analysis backend'!$L$1)</f>
        <v/>
      </c>
      <c r="U4349" t="str">
        <f>IF(T4349='Analysis backend'!$L$1,IF(ISERROR(MATCH('Analysis backend'!$M$1,E4349:I4349,0)),"Dire","Radiant"),"")</f>
        <v/>
      </c>
    </row>
    <row r="4350" spans="20:21" x14ac:dyDescent="0.3">
      <c r="T4350" t="str">
        <f>IF(ISERROR(MATCH('Analysis backend'!$M$1,E4350:N4350,0)),"",'Analysis backend'!$L$1)</f>
        <v/>
      </c>
      <c r="U4350" t="str">
        <f>IF(T4350='Analysis backend'!$L$1,IF(ISERROR(MATCH('Analysis backend'!$M$1,E4350:I4350,0)),"Dire","Radiant"),"")</f>
        <v/>
      </c>
    </row>
    <row r="4351" spans="20:21" x14ac:dyDescent="0.3">
      <c r="T4351" t="str">
        <f>IF(ISERROR(MATCH('Analysis backend'!$M$1,E4351:N4351,0)),"",'Analysis backend'!$L$1)</f>
        <v/>
      </c>
      <c r="U4351" t="str">
        <f>IF(T4351='Analysis backend'!$L$1,IF(ISERROR(MATCH('Analysis backend'!$M$1,E4351:I4351,0)),"Dire","Radiant"),"")</f>
        <v/>
      </c>
    </row>
    <row r="4352" spans="20:21" x14ac:dyDescent="0.3">
      <c r="T4352" t="str">
        <f>IF(ISERROR(MATCH('Analysis backend'!$M$1,E4352:N4352,0)),"",'Analysis backend'!$L$1)</f>
        <v/>
      </c>
      <c r="U4352" t="str">
        <f>IF(T4352='Analysis backend'!$L$1,IF(ISERROR(MATCH('Analysis backend'!$M$1,E4352:I4352,0)),"Dire","Radiant"),"")</f>
        <v/>
      </c>
    </row>
    <row r="4353" spans="20:21" x14ac:dyDescent="0.3">
      <c r="T4353" t="str">
        <f>IF(ISERROR(MATCH('Analysis backend'!$M$1,E4353:N4353,0)),"",'Analysis backend'!$L$1)</f>
        <v/>
      </c>
      <c r="U4353" t="str">
        <f>IF(T4353='Analysis backend'!$L$1,IF(ISERROR(MATCH('Analysis backend'!$M$1,E4353:I4353,0)),"Dire","Radiant"),"")</f>
        <v/>
      </c>
    </row>
    <row r="4354" spans="20:21" x14ac:dyDescent="0.3">
      <c r="T4354" t="str">
        <f>IF(ISERROR(MATCH('Analysis backend'!$M$1,E4354:N4354,0)),"",'Analysis backend'!$L$1)</f>
        <v/>
      </c>
      <c r="U4354" t="str">
        <f>IF(T4354='Analysis backend'!$L$1,IF(ISERROR(MATCH('Analysis backend'!$M$1,E4354:I4354,0)),"Dire","Radiant"),"")</f>
        <v/>
      </c>
    </row>
    <row r="4355" spans="20:21" x14ac:dyDescent="0.3">
      <c r="T4355" t="str">
        <f>IF(ISERROR(MATCH('Analysis backend'!$M$1,E4355:N4355,0)),"",'Analysis backend'!$L$1)</f>
        <v/>
      </c>
      <c r="U4355" t="str">
        <f>IF(T4355='Analysis backend'!$L$1,IF(ISERROR(MATCH('Analysis backend'!$M$1,E4355:I4355,0)),"Dire","Radiant"),"")</f>
        <v/>
      </c>
    </row>
    <row r="4356" spans="20:21" x14ac:dyDescent="0.3">
      <c r="T4356" t="str">
        <f>IF(ISERROR(MATCH('Analysis backend'!$M$1,E4356:N4356,0)),"",'Analysis backend'!$L$1)</f>
        <v/>
      </c>
      <c r="U4356" t="str">
        <f>IF(T4356='Analysis backend'!$L$1,IF(ISERROR(MATCH('Analysis backend'!$M$1,E4356:I4356,0)),"Dire","Radiant"),"")</f>
        <v/>
      </c>
    </row>
    <row r="4357" spans="20:21" x14ac:dyDescent="0.3">
      <c r="T4357" t="str">
        <f>IF(ISERROR(MATCH('Analysis backend'!$M$1,E4357:N4357,0)),"",'Analysis backend'!$L$1)</f>
        <v/>
      </c>
      <c r="U4357" t="str">
        <f>IF(T4357='Analysis backend'!$L$1,IF(ISERROR(MATCH('Analysis backend'!$M$1,E4357:I4357,0)),"Dire","Radiant"),"")</f>
        <v/>
      </c>
    </row>
    <row r="4358" spans="20:21" x14ac:dyDescent="0.3">
      <c r="T4358" t="str">
        <f>IF(ISERROR(MATCH('Analysis backend'!$M$1,E4358:N4358,0)),"",'Analysis backend'!$L$1)</f>
        <v/>
      </c>
      <c r="U4358" t="str">
        <f>IF(T4358='Analysis backend'!$L$1,IF(ISERROR(MATCH('Analysis backend'!$M$1,E4358:I4358,0)),"Dire","Radiant"),"")</f>
        <v/>
      </c>
    </row>
    <row r="4359" spans="20:21" x14ac:dyDescent="0.3">
      <c r="T4359" t="str">
        <f>IF(ISERROR(MATCH('Analysis backend'!$M$1,E4359:N4359,0)),"",'Analysis backend'!$L$1)</f>
        <v/>
      </c>
      <c r="U4359" t="str">
        <f>IF(T4359='Analysis backend'!$L$1,IF(ISERROR(MATCH('Analysis backend'!$M$1,E4359:I4359,0)),"Dire","Radiant"),"")</f>
        <v/>
      </c>
    </row>
    <row r="4360" spans="20:21" x14ac:dyDescent="0.3">
      <c r="T4360" t="str">
        <f>IF(ISERROR(MATCH('Analysis backend'!$M$1,E4360:N4360,0)),"",'Analysis backend'!$L$1)</f>
        <v/>
      </c>
      <c r="U4360" t="str">
        <f>IF(T4360='Analysis backend'!$L$1,IF(ISERROR(MATCH('Analysis backend'!$M$1,E4360:I4360,0)),"Dire","Radiant"),"")</f>
        <v/>
      </c>
    </row>
    <row r="4361" spans="20:21" x14ac:dyDescent="0.3">
      <c r="T4361" t="str">
        <f>IF(ISERROR(MATCH('Analysis backend'!$M$1,E4361:N4361,0)),"",'Analysis backend'!$L$1)</f>
        <v/>
      </c>
      <c r="U4361" t="str">
        <f>IF(T4361='Analysis backend'!$L$1,IF(ISERROR(MATCH('Analysis backend'!$M$1,E4361:I4361,0)),"Dire","Radiant"),"")</f>
        <v/>
      </c>
    </row>
    <row r="4362" spans="20:21" x14ac:dyDescent="0.3">
      <c r="T4362" t="str">
        <f>IF(ISERROR(MATCH('Analysis backend'!$M$1,E4362:N4362,0)),"",'Analysis backend'!$L$1)</f>
        <v/>
      </c>
      <c r="U4362" t="str">
        <f>IF(T4362='Analysis backend'!$L$1,IF(ISERROR(MATCH('Analysis backend'!$M$1,E4362:I4362,0)),"Dire","Radiant"),"")</f>
        <v/>
      </c>
    </row>
    <row r="4363" spans="20:21" x14ac:dyDescent="0.3">
      <c r="T4363" t="str">
        <f>IF(ISERROR(MATCH('Analysis backend'!$M$1,E4363:N4363,0)),"",'Analysis backend'!$L$1)</f>
        <v/>
      </c>
      <c r="U4363" t="str">
        <f>IF(T4363='Analysis backend'!$L$1,IF(ISERROR(MATCH('Analysis backend'!$M$1,E4363:I4363,0)),"Dire","Radiant"),"")</f>
        <v/>
      </c>
    </row>
    <row r="4364" spans="20:21" x14ac:dyDescent="0.3">
      <c r="T4364" t="str">
        <f>IF(ISERROR(MATCH('Analysis backend'!$M$1,E4364:N4364,0)),"",'Analysis backend'!$L$1)</f>
        <v/>
      </c>
      <c r="U4364" t="str">
        <f>IF(T4364='Analysis backend'!$L$1,IF(ISERROR(MATCH('Analysis backend'!$M$1,E4364:I4364,0)),"Dire","Radiant"),"")</f>
        <v/>
      </c>
    </row>
    <row r="4365" spans="20:21" x14ac:dyDescent="0.3">
      <c r="T4365" t="str">
        <f>IF(ISERROR(MATCH('Analysis backend'!$M$1,E4365:N4365,0)),"",'Analysis backend'!$L$1)</f>
        <v/>
      </c>
      <c r="U4365" t="str">
        <f>IF(T4365='Analysis backend'!$L$1,IF(ISERROR(MATCH('Analysis backend'!$M$1,E4365:I4365,0)),"Dire","Radiant"),"")</f>
        <v/>
      </c>
    </row>
    <row r="4366" spans="20:21" x14ac:dyDescent="0.3">
      <c r="T4366" t="str">
        <f>IF(ISERROR(MATCH('Analysis backend'!$M$1,E4366:N4366,0)),"",'Analysis backend'!$L$1)</f>
        <v/>
      </c>
      <c r="U4366" t="str">
        <f>IF(T4366='Analysis backend'!$L$1,IF(ISERROR(MATCH('Analysis backend'!$M$1,E4366:I4366,0)),"Dire","Radiant"),"")</f>
        <v/>
      </c>
    </row>
    <row r="4367" spans="20:21" x14ac:dyDescent="0.3">
      <c r="T4367" t="str">
        <f>IF(ISERROR(MATCH('Analysis backend'!$M$1,E4367:N4367,0)),"",'Analysis backend'!$L$1)</f>
        <v/>
      </c>
      <c r="U4367" t="str">
        <f>IF(T4367='Analysis backend'!$L$1,IF(ISERROR(MATCH('Analysis backend'!$M$1,E4367:I4367,0)),"Dire","Radiant"),"")</f>
        <v/>
      </c>
    </row>
    <row r="4368" spans="20:21" x14ac:dyDescent="0.3">
      <c r="T4368" t="str">
        <f>IF(ISERROR(MATCH('Analysis backend'!$M$1,E4368:N4368,0)),"",'Analysis backend'!$L$1)</f>
        <v/>
      </c>
      <c r="U4368" t="str">
        <f>IF(T4368='Analysis backend'!$L$1,IF(ISERROR(MATCH('Analysis backend'!$M$1,E4368:I4368,0)),"Dire","Radiant"),"")</f>
        <v/>
      </c>
    </row>
    <row r="4369" spans="20:21" x14ac:dyDescent="0.3">
      <c r="T4369" t="str">
        <f>IF(ISERROR(MATCH('Analysis backend'!$M$1,E4369:N4369,0)),"",'Analysis backend'!$L$1)</f>
        <v/>
      </c>
      <c r="U4369" t="str">
        <f>IF(T4369='Analysis backend'!$L$1,IF(ISERROR(MATCH('Analysis backend'!$M$1,E4369:I4369,0)),"Dire","Radiant"),"")</f>
        <v/>
      </c>
    </row>
    <row r="4370" spans="20:21" x14ac:dyDescent="0.3">
      <c r="T4370" t="str">
        <f>IF(ISERROR(MATCH('Analysis backend'!$M$1,E4370:N4370,0)),"",'Analysis backend'!$L$1)</f>
        <v/>
      </c>
      <c r="U4370" t="str">
        <f>IF(T4370='Analysis backend'!$L$1,IF(ISERROR(MATCH('Analysis backend'!$M$1,E4370:I4370,0)),"Dire","Radiant"),"")</f>
        <v/>
      </c>
    </row>
    <row r="4371" spans="20:21" x14ac:dyDescent="0.3">
      <c r="T4371" t="str">
        <f>IF(ISERROR(MATCH('Analysis backend'!$M$1,E4371:N4371,0)),"",'Analysis backend'!$L$1)</f>
        <v/>
      </c>
      <c r="U4371" t="str">
        <f>IF(T4371='Analysis backend'!$L$1,IF(ISERROR(MATCH('Analysis backend'!$M$1,E4371:I4371,0)),"Dire","Radiant"),"")</f>
        <v/>
      </c>
    </row>
    <row r="4372" spans="20:21" x14ac:dyDescent="0.3">
      <c r="T4372" t="str">
        <f>IF(ISERROR(MATCH('Analysis backend'!$M$1,E4372:N4372,0)),"",'Analysis backend'!$L$1)</f>
        <v/>
      </c>
      <c r="U4372" t="str">
        <f>IF(T4372='Analysis backend'!$L$1,IF(ISERROR(MATCH('Analysis backend'!$M$1,E4372:I4372,0)),"Dire","Radiant"),"")</f>
        <v/>
      </c>
    </row>
    <row r="4373" spans="20:21" x14ac:dyDescent="0.3">
      <c r="T4373" t="str">
        <f>IF(ISERROR(MATCH('Analysis backend'!$M$1,E4373:N4373,0)),"",'Analysis backend'!$L$1)</f>
        <v/>
      </c>
      <c r="U4373" t="str">
        <f>IF(T4373='Analysis backend'!$L$1,IF(ISERROR(MATCH('Analysis backend'!$M$1,E4373:I4373,0)),"Dire","Radiant"),"")</f>
        <v/>
      </c>
    </row>
    <row r="4374" spans="20:21" x14ac:dyDescent="0.3">
      <c r="T4374" t="str">
        <f>IF(ISERROR(MATCH('Analysis backend'!$M$1,E4374:N4374,0)),"",'Analysis backend'!$L$1)</f>
        <v/>
      </c>
      <c r="U4374" t="str">
        <f>IF(T4374='Analysis backend'!$L$1,IF(ISERROR(MATCH('Analysis backend'!$M$1,E4374:I4374,0)),"Dire","Radiant"),"")</f>
        <v/>
      </c>
    </row>
    <row r="4375" spans="20:21" x14ac:dyDescent="0.3">
      <c r="T4375" t="str">
        <f>IF(ISERROR(MATCH('Analysis backend'!$M$1,E4375:N4375,0)),"",'Analysis backend'!$L$1)</f>
        <v/>
      </c>
      <c r="U4375" t="str">
        <f>IF(T4375='Analysis backend'!$L$1,IF(ISERROR(MATCH('Analysis backend'!$M$1,E4375:I4375,0)),"Dire","Radiant"),"")</f>
        <v/>
      </c>
    </row>
    <row r="4376" spans="20:21" x14ac:dyDescent="0.3">
      <c r="T4376" t="str">
        <f>IF(ISERROR(MATCH('Analysis backend'!$M$1,E4376:N4376,0)),"",'Analysis backend'!$L$1)</f>
        <v/>
      </c>
      <c r="U4376" t="str">
        <f>IF(T4376='Analysis backend'!$L$1,IF(ISERROR(MATCH('Analysis backend'!$M$1,E4376:I4376,0)),"Dire","Radiant"),"")</f>
        <v/>
      </c>
    </row>
    <row r="4377" spans="20:21" x14ac:dyDescent="0.3">
      <c r="T4377" t="str">
        <f>IF(ISERROR(MATCH('Analysis backend'!$M$1,E4377:N4377,0)),"",'Analysis backend'!$L$1)</f>
        <v/>
      </c>
      <c r="U4377" t="str">
        <f>IF(T4377='Analysis backend'!$L$1,IF(ISERROR(MATCH('Analysis backend'!$M$1,E4377:I4377,0)),"Dire","Radiant"),"")</f>
        <v/>
      </c>
    </row>
    <row r="4378" spans="20:21" x14ac:dyDescent="0.3">
      <c r="T4378" t="str">
        <f>IF(ISERROR(MATCH('Analysis backend'!$M$1,E4378:N4378,0)),"",'Analysis backend'!$L$1)</f>
        <v/>
      </c>
      <c r="U4378" t="str">
        <f>IF(T4378='Analysis backend'!$L$1,IF(ISERROR(MATCH('Analysis backend'!$M$1,E4378:I4378,0)),"Dire","Radiant"),"")</f>
        <v/>
      </c>
    </row>
    <row r="4379" spans="20:21" x14ac:dyDescent="0.3">
      <c r="T4379" t="str">
        <f>IF(ISERROR(MATCH('Analysis backend'!$M$1,E4379:N4379,0)),"",'Analysis backend'!$L$1)</f>
        <v/>
      </c>
      <c r="U4379" t="str">
        <f>IF(T4379='Analysis backend'!$L$1,IF(ISERROR(MATCH('Analysis backend'!$M$1,E4379:I4379,0)),"Dire","Radiant"),"")</f>
        <v/>
      </c>
    </row>
    <row r="4380" spans="20:21" x14ac:dyDescent="0.3">
      <c r="T4380" t="str">
        <f>IF(ISERROR(MATCH('Analysis backend'!$M$1,E4380:N4380,0)),"",'Analysis backend'!$L$1)</f>
        <v/>
      </c>
      <c r="U4380" t="str">
        <f>IF(T4380='Analysis backend'!$L$1,IF(ISERROR(MATCH('Analysis backend'!$M$1,E4380:I4380,0)),"Dire","Radiant"),"")</f>
        <v/>
      </c>
    </row>
    <row r="4381" spans="20:21" x14ac:dyDescent="0.3">
      <c r="T4381" t="str">
        <f>IF(ISERROR(MATCH('Analysis backend'!$M$1,E4381:N4381,0)),"",'Analysis backend'!$L$1)</f>
        <v/>
      </c>
      <c r="U4381" t="str">
        <f>IF(T4381='Analysis backend'!$L$1,IF(ISERROR(MATCH('Analysis backend'!$M$1,E4381:I4381,0)),"Dire","Radiant"),"")</f>
        <v/>
      </c>
    </row>
    <row r="4382" spans="20:21" x14ac:dyDescent="0.3">
      <c r="T4382" t="str">
        <f>IF(ISERROR(MATCH('Analysis backend'!$M$1,E4382:N4382,0)),"",'Analysis backend'!$L$1)</f>
        <v/>
      </c>
      <c r="U4382" t="str">
        <f>IF(T4382='Analysis backend'!$L$1,IF(ISERROR(MATCH('Analysis backend'!$M$1,E4382:I4382,0)),"Dire","Radiant"),"")</f>
        <v/>
      </c>
    </row>
    <row r="4383" spans="20:21" x14ac:dyDescent="0.3">
      <c r="T4383" t="str">
        <f>IF(ISERROR(MATCH('Analysis backend'!$M$1,E4383:N4383,0)),"",'Analysis backend'!$L$1)</f>
        <v/>
      </c>
      <c r="U4383" t="str">
        <f>IF(T4383='Analysis backend'!$L$1,IF(ISERROR(MATCH('Analysis backend'!$M$1,E4383:I4383,0)),"Dire","Radiant"),"")</f>
        <v/>
      </c>
    </row>
    <row r="4384" spans="20:21" x14ac:dyDescent="0.3">
      <c r="T4384" t="str">
        <f>IF(ISERROR(MATCH('Analysis backend'!$M$1,E4384:N4384,0)),"",'Analysis backend'!$L$1)</f>
        <v/>
      </c>
      <c r="U4384" t="str">
        <f>IF(T4384='Analysis backend'!$L$1,IF(ISERROR(MATCH('Analysis backend'!$M$1,E4384:I4384,0)),"Dire","Radiant"),"")</f>
        <v/>
      </c>
    </row>
    <row r="4385" spans="20:21" x14ac:dyDescent="0.3">
      <c r="T4385" t="str">
        <f>IF(ISERROR(MATCH('Analysis backend'!$M$1,E4385:N4385,0)),"",'Analysis backend'!$L$1)</f>
        <v/>
      </c>
      <c r="U4385" t="str">
        <f>IF(T4385='Analysis backend'!$L$1,IF(ISERROR(MATCH('Analysis backend'!$M$1,E4385:I4385,0)),"Dire","Radiant"),"")</f>
        <v/>
      </c>
    </row>
    <row r="4386" spans="20:21" x14ac:dyDescent="0.3">
      <c r="T4386" t="str">
        <f>IF(ISERROR(MATCH('Analysis backend'!$M$1,E4386:N4386,0)),"",'Analysis backend'!$L$1)</f>
        <v/>
      </c>
      <c r="U4386" t="str">
        <f>IF(T4386='Analysis backend'!$L$1,IF(ISERROR(MATCH('Analysis backend'!$M$1,E4386:I4386,0)),"Dire","Radiant"),"")</f>
        <v/>
      </c>
    </row>
    <row r="4387" spans="20:21" x14ac:dyDescent="0.3">
      <c r="T4387" t="str">
        <f>IF(ISERROR(MATCH('Analysis backend'!$M$1,E4387:N4387,0)),"",'Analysis backend'!$L$1)</f>
        <v/>
      </c>
      <c r="U4387" t="str">
        <f>IF(T4387='Analysis backend'!$L$1,IF(ISERROR(MATCH('Analysis backend'!$M$1,E4387:I4387,0)),"Dire","Radiant"),"")</f>
        <v/>
      </c>
    </row>
    <row r="4388" spans="20:21" x14ac:dyDescent="0.3">
      <c r="T4388" t="str">
        <f>IF(ISERROR(MATCH('Analysis backend'!$M$1,E4388:N4388,0)),"",'Analysis backend'!$L$1)</f>
        <v/>
      </c>
      <c r="U4388" t="str">
        <f>IF(T4388='Analysis backend'!$L$1,IF(ISERROR(MATCH('Analysis backend'!$M$1,E4388:I4388,0)),"Dire","Radiant"),"")</f>
        <v/>
      </c>
    </row>
    <row r="4389" spans="20:21" x14ac:dyDescent="0.3">
      <c r="T4389" t="str">
        <f>IF(ISERROR(MATCH('Analysis backend'!$M$1,E4389:N4389,0)),"",'Analysis backend'!$L$1)</f>
        <v/>
      </c>
      <c r="U4389" t="str">
        <f>IF(T4389='Analysis backend'!$L$1,IF(ISERROR(MATCH('Analysis backend'!$M$1,E4389:I4389,0)),"Dire","Radiant"),"")</f>
        <v/>
      </c>
    </row>
    <row r="4390" spans="20:21" x14ac:dyDescent="0.3">
      <c r="T4390" t="str">
        <f>IF(ISERROR(MATCH('Analysis backend'!$M$1,E4390:N4390,0)),"",'Analysis backend'!$L$1)</f>
        <v/>
      </c>
      <c r="U4390" t="str">
        <f>IF(T4390='Analysis backend'!$L$1,IF(ISERROR(MATCH('Analysis backend'!$M$1,E4390:I4390,0)),"Dire","Radiant"),"")</f>
        <v/>
      </c>
    </row>
    <row r="4391" spans="20:21" x14ac:dyDescent="0.3">
      <c r="T4391" t="str">
        <f>IF(ISERROR(MATCH('Analysis backend'!$M$1,E4391:N4391,0)),"",'Analysis backend'!$L$1)</f>
        <v/>
      </c>
      <c r="U4391" t="str">
        <f>IF(T4391='Analysis backend'!$L$1,IF(ISERROR(MATCH('Analysis backend'!$M$1,E4391:I4391,0)),"Dire","Radiant"),"")</f>
        <v/>
      </c>
    </row>
    <row r="4392" spans="20:21" x14ac:dyDescent="0.3">
      <c r="T4392" t="str">
        <f>IF(ISERROR(MATCH('Analysis backend'!$M$1,E4392:N4392,0)),"",'Analysis backend'!$L$1)</f>
        <v/>
      </c>
      <c r="U4392" t="str">
        <f>IF(T4392='Analysis backend'!$L$1,IF(ISERROR(MATCH('Analysis backend'!$M$1,E4392:I4392,0)),"Dire","Radiant"),"")</f>
        <v/>
      </c>
    </row>
    <row r="4393" spans="20:21" x14ac:dyDescent="0.3">
      <c r="T4393" t="str">
        <f>IF(ISERROR(MATCH('Analysis backend'!$M$1,E4393:N4393,0)),"",'Analysis backend'!$L$1)</f>
        <v/>
      </c>
      <c r="U4393" t="str">
        <f>IF(T4393='Analysis backend'!$L$1,IF(ISERROR(MATCH('Analysis backend'!$M$1,E4393:I4393,0)),"Dire","Radiant"),"")</f>
        <v/>
      </c>
    </row>
    <row r="4394" spans="20:21" x14ac:dyDescent="0.3">
      <c r="T4394" t="str">
        <f>IF(ISERROR(MATCH('Analysis backend'!$M$1,E4394:N4394,0)),"",'Analysis backend'!$L$1)</f>
        <v/>
      </c>
      <c r="U4394" t="str">
        <f>IF(T4394='Analysis backend'!$L$1,IF(ISERROR(MATCH('Analysis backend'!$M$1,E4394:I4394,0)),"Dire","Radiant"),"")</f>
        <v/>
      </c>
    </row>
    <row r="4395" spans="20:21" x14ac:dyDescent="0.3">
      <c r="T4395" t="str">
        <f>IF(ISERROR(MATCH('Analysis backend'!$M$1,E4395:N4395,0)),"",'Analysis backend'!$L$1)</f>
        <v/>
      </c>
      <c r="U4395" t="str">
        <f>IF(T4395='Analysis backend'!$L$1,IF(ISERROR(MATCH('Analysis backend'!$M$1,E4395:I4395,0)),"Dire","Radiant"),"")</f>
        <v/>
      </c>
    </row>
    <row r="4396" spans="20:21" x14ac:dyDescent="0.3">
      <c r="T4396" t="str">
        <f>IF(ISERROR(MATCH('Analysis backend'!$M$1,E4396:N4396,0)),"",'Analysis backend'!$L$1)</f>
        <v/>
      </c>
      <c r="U4396" t="str">
        <f>IF(T4396='Analysis backend'!$L$1,IF(ISERROR(MATCH('Analysis backend'!$M$1,E4396:I4396,0)),"Dire","Radiant"),"")</f>
        <v/>
      </c>
    </row>
    <row r="4397" spans="20:21" x14ac:dyDescent="0.3">
      <c r="T4397" t="str">
        <f>IF(ISERROR(MATCH('Analysis backend'!$M$1,E4397:N4397,0)),"",'Analysis backend'!$L$1)</f>
        <v/>
      </c>
      <c r="U4397" t="str">
        <f>IF(T4397='Analysis backend'!$L$1,IF(ISERROR(MATCH('Analysis backend'!$M$1,E4397:I4397,0)),"Dire","Radiant"),"")</f>
        <v/>
      </c>
    </row>
    <row r="4398" spans="20:21" x14ac:dyDescent="0.3">
      <c r="T4398" t="str">
        <f>IF(ISERROR(MATCH('Analysis backend'!$M$1,E4398:N4398,0)),"",'Analysis backend'!$L$1)</f>
        <v/>
      </c>
      <c r="U4398" t="str">
        <f>IF(T4398='Analysis backend'!$L$1,IF(ISERROR(MATCH('Analysis backend'!$M$1,E4398:I4398,0)),"Dire","Radiant"),"")</f>
        <v/>
      </c>
    </row>
    <row r="4399" spans="20:21" x14ac:dyDescent="0.3">
      <c r="T4399" t="str">
        <f>IF(ISERROR(MATCH('Analysis backend'!$M$1,E4399:N4399,0)),"",'Analysis backend'!$L$1)</f>
        <v/>
      </c>
      <c r="U4399" t="str">
        <f>IF(T4399='Analysis backend'!$L$1,IF(ISERROR(MATCH('Analysis backend'!$M$1,E4399:I4399,0)),"Dire","Radiant"),"")</f>
        <v/>
      </c>
    </row>
    <row r="4400" spans="20:21" x14ac:dyDescent="0.3">
      <c r="T4400" t="str">
        <f>IF(ISERROR(MATCH('Analysis backend'!$M$1,E4400:N4400,0)),"",'Analysis backend'!$L$1)</f>
        <v/>
      </c>
      <c r="U4400" t="str">
        <f>IF(T4400='Analysis backend'!$L$1,IF(ISERROR(MATCH('Analysis backend'!$M$1,E4400:I4400,0)),"Dire","Radiant"),"")</f>
        <v/>
      </c>
    </row>
    <row r="4401" spans="20:21" x14ac:dyDescent="0.3">
      <c r="T4401" t="str">
        <f>IF(ISERROR(MATCH('Analysis backend'!$M$1,E4401:N4401,0)),"",'Analysis backend'!$L$1)</f>
        <v/>
      </c>
      <c r="U4401" t="str">
        <f>IF(T4401='Analysis backend'!$L$1,IF(ISERROR(MATCH('Analysis backend'!$M$1,E4401:I4401,0)),"Dire","Radiant"),"")</f>
        <v/>
      </c>
    </row>
    <row r="4402" spans="20:21" x14ac:dyDescent="0.3">
      <c r="T4402" t="str">
        <f>IF(ISERROR(MATCH('Analysis backend'!$M$1,E4402:N4402,0)),"",'Analysis backend'!$L$1)</f>
        <v/>
      </c>
      <c r="U4402" t="str">
        <f>IF(T4402='Analysis backend'!$L$1,IF(ISERROR(MATCH('Analysis backend'!$M$1,E4402:I4402,0)),"Dire","Radiant"),"")</f>
        <v/>
      </c>
    </row>
    <row r="4403" spans="20:21" x14ac:dyDescent="0.3">
      <c r="T4403" t="str">
        <f>IF(ISERROR(MATCH('Analysis backend'!$M$1,E4403:N4403,0)),"",'Analysis backend'!$L$1)</f>
        <v/>
      </c>
      <c r="U4403" t="str">
        <f>IF(T4403='Analysis backend'!$L$1,IF(ISERROR(MATCH('Analysis backend'!$M$1,E4403:I4403,0)),"Dire","Radiant"),"")</f>
        <v/>
      </c>
    </row>
    <row r="4404" spans="20:21" x14ac:dyDescent="0.3">
      <c r="T4404" t="str">
        <f>IF(ISERROR(MATCH('Analysis backend'!$M$1,E4404:N4404,0)),"",'Analysis backend'!$L$1)</f>
        <v/>
      </c>
      <c r="U4404" t="str">
        <f>IF(T4404='Analysis backend'!$L$1,IF(ISERROR(MATCH('Analysis backend'!$M$1,E4404:I4404,0)),"Dire","Radiant"),"")</f>
        <v/>
      </c>
    </row>
    <row r="4405" spans="20:21" x14ac:dyDescent="0.3">
      <c r="T4405" t="str">
        <f>IF(ISERROR(MATCH('Analysis backend'!$M$1,E4405:N4405,0)),"",'Analysis backend'!$L$1)</f>
        <v/>
      </c>
      <c r="U4405" t="str">
        <f>IF(T4405='Analysis backend'!$L$1,IF(ISERROR(MATCH('Analysis backend'!$M$1,E4405:I4405,0)),"Dire","Radiant"),"")</f>
        <v/>
      </c>
    </row>
    <row r="4406" spans="20:21" x14ac:dyDescent="0.3">
      <c r="T4406" t="str">
        <f>IF(ISERROR(MATCH('Analysis backend'!$M$1,E4406:N4406,0)),"",'Analysis backend'!$L$1)</f>
        <v/>
      </c>
      <c r="U4406" t="str">
        <f>IF(T4406='Analysis backend'!$L$1,IF(ISERROR(MATCH('Analysis backend'!$M$1,E4406:I4406,0)),"Dire","Radiant"),"")</f>
        <v/>
      </c>
    </row>
    <row r="4407" spans="20:21" x14ac:dyDescent="0.3">
      <c r="T4407" t="str">
        <f>IF(ISERROR(MATCH('Analysis backend'!$M$1,E4407:N4407,0)),"",'Analysis backend'!$L$1)</f>
        <v/>
      </c>
      <c r="U4407" t="str">
        <f>IF(T4407='Analysis backend'!$L$1,IF(ISERROR(MATCH('Analysis backend'!$M$1,E4407:I4407,0)),"Dire","Radiant"),"")</f>
        <v/>
      </c>
    </row>
    <row r="4408" spans="20:21" x14ac:dyDescent="0.3">
      <c r="T4408" t="str">
        <f>IF(ISERROR(MATCH('Analysis backend'!$M$1,E4408:N4408,0)),"",'Analysis backend'!$L$1)</f>
        <v/>
      </c>
      <c r="U4408" t="str">
        <f>IF(T4408='Analysis backend'!$L$1,IF(ISERROR(MATCH('Analysis backend'!$M$1,E4408:I4408,0)),"Dire","Radiant"),"")</f>
        <v/>
      </c>
    </row>
    <row r="4409" spans="20:21" x14ac:dyDescent="0.3">
      <c r="T4409" t="str">
        <f>IF(ISERROR(MATCH('Analysis backend'!$M$1,E4409:N4409,0)),"",'Analysis backend'!$L$1)</f>
        <v/>
      </c>
      <c r="U4409" t="str">
        <f>IF(T4409='Analysis backend'!$L$1,IF(ISERROR(MATCH('Analysis backend'!$M$1,E4409:I4409,0)),"Dire","Radiant"),"")</f>
        <v/>
      </c>
    </row>
    <row r="4410" spans="20:21" x14ac:dyDescent="0.3">
      <c r="T4410" t="str">
        <f>IF(ISERROR(MATCH('Analysis backend'!$M$1,E4410:N4410,0)),"",'Analysis backend'!$L$1)</f>
        <v/>
      </c>
      <c r="U4410" t="str">
        <f>IF(T4410='Analysis backend'!$L$1,IF(ISERROR(MATCH('Analysis backend'!$M$1,E4410:I4410,0)),"Dire","Radiant"),"")</f>
        <v/>
      </c>
    </row>
    <row r="4411" spans="20:21" x14ac:dyDescent="0.3">
      <c r="T4411" t="str">
        <f>IF(ISERROR(MATCH('Analysis backend'!$M$1,E4411:N4411,0)),"",'Analysis backend'!$L$1)</f>
        <v/>
      </c>
      <c r="U4411" t="str">
        <f>IF(T4411='Analysis backend'!$L$1,IF(ISERROR(MATCH('Analysis backend'!$M$1,E4411:I4411,0)),"Dire","Radiant"),"")</f>
        <v/>
      </c>
    </row>
    <row r="4412" spans="20:21" x14ac:dyDescent="0.3">
      <c r="T4412" t="str">
        <f>IF(ISERROR(MATCH('Analysis backend'!$M$1,E4412:N4412,0)),"",'Analysis backend'!$L$1)</f>
        <v/>
      </c>
      <c r="U4412" t="str">
        <f>IF(T4412='Analysis backend'!$L$1,IF(ISERROR(MATCH('Analysis backend'!$M$1,E4412:I4412,0)),"Dire","Radiant"),"")</f>
        <v/>
      </c>
    </row>
    <row r="4413" spans="20:21" x14ac:dyDescent="0.3">
      <c r="T4413" t="str">
        <f>IF(ISERROR(MATCH('Analysis backend'!$M$1,E4413:N4413,0)),"",'Analysis backend'!$L$1)</f>
        <v/>
      </c>
      <c r="U4413" t="str">
        <f>IF(T4413='Analysis backend'!$L$1,IF(ISERROR(MATCH('Analysis backend'!$M$1,E4413:I4413,0)),"Dire","Radiant"),"")</f>
        <v/>
      </c>
    </row>
    <row r="4414" spans="20:21" x14ac:dyDescent="0.3">
      <c r="T4414" t="str">
        <f>IF(ISERROR(MATCH('Analysis backend'!$M$1,E4414:N4414,0)),"",'Analysis backend'!$L$1)</f>
        <v/>
      </c>
      <c r="U4414" t="str">
        <f>IF(T4414='Analysis backend'!$L$1,IF(ISERROR(MATCH('Analysis backend'!$M$1,E4414:I4414,0)),"Dire","Radiant"),"")</f>
        <v/>
      </c>
    </row>
    <row r="4415" spans="20:21" x14ac:dyDescent="0.3">
      <c r="T4415" t="str">
        <f>IF(ISERROR(MATCH('Analysis backend'!$M$1,E4415:N4415,0)),"",'Analysis backend'!$L$1)</f>
        <v/>
      </c>
      <c r="U4415" t="str">
        <f>IF(T4415='Analysis backend'!$L$1,IF(ISERROR(MATCH('Analysis backend'!$M$1,E4415:I4415,0)),"Dire","Radiant"),"")</f>
        <v/>
      </c>
    </row>
    <row r="4416" spans="20:21" x14ac:dyDescent="0.3">
      <c r="T4416" t="str">
        <f>IF(ISERROR(MATCH('Analysis backend'!$M$1,E4416:N4416,0)),"",'Analysis backend'!$L$1)</f>
        <v/>
      </c>
      <c r="U4416" t="str">
        <f>IF(T4416='Analysis backend'!$L$1,IF(ISERROR(MATCH('Analysis backend'!$M$1,E4416:I4416,0)),"Dire","Radiant"),"")</f>
        <v/>
      </c>
    </row>
    <row r="4417" spans="20:21" x14ac:dyDescent="0.3">
      <c r="T4417" t="str">
        <f>IF(ISERROR(MATCH('Analysis backend'!$M$1,E4417:N4417,0)),"",'Analysis backend'!$L$1)</f>
        <v/>
      </c>
      <c r="U4417" t="str">
        <f>IF(T4417='Analysis backend'!$L$1,IF(ISERROR(MATCH('Analysis backend'!$M$1,E4417:I4417,0)),"Dire","Radiant"),"")</f>
        <v/>
      </c>
    </row>
    <row r="4418" spans="20:21" x14ac:dyDescent="0.3">
      <c r="T4418" t="str">
        <f>IF(ISERROR(MATCH('Analysis backend'!$M$1,E4418:N4418,0)),"",'Analysis backend'!$L$1)</f>
        <v/>
      </c>
      <c r="U4418" t="str">
        <f>IF(T4418='Analysis backend'!$L$1,IF(ISERROR(MATCH('Analysis backend'!$M$1,E4418:I4418,0)),"Dire","Radiant"),"")</f>
        <v/>
      </c>
    </row>
    <row r="4419" spans="20:21" x14ac:dyDescent="0.3">
      <c r="T4419" t="str">
        <f>IF(ISERROR(MATCH('Analysis backend'!$M$1,E4419:N4419,0)),"",'Analysis backend'!$L$1)</f>
        <v/>
      </c>
      <c r="U4419" t="str">
        <f>IF(T4419='Analysis backend'!$L$1,IF(ISERROR(MATCH('Analysis backend'!$M$1,E4419:I4419,0)),"Dire","Radiant"),"")</f>
        <v/>
      </c>
    </row>
    <row r="4420" spans="20:21" x14ac:dyDescent="0.3">
      <c r="T4420" t="str">
        <f>IF(ISERROR(MATCH('Analysis backend'!$M$1,E4420:N4420,0)),"",'Analysis backend'!$L$1)</f>
        <v/>
      </c>
      <c r="U4420" t="str">
        <f>IF(T4420='Analysis backend'!$L$1,IF(ISERROR(MATCH('Analysis backend'!$M$1,E4420:I4420,0)),"Dire","Radiant"),"")</f>
        <v/>
      </c>
    </row>
    <row r="4421" spans="20:21" x14ac:dyDescent="0.3">
      <c r="T4421" t="str">
        <f>IF(ISERROR(MATCH('Analysis backend'!$M$1,E4421:N4421,0)),"",'Analysis backend'!$L$1)</f>
        <v/>
      </c>
      <c r="U4421" t="str">
        <f>IF(T4421='Analysis backend'!$L$1,IF(ISERROR(MATCH('Analysis backend'!$M$1,E4421:I4421,0)),"Dire","Radiant"),"")</f>
        <v/>
      </c>
    </row>
    <row r="4422" spans="20:21" x14ac:dyDescent="0.3">
      <c r="T4422" t="str">
        <f>IF(ISERROR(MATCH('Analysis backend'!$M$1,E4422:N4422,0)),"",'Analysis backend'!$L$1)</f>
        <v/>
      </c>
      <c r="U4422" t="str">
        <f>IF(T4422='Analysis backend'!$L$1,IF(ISERROR(MATCH('Analysis backend'!$M$1,E4422:I4422,0)),"Dire","Radiant"),"")</f>
        <v/>
      </c>
    </row>
    <row r="4423" spans="20:21" x14ac:dyDescent="0.3">
      <c r="T4423" t="str">
        <f>IF(ISERROR(MATCH('Analysis backend'!$M$1,E4423:N4423,0)),"",'Analysis backend'!$L$1)</f>
        <v/>
      </c>
      <c r="U4423" t="str">
        <f>IF(T4423='Analysis backend'!$L$1,IF(ISERROR(MATCH('Analysis backend'!$M$1,E4423:I4423,0)),"Dire","Radiant"),"")</f>
        <v/>
      </c>
    </row>
    <row r="4424" spans="20:21" x14ac:dyDescent="0.3">
      <c r="T4424" t="str">
        <f>IF(ISERROR(MATCH('Analysis backend'!$M$1,E4424:N4424,0)),"",'Analysis backend'!$L$1)</f>
        <v/>
      </c>
      <c r="U4424" t="str">
        <f>IF(T4424='Analysis backend'!$L$1,IF(ISERROR(MATCH('Analysis backend'!$M$1,E4424:I4424,0)),"Dire","Radiant"),"")</f>
        <v/>
      </c>
    </row>
    <row r="4425" spans="20:21" x14ac:dyDescent="0.3">
      <c r="T4425" t="str">
        <f>IF(ISERROR(MATCH('Analysis backend'!$M$1,E4425:N4425,0)),"",'Analysis backend'!$L$1)</f>
        <v/>
      </c>
      <c r="U4425" t="str">
        <f>IF(T4425='Analysis backend'!$L$1,IF(ISERROR(MATCH('Analysis backend'!$M$1,E4425:I4425,0)),"Dire","Radiant"),"")</f>
        <v/>
      </c>
    </row>
    <row r="4426" spans="20:21" x14ac:dyDescent="0.3">
      <c r="T4426" t="str">
        <f>IF(ISERROR(MATCH('Analysis backend'!$M$1,E4426:N4426,0)),"",'Analysis backend'!$L$1)</f>
        <v/>
      </c>
      <c r="U4426" t="str">
        <f>IF(T4426='Analysis backend'!$L$1,IF(ISERROR(MATCH('Analysis backend'!$M$1,E4426:I4426,0)),"Dire","Radiant"),"")</f>
        <v/>
      </c>
    </row>
    <row r="4427" spans="20:21" x14ac:dyDescent="0.3">
      <c r="T4427" t="str">
        <f>IF(ISERROR(MATCH('Analysis backend'!$M$1,E4427:N4427,0)),"",'Analysis backend'!$L$1)</f>
        <v/>
      </c>
      <c r="U4427" t="str">
        <f>IF(T4427='Analysis backend'!$L$1,IF(ISERROR(MATCH('Analysis backend'!$M$1,E4427:I4427,0)),"Dire","Radiant"),"")</f>
        <v/>
      </c>
    </row>
    <row r="4428" spans="20:21" x14ac:dyDescent="0.3">
      <c r="T4428" t="str">
        <f>IF(ISERROR(MATCH('Analysis backend'!$M$1,E4428:N4428,0)),"",'Analysis backend'!$L$1)</f>
        <v/>
      </c>
      <c r="U4428" t="str">
        <f>IF(T4428='Analysis backend'!$L$1,IF(ISERROR(MATCH('Analysis backend'!$M$1,E4428:I4428,0)),"Dire","Radiant"),"")</f>
        <v/>
      </c>
    </row>
    <row r="4429" spans="20:21" x14ac:dyDescent="0.3">
      <c r="T4429" t="str">
        <f>IF(ISERROR(MATCH('Analysis backend'!$M$1,E4429:N4429,0)),"",'Analysis backend'!$L$1)</f>
        <v/>
      </c>
      <c r="U4429" t="str">
        <f>IF(T4429='Analysis backend'!$L$1,IF(ISERROR(MATCH('Analysis backend'!$M$1,E4429:I4429,0)),"Dire","Radiant"),"")</f>
        <v/>
      </c>
    </row>
    <row r="4430" spans="20:21" x14ac:dyDescent="0.3">
      <c r="T4430" t="str">
        <f>IF(ISERROR(MATCH('Analysis backend'!$M$1,E4430:N4430,0)),"",'Analysis backend'!$L$1)</f>
        <v/>
      </c>
      <c r="U4430" t="str">
        <f>IF(T4430='Analysis backend'!$L$1,IF(ISERROR(MATCH('Analysis backend'!$M$1,E4430:I4430,0)),"Dire","Radiant"),"")</f>
        <v/>
      </c>
    </row>
    <row r="4431" spans="20:21" x14ac:dyDescent="0.3">
      <c r="T4431" t="str">
        <f>IF(ISERROR(MATCH('Analysis backend'!$M$1,E4431:N4431,0)),"",'Analysis backend'!$L$1)</f>
        <v/>
      </c>
      <c r="U4431" t="str">
        <f>IF(T4431='Analysis backend'!$L$1,IF(ISERROR(MATCH('Analysis backend'!$M$1,E4431:I4431,0)),"Dire","Radiant"),"")</f>
        <v/>
      </c>
    </row>
    <row r="4432" spans="20:21" x14ac:dyDescent="0.3">
      <c r="T4432" t="str">
        <f>IF(ISERROR(MATCH('Analysis backend'!$M$1,E4432:N4432,0)),"",'Analysis backend'!$L$1)</f>
        <v/>
      </c>
      <c r="U4432" t="str">
        <f>IF(T4432='Analysis backend'!$L$1,IF(ISERROR(MATCH('Analysis backend'!$M$1,E4432:I4432,0)),"Dire","Radiant"),"")</f>
        <v/>
      </c>
    </row>
    <row r="4433" spans="20:21" x14ac:dyDescent="0.3">
      <c r="T4433" t="str">
        <f>IF(ISERROR(MATCH('Analysis backend'!$M$1,E4433:N4433,0)),"",'Analysis backend'!$L$1)</f>
        <v/>
      </c>
      <c r="U4433" t="str">
        <f>IF(T4433='Analysis backend'!$L$1,IF(ISERROR(MATCH('Analysis backend'!$M$1,E4433:I4433,0)),"Dire","Radiant"),"")</f>
        <v/>
      </c>
    </row>
    <row r="4434" spans="20:21" x14ac:dyDescent="0.3">
      <c r="T4434" t="str">
        <f>IF(ISERROR(MATCH('Analysis backend'!$M$1,E4434:N4434,0)),"",'Analysis backend'!$L$1)</f>
        <v/>
      </c>
      <c r="U4434" t="str">
        <f>IF(T4434='Analysis backend'!$L$1,IF(ISERROR(MATCH('Analysis backend'!$M$1,E4434:I4434,0)),"Dire","Radiant"),"")</f>
        <v/>
      </c>
    </row>
    <row r="4435" spans="20:21" x14ac:dyDescent="0.3">
      <c r="T4435" t="str">
        <f>IF(ISERROR(MATCH('Analysis backend'!$M$1,E4435:N4435,0)),"",'Analysis backend'!$L$1)</f>
        <v/>
      </c>
      <c r="U4435" t="str">
        <f>IF(T4435='Analysis backend'!$L$1,IF(ISERROR(MATCH('Analysis backend'!$M$1,E4435:I4435,0)),"Dire","Radiant"),"")</f>
        <v/>
      </c>
    </row>
    <row r="4436" spans="20:21" x14ac:dyDescent="0.3">
      <c r="T4436" t="str">
        <f>IF(ISERROR(MATCH('Analysis backend'!$M$1,E4436:N4436,0)),"",'Analysis backend'!$L$1)</f>
        <v/>
      </c>
      <c r="U4436" t="str">
        <f>IF(T4436='Analysis backend'!$L$1,IF(ISERROR(MATCH('Analysis backend'!$M$1,E4436:I4436,0)),"Dire","Radiant"),"")</f>
        <v/>
      </c>
    </row>
    <row r="4437" spans="20:21" x14ac:dyDescent="0.3">
      <c r="T4437" t="str">
        <f>IF(ISERROR(MATCH('Analysis backend'!$M$1,E4437:N4437,0)),"",'Analysis backend'!$L$1)</f>
        <v/>
      </c>
      <c r="U4437" t="str">
        <f>IF(T4437='Analysis backend'!$L$1,IF(ISERROR(MATCH('Analysis backend'!$M$1,E4437:I4437,0)),"Dire","Radiant"),"")</f>
        <v/>
      </c>
    </row>
    <row r="4438" spans="20:21" x14ac:dyDescent="0.3">
      <c r="T4438" t="str">
        <f>IF(ISERROR(MATCH('Analysis backend'!$M$1,E4438:N4438,0)),"",'Analysis backend'!$L$1)</f>
        <v/>
      </c>
      <c r="U4438" t="str">
        <f>IF(T4438='Analysis backend'!$L$1,IF(ISERROR(MATCH('Analysis backend'!$M$1,E4438:I4438,0)),"Dire","Radiant"),"")</f>
        <v/>
      </c>
    </row>
    <row r="4439" spans="20:21" x14ac:dyDescent="0.3">
      <c r="T4439" t="str">
        <f>IF(ISERROR(MATCH('Analysis backend'!$M$1,E4439:N4439,0)),"",'Analysis backend'!$L$1)</f>
        <v/>
      </c>
      <c r="U4439" t="str">
        <f>IF(T4439='Analysis backend'!$L$1,IF(ISERROR(MATCH('Analysis backend'!$M$1,E4439:I4439,0)),"Dire","Radiant"),"")</f>
        <v/>
      </c>
    </row>
    <row r="4440" spans="20:21" x14ac:dyDescent="0.3">
      <c r="T4440" t="str">
        <f>IF(ISERROR(MATCH('Analysis backend'!$M$1,E4440:N4440,0)),"",'Analysis backend'!$L$1)</f>
        <v/>
      </c>
      <c r="U4440" t="str">
        <f>IF(T4440='Analysis backend'!$L$1,IF(ISERROR(MATCH('Analysis backend'!$M$1,E4440:I4440,0)),"Dire","Radiant"),"")</f>
        <v/>
      </c>
    </row>
    <row r="4441" spans="20:21" x14ac:dyDescent="0.3">
      <c r="T4441" t="str">
        <f>IF(ISERROR(MATCH('Analysis backend'!$M$1,E4441:N4441,0)),"",'Analysis backend'!$L$1)</f>
        <v/>
      </c>
      <c r="U4441" t="str">
        <f>IF(T4441='Analysis backend'!$L$1,IF(ISERROR(MATCH('Analysis backend'!$M$1,E4441:I4441,0)),"Dire","Radiant"),"")</f>
        <v/>
      </c>
    </row>
    <row r="4442" spans="20:21" x14ac:dyDescent="0.3">
      <c r="T4442" t="str">
        <f>IF(ISERROR(MATCH('Analysis backend'!$M$1,E4442:N4442,0)),"",'Analysis backend'!$L$1)</f>
        <v/>
      </c>
      <c r="U4442" t="str">
        <f>IF(T4442='Analysis backend'!$L$1,IF(ISERROR(MATCH('Analysis backend'!$M$1,E4442:I4442,0)),"Dire","Radiant"),"")</f>
        <v/>
      </c>
    </row>
    <row r="4443" spans="20:21" x14ac:dyDescent="0.3">
      <c r="T4443" t="str">
        <f>IF(ISERROR(MATCH('Analysis backend'!$M$1,E4443:N4443,0)),"",'Analysis backend'!$L$1)</f>
        <v/>
      </c>
      <c r="U4443" t="str">
        <f>IF(T4443='Analysis backend'!$L$1,IF(ISERROR(MATCH('Analysis backend'!$M$1,E4443:I4443,0)),"Dire","Radiant"),"")</f>
        <v/>
      </c>
    </row>
    <row r="4444" spans="20:21" x14ac:dyDescent="0.3">
      <c r="T4444" t="str">
        <f>IF(ISERROR(MATCH('Analysis backend'!$M$1,E4444:N4444,0)),"",'Analysis backend'!$L$1)</f>
        <v/>
      </c>
      <c r="U4444" t="str">
        <f>IF(T4444='Analysis backend'!$L$1,IF(ISERROR(MATCH('Analysis backend'!$M$1,E4444:I4444,0)),"Dire","Radiant"),"")</f>
        <v/>
      </c>
    </row>
    <row r="4445" spans="20:21" x14ac:dyDescent="0.3">
      <c r="T4445" t="str">
        <f>IF(ISERROR(MATCH('Analysis backend'!$M$1,E4445:N4445,0)),"",'Analysis backend'!$L$1)</f>
        <v/>
      </c>
      <c r="U4445" t="str">
        <f>IF(T4445='Analysis backend'!$L$1,IF(ISERROR(MATCH('Analysis backend'!$M$1,E4445:I4445,0)),"Dire","Radiant"),"")</f>
        <v/>
      </c>
    </row>
    <row r="4446" spans="20:21" x14ac:dyDescent="0.3">
      <c r="T4446" t="str">
        <f>IF(ISERROR(MATCH('Analysis backend'!$M$1,E4446:N4446,0)),"",'Analysis backend'!$L$1)</f>
        <v/>
      </c>
      <c r="U4446" t="str">
        <f>IF(T4446='Analysis backend'!$L$1,IF(ISERROR(MATCH('Analysis backend'!$M$1,E4446:I4446,0)),"Dire","Radiant"),"")</f>
        <v/>
      </c>
    </row>
    <row r="4447" spans="20:21" x14ac:dyDescent="0.3">
      <c r="T4447" t="str">
        <f>IF(ISERROR(MATCH('Analysis backend'!$M$1,E4447:N4447,0)),"",'Analysis backend'!$L$1)</f>
        <v/>
      </c>
      <c r="U4447" t="str">
        <f>IF(T4447='Analysis backend'!$L$1,IF(ISERROR(MATCH('Analysis backend'!$M$1,E4447:I4447,0)),"Dire","Radiant"),"")</f>
        <v/>
      </c>
    </row>
    <row r="4448" spans="20:21" x14ac:dyDescent="0.3">
      <c r="T4448" t="str">
        <f>IF(ISERROR(MATCH('Analysis backend'!$M$1,E4448:N4448,0)),"",'Analysis backend'!$L$1)</f>
        <v/>
      </c>
      <c r="U4448" t="str">
        <f>IF(T4448='Analysis backend'!$L$1,IF(ISERROR(MATCH('Analysis backend'!$M$1,E4448:I4448,0)),"Dire","Radiant"),"")</f>
        <v/>
      </c>
    </row>
    <row r="4449" spans="20:21" x14ac:dyDescent="0.3">
      <c r="T4449" t="str">
        <f>IF(ISERROR(MATCH('Analysis backend'!$M$1,E4449:N4449,0)),"",'Analysis backend'!$L$1)</f>
        <v/>
      </c>
      <c r="U4449" t="str">
        <f>IF(T4449='Analysis backend'!$L$1,IF(ISERROR(MATCH('Analysis backend'!$M$1,E4449:I4449,0)),"Dire","Radiant"),"")</f>
        <v/>
      </c>
    </row>
    <row r="4450" spans="20:21" x14ac:dyDescent="0.3">
      <c r="T4450" t="str">
        <f>IF(ISERROR(MATCH('Analysis backend'!$M$1,E4450:N4450,0)),"",'Analysis backend'!$L$1)</f>
        <v/>
      </c>
      <c r="U4450" t="str">
        <f>IF(T4450='Analysis backend'!$L$1,IF(ISERROR(MATCH('Analysis backend'!$M$1,E4450:I4450,0)),"Dire","Radiant"),"")</f>
        <v/>
      </c>
    </row>
    <row r="4451" spans="20:21" x14ac:dyDescent="0.3">
      <c r="T4451" t="str">
        <f>IF(ISERROR(MATCH('Analysis backend'!$M$1,E4451:N4451,0)),"",'Analysis backend'!$L$1)</f>
        <v/>
      </c>
      <c r="U4451" t="str">
        <f>IF(T4451='Analysis backend'!$L$1,IF(ISERROR(MATCH('Analysis backend'!$M$1,E4451:I4451,0)),"Dire","Radiant"),"")</f>
        <v/>
      </c>
    </row>
    <row r="4452" spans="20:21" x14ac:dyDescent="0.3">
      <c r="T4452" t="str">
        <f>IF(ISERROR(MATCH('Analysis backend'!$M$1,E4452:N4452,0)),"",'Analysis backend'!$L$1)</f>
        <v/>
      </c>
      <c r="U4452" t="str">
        <f>IF(T4452='Analysis backend'!$L$1,IF(ISERROR(MATCH('Analysis backend'!$M$1,E4452:I4452,0)),"Dire","Radiant"),"")</f>
        <v/>
      </c>
    </row>
    <row r="4453" spans="20:21" x14ac:dyDescent="0.3">
      <c r="T4453" t="str">
        <f>IF(ISERROR(MATCH('Analysis backend'!$M$1,E4453:N4453,0)),"",'Analysis backend'!$L$1)</f>
        <v/>
      </c>
      <c r="U4453" t="str">
        <f>IF(T4453='Analysis backend'!$L$1,IF(ISERROR(MATCH('Analysis backend'!$M$1,E4453:I4453,0)),"Dire","Radiant"),"")</f>
        <v/>
      </c>
    </row>
    <row r="4454" spans="20:21" x14ac:dyDescent="0.3">
      <c r="T4454" t="str">
        <f>IF(ISERROR(MATCH('Analysis backend'!$M$1,E4454:N4454,0)),"",'Analysis backend'!$L$1)</f>
        <v/>
      </c>
      <c r="U4454" t="str">
        <f>IF(T4454='Analysis backend'!$L$1,IF(ISERROR(MATCH('Analysis backend'!$M$1,E4454:I4454,0)),"Dire","Radiant"),"")</f>
        <v/>
      </c>
    </row>
    <row r="4455" spans="20:21" x14ac:dyDescent="0.3">
      <c r="T4455" t="str">
        <f>IF(ISERROR(MATCH('Analysis backend'!$M$1,E4455:N4455,0)),"",'Analysis backend'!$L$1)</f>
        <v/>
      </c>
      <c r="U4455" t="str">
        <f>IF(T4455='Analysis backend'!$L$1,IF(ISERROR(MATCH('Analysis backend'!$M$1,E4455:I4455,0)),"Dire","Radiant"),"")</f>
        <v/>
      </c>
    </row>
    <row r="4456" spans="20:21" x14ac:dyDescent="0.3">
      <c r="T4456" t="str">
        <f>IF(ISERROR(MATCH('Analysis backend'!$M$1,E4456:N4456,0)),"",'Analysis backend'!$L$1)</f>
        <v/>
      </c>
      <c r="U4456" t="str">
        <f>IF(T4456='Analysis backend'!$L$1,IF(ISERROR(MATCH('Analysis backend'!$M$1,E4456:I4456,0)),"Dire","Radiant"),"")</f>
        <v/>
      </c>
    </row>
    <row r="4457" spans="20:21" x14ac:dyDescent="0.3">
      <c r="T4457" t="str">
        <f>IF(ISERROR(MATCH('Analysis backend'!$M$1,E4457:N4457,0)),"",'Analysis backend'!$L$1)</f>
        <v/>
      </c>
      <c r="U4457" t="str">
        <f>IF(T4457='Analysis backend'!$L$1,IF(ISERROR(MATCH('Analysis backend'!$M$1,E4457:I4457,0)),"Dire","Radiant"),"")</f>
        <v/>
      </c>
    </row>
    <row r="4458" spans="20:21" x14ac:dyDescent="0.3">
      <c r="T4458" t="str">
        <f>IF(ISERROR(MATCH('Analysis backend'!$M$1,E4458:N4458,0)),"",'Analysis backend'!$L$1)</f>
        <v/>
      </c>
      <c r="U4458" t="str">
        <f>IF(T4458='Analysis backend'!$L$1,IF(ISERROR(MATCH('Analysis backend'!$M$1,E4458:I4458,0)),"Dire","Radiant"),"")</f>
        <v/>
      </c>
    </row>
    <row r="4459" spans="20:21" x14ac:dyDescent="0.3">
      <c r="T4459" t="str">
        <f>IF(ISERROR(MATCH('Analysis backend'!$M$1,E4459:N4459,0)),"",'Analysis backend'!$L$1)</f>
        <v/>
      </c>
      <c r="U4459" t="str">
        <f>IF(T4459='Analysis backend'!$L$1,IF(ISERROR(MATCH('Analysis backend'!$M$1,E4459:I4459,0)),"Dire","Radiant"),"")</f>
        <v/>
      </c>
    </row>
    <row r="4460" spans="20:21" x14ac:dyDescent="0.3">
      <c r="T4460" t="str">
        <f>IF(ISERROR(MATCH('Analysis backend'!$M$1,E4460:N4460,0)),"",'Analysis backend'!$L$1)</f>
        <v/>
      </c>
      <c r="U4460" t="str">
        <f>IF(T4460='Analysis backend'!$L$1,IF(ISERROR(MATCH('Analysis backend'!$M$1,E4460:I4460,0)),"Dire","Radiant"),"")</f>
        <v/>
      </c>
    </row>
    <row r="4461" spans="20:21" x14ac:dyDescent="0.3">
      <c r="T4461" t="str">
        <f>IF(ISERROR(MATCH('Analysis backend'!$M$1,E4461:N4461,0)),"",'Analysis backend'!$L$1)</f>
        <v/>
      </c>
      <c r="U4461" t="str">
        <f>IF(T4461='Analysis backend'!$L$1,IF(ISERROR(MATCH('Analysis backend'!$M$1,E4461:I4461,0)),"Dire","Radiant"),"")</f>
        <v/>
      </c>
    </row>
    <row r="4462" spans="20:21" x14ac:dyDescent="0.3">
      <c r="T4462" t="str">
        <f>IF(ISERROR(MATCH('Analysis backend'!$M$1,E4462:N4462,0)),"",'Analysis backend'!$L$1)</f>
        <v/>
      </c>
      <c r="U4462" t="str">
        <f>IF(T4462='Analysis backend'!$L$1,IF(ISERROR(MATCH('Analysis backend'!$M$1,E4462:I4462,0)),"Dire","Radiant"),"")</f>
        <v/>
      </c>
    </row>
    <row r="4463" spans="20:21" x14ac:dyDescent="0.3">
      <c r="T4463" t="str">
        <f>IF(ISERROR(MATCH('Analysis backend'!$M$1,E4463:N4463,0)),"",'Analysis backend'!$L$1)</f>
        <v/>
      </c>
      <c r="U4463" t="str">
        <f>IF(T4463='Analysis backend'!$L$1,IF(ISERROR(MATCH('Analysis backend'!$M$1,E4463:I4463,0)),"Dire","Radiant"),"")</f>
        <v/>
      </c>
    </row>
    <row r="4464" spans="20:21" x14ac:dyDescent="0.3">
      <c r="T4464" t="str">
        <f>IF(ISERROR(MATCH('Analysis backend'!$M$1,E4464:N4464,0)),"",'Analysis backend'!$L$1)</f>
        <v/>
      </c>
      <c r="U4464" t="str">
        <f>IF(T4464='Analysis backend'!$L$1,IF(ISERROR(MATCH('Analysis backend'!$M$1,E4464:I4464,0)),"Dire","Radiant"),"")</f>
        <v/>
      </c>
    </row>
    <row r="4465" spans="20:21" x14ac:dyDescent="0.3">
      <c r="T4465" t="str">
        <f>IF(ISERROR(MATCH('Analysis backend'!$M$1,E4465:N4465,0)),"",'Analysis backend'!$L$1)</f>
        <v/>
      </c>
      <c r="U4465" t="str">
        <f>IF(T4465='Analysis backend'!$L$1,IF(ISERROR(MATCH('Analysis backend'!$M$1,E4465:I4465,0)),"Dire","Radiant"),"")</f>
        <v/>
      </c>
    </row>
    <row r="4466" spans="20:21" x14ac:dyDescent="0.3">
      <c r="T4466" t="str">
        <f>IF(ISERROR(MATCH('Analysis backend'!$M$1,E4466:N4466,0)),"",'Analysis backend'!$L$1)</f>
        <v/>
      </c>
      <c r="U4466" t="str">
        <f>IF(T4466='Analysis backend'!$L$1,IF(ISERROR(MATCH('Analysis backend'!$M$1,E4466:I4466,0)),"Dire","Radiant"),"")</f>
        <v/>
      </c>
    </row>
    <row r="4467" spans="20:21" x14ac:dyDescent="0.3">
      <c r="T4467" t="str">
        <f>IF(ISERROR(MATCH('Analysis backend'!$M$1,E4467:N4467,0)),"",'Analysis backend'!$L$1)</f>
        <v/>
      </c>
      <c r="U4467" t="str">
        <f>IF(T4467='Analysis backend'!$L$1,IF(ISERROR(MATCH('Analysis backend'!$M$1,E4467:I4467,0)),"Dire","Radiant"),"")</f>
        <v/>
      </c>
    </row>
    <row r="4468" spans="20:21" x14ac:dyDescent="0.3">
      <c r="T4468" t="str">
        <f>IF(ISERROR(MATCH('Analysis backend'!$M$1,E4468:N4468,0)),"",'Analysis backend'!$L$1)</f>
        <v/>
      </c>
      <c r="U4468" t="str">
        <f>IF(T4468='Analysis backend'!$L$1,IF(ISERROR(MATCH('Analysis backend'!$M$1,E4468:I4468,0)),"Dire","Radiant"),"")</f>
        <v/>
      </c>
    </row>
    <row r="4469" spans="20:21" x14ac:dyDescent="0.3">
      <c r="T4469" t="str">
        <f>IF(ISERROR(MATCH('Analysis backend'!$M$1,E4469:N4469,0)),"",'Analysis backend'!$L$1)</f>
        <v/>
      </c>
      <c r="U4469" t="str">
        <f>IF(T4469='Analysis backend'!$L$1,IF(ISERROR(MATCH('Analysis backend'!$M$1,E4469:I4469,0)),"Dire","Radiant"),"")</f>
        <v/>
      </c>
    </row>
    <row r="4470" spans="20:21" x14ac:dyDescent="0.3">
      <c r="T4470" t="str">
        <f>IF(ISERROR(MATCH('Analysis backend'!$M$1,E4470:N4470,0)),"",'Analysis backend'!$L$1)</f>
        <v/>
      </c>
      <c r="U4470" t="str">
        <f>IF(T4470='Analysis backend'!$L$1,IF(ISERROR(MATCH('Analysis backend'!$M$1,E4470:I4470,0)),"Dire","Radiant"),"")</f>
        <v/>
      </c>
    </row>
    <row r="4471" spans="20:21" x14ac:dyDescent="0.3">
      <c r="T4471" t="str">
        <f>IF(ISERROR(MATCH('Analysis backend'!$M$1,E4471:N4471,0)),"",'Analysis backend'!$L$1)</f>
        <v/>
      </c>
      <c r="U4471" t="str">
        <f>IF(T4471='Analysis backend'!$L$1,IF(ISERROR(MATCH('Analysis backend'!$M$1,E4471:I4471,0)),"Dire","Radiant"),"")</f>
        <v/>
      </c>
    </row>
    <row r="4472" spans="20:21" x14ac:dyDescent="0.3">
      <c r="T4472" t="str">
        <f>IF(ISERROR(MATCH('Analysis backend'!$M$1,E4472:N4472,0)),"",'Analysis backend'!$L$1)</f>
        <v/>
      </c>
      <c r="U4472" t="str">
        <f>IF(T4472='Analysis backend'!$L$1,IF(ISERROR(MATCH('Analysis backend'!$M$1,E4472:I4472,0)),"Dire","Radiant"),"")</f>
        <v/>
      </c>
    </row>
    <row r="4473" spans="20:21" x14ac:dyDescent="0.3">
      <c r="T4473" t="str">
        <f>IF(ISERROR(MATCH('Analysis backend'!$M$1,E4473:N4473,0)),"",'Analysis backend'!$L$1)</f>
        <v/>
      </c>
      <c r="U4473" t="str">
        <f>IF(T4473='Analysis backend'!$L$1,IF(ISERROR(MATCH('Analysis backend'!$M$1,E4473:I4473,0)),"Dire","Radiant"),"")</f>
        <v/>
      </c>
    </row>
    <row r="4474" spans="20:21" x14ac:dyDescent="0.3">
      <c r="T4474" t="str">
        <f>IF(ISERROR(MATCH('Analysis backend'!$M$1,E4474:N4474,0)),"",'Analysis backend'!$L$1)</f>
        <v/>
      </c>
      <c r="U4474" t="str">
        <f>IF(T4474='Analysis backend'!$L$1,IF(ISERROR(MATCH('Analysis backend'!$M$1,E4474:I4474,0)),"Dire","Radiant"),"")</f>
        <v/>
      </c>
    </row>
    <row r="4475" spans="20:21" x14ac:dyDescent="0.3">
      <c r="T4475" t="str">
        <f>IF(ISERROR(MATCH('Analysis backend'!$M$1,E4475:N4475,0)),"",'Analysis backend'!$L$1)</f>
        <v/>
      </c>
      <c r="U4475" t="str">
        <f>IF(T4475='Analysis backend'!$L$1,IF(ISERROR(MATCH('Analysis backend'!$M$1,E4475:I4475,0)),"Dire","Radiant"),"")</f>
        <v/>
      </c>
    </row>
    <row r="4476" spans="20:21" x14ac:dyDescent="0.3">
      <c r="T4476" t="str">
        <f>IF(ISERROR(MATCH('Analysis backend'!$M$1,E4476:N4476,0)),"",'Analysis backend'!$L$1)</f>
        <v/>
      </c>
      <c r="U4476" t="str">
        <f>IF(T4476='Analysis backend'!$L$1,IF(ISERROR(MATCH('Analysis backend'!$M$1,E4476:I4476,0)),"Dire","Radiant"),"")</f>
        <v/>
      </c>
    </row>
    <row r="4477" spans="20:21" x14ac:dyDescent="0.3">
      <c r="T4477" t="str">
        <f>IF(ISERROR(MATCH('Analysis backend'!$M$1,E4477:N4477,0)),"",'Analysis backend'!$L$1)</f>
        <v/>
      </c>
      <c r="U4477" t="str">
        <f>IF(T4477='Analysis backend'!$L$1,IF(ISERROR(MATCH('Analysis backend'!$M$1,E4477:I4477,0)),"Dire","Radiant"),"")</f>
        <v/>
      </c>
    </row>
    <row r="4478" spans="20:21" x14ac:dyDescent="0.3">
      <c r="T4478" t="str">
        <f>IF(ISERROR(MATCH('Analysis backend'!$M$1,E4478:N4478,0)),"",'Analysis backend'!$L$1)</f>
        <v/>
      </c>
      <c r="U4478" t="str">
        <f>IF(T4478='Analysis backend'!$L$1,IF(ISERROR(MATCH('Analysis backend'!$M$1,E4478:I4478,0)),"Dire","Radiant"),"")</f>
        <v/>
      </c>
    </row>
    <row r="4479" spans="20:21" x14ac:dyDescent="0.3">
      <c r="T4479" t="str">
        <f>IF(ISERROR(MATCH('Analysis backend'!$M$1,E4479:N4479,0)),"",'Analysis backend'!$L$1)</f>
        <v/>
      </c>
      <c r="U4479" t="str">
        <f>IF(T4479='Analysis backend'!$L$1,IF(ISERROR(MATCH('Analysis backend'!$M$1,E4479:I4479,0)),"Dire","Radiant"),"")</f>
        <v/>
      </c>
    </row>
    <row r="4480" spans="20:21" x14ac:dyDescent="0.3">
      <c r="T4480" t="str">
        <f>IF(ISERROR(MATCH('Analysis backend'!$M$1,E4480:N4480,0)),"",'Analysis backend'!$L$1)</f>
        <v/>
      </c>
      <c r="U4480" t="str">
        <f>IF(T4480='Analysis backend'!$L$1,IF(ISERROR(MATCH('Analysis backend'!$M$1,E4480:I4480,0)),"Dire","Radiant"),"")</f>
        <v/>
      </c>
    </row>
    <row r="4481" spans="20:21" x14ac:dyDescent="0.3">
      <c r="T4481" t="str">
        <f>IF(ISERROR(MATCH('Analysis backend'!$M$1,E4481:N4481,0)),"",'Analysis backend'!$L$1)</f>
        <v/>
      </c>
      <c r="U4481" t="str">
        <f>IF(T4481='Analysis backend'!$L$1,IF(ISERROR(MATCH('Analysis backend'!$M$1,E4481:I4481,0)),"Dire","Radiant"),"")</f>
        <v/>
      </c>
    </row>
    <row r="4482" spans="20:21" x14ac:dyDescent="0.3">
      <c r="T4482" t="str">
        <f>IF(ISERROR(MATCH('Analysis backend'!$M$1,E4482:N4482,0)),"",'Analysis backend'!$L$1)</f>
        <v/>
      </c>
      <c r="U4482" t="str">
        <f>IF(T4482='Analysis backend'!$L$1,IF(ISERROR(MATCH('Analysis backend'!$M$1,E4482:I4482,0)),"Dire","Radiant"),"")</f>
        <v/>
      </c>
    </row>
    <row r="4483" spans="20:21" x14ac:dyDescent="0.3">
      <c r="T4483" t="str">
        <f>IF(ISERROR(MATCH('Analysis backend'!$M$1,E4483:N4483,0)),"",'Analysis backend'!$L$1)</f>
        <v/>
      </c>
      <c r="U4483" t="str">
        <f>IF(T4483='Analysis backend'!$L$1,IF(ISERROR(MATCH('Analysis backend'!$M$1,E4483:I4483,0)),"Dire","Radiant"),"")</f>
        <v/>
      </c>
    </row>
    <row r="4484" spans="20:21" x14ac:dyDescent="0.3">
      <c r="T4484" t="str">
        <f>IF(ISERROR(MATCH('Analysis backend'!$M$1,E4484:N4484,0)),"",'Analysis backend'!$L$1)</f>
        <v/>
      </c>
      <c r="U4484" t="str">
        <f>IF(T4484='Analysis backend'!$L$1,IF(ISERROR(MATCH('Analysis backend'!$M$1,E4484:I4484,0)),"Dire","Radiant"),"")</f>
        <v/>
      </c>
    </row>
    <row r="4485" spans="20:21" x14ac:dyDescent="0.3">
      <c r="T4485" t="str">
        <f>IF(ISERROR(MATCH('Analysis backend'!$M$1,E4485:N4485,0)),"",'Analysis backend'!$L$1)</f>
        <v/>
      </c>
      <c r="U4485" t="str">
        <f>IF(T4485='Analysis backend'!$L$1,IF(ISERROR(MATCH('Analysis backend'!$M$1,E4485:I4485,0)),"Dire","Radiant"),"")</f>
        <v/>
      </c>
    </row>
    <row r="4486" spans="20:21" x14ac:dyDescent="0.3">
      <c r="T4486" t="str">
        <f>IF(ISERROR(MATCH('Analysis backend'!$M$1,E4486:N4486,0)),"",'Analysis backend'!$L$1)</f>
        <v/>
      </c>
      <c r="U4486" t="str">
        <f>IF(T4486='Analysis backend'!$L$1,IF(ISERROR(MATCH('Analysis backend'!$M$1,E4486:I4486,0)),"Dire","Radiant"),"")</f>
        <v/>
      </c>
    </row>
    <row r="4487" spans="20:21" x14ac:dyDescent="0.3">
      <c r="T4487" t="str">
        <f>IF(ISERROR(MATCH('Analysis backend'!$M$1,E4487:N4487,0)),"",'Analysis backend'!$L$1)</f>
        <v/>
      </c>
      <c r="U4487" t="str">
        <f>IF(T4487='Analysis backend'!$L$1,IF(ISERROR(MATCH('Analysis backend'!$M$1,E4487:I4487,0)),"Dire","Radiant"),"")</f>
        <v/>
      </c>
    </row>
    <row r="4488" spans="20:21" x14ac:dyDescent="0.3">
      <c r="T4488" t="str">
        <f>IF(ISERROR(MATCH('Analysis backend'!$M$1,E4488:N4488,0)),"",'Analysis backend'!$L$1)</f>
        <v/>
      </c>
      <c r="U4488" t="str">
        <f>IF(T4488='Analysis backend'!$L$1,IF(ISERROR(MATCH('Analysis backend'!$M$1,E4488:I4488,0)),"Dire","Radiant"),"")</f>
        <v/>
      </c>
    </row>
    <row r="4489" spans="20:21" x14ac:dyDescent="0.3">
      <c r="T4489" t="str">
        <f>IF(ISERROR(MATCH('Analysis backend'!$M$1,E4489:N4489,0)),"",'Analysis backend'!$L$1)</f>
        <v/>
      </c>
      <c r="U4489" t="str">
        <f>IF(T4489='Analysis backend'!$L$1,IF(ISERROR(MATCH('Analysis backend'!$M$1,E4489:I4489,0)),"Dire","Radiant"),"")</f>
        <v/>
      </c>
    </row>
    <row r="4490" spans="20:21" x14ac:dyDescent="0.3">
      <c r="T4490" t="str">
        <f>IF(ISERROR(MATCH('Analysis backend'!$M$1,E4490:N4490,0)),"",'Analysis backend'!$L$1)</f>
        <v/>
      </c>
      <c r="U4490" t="str">
        <f>IF(T4490='Analysis backend'!$L$1,IF(ISERROR(MATCH('Analysis backend'!$M$1,E4490:I4490,0)),"Dire","Radiant"),"")</f>
        <v/>
      </c>
    </row>
    <row r="4491" spans="20:21" x14ac:dyDescent="0.3">
      <c r="T4491" t="str">
        <f>IF(ISERROR(MATCH('Analysis backend'!$M$1,E4491:N4491,0)),"",'Analysis backend'!$L$1)</f>
        <v/>
      </c>
      <c r="U4491" t="str">
        <f>IF(T4491='Analysis backend'!$L$1,IF(ISERROR(MATCH('Analysis backend'!$M$1,E4491:I4491,0)),"Dire","Radiant"),"")</f>
        <v/>
      </c>
    </row>
    <row r="4492" spans="20:21" x14ac:dyDescent="0.3">
      <c r="T4492" t="str">
        <f>IF(ISERROR(MATCH('Analysis backend'!$M$1,E4492:N4492,0)),"",'Analysis backend'!$L$1)</f>
        <v/>
      </c>
      <c r="U4492" t="str">
        <f>IF(T4492='Analysis backend'!$L$1,IF(ISERROR(MATCH('Analysis backend'!$M$1,E4492:I4492,0)),"Dire","Radiant"),"")</f>
        <v/>
      </c>
    </row>
    <row r="4493" spans="20:21" x14ac:dyDescent="0.3">
      <c r="T4493" t="str">
        <f>IF(ISERROR(MATCH('Analysis backend'!$M$1,E4493:N4493,0)),"",'Analysis backend'!$L$1)</f>
        <v/>
      </c>
      <c r="U4493" t="str">
        <f>IF(T4493='Analysis backend'!$L$1,IF(ISERROR(MATCH('Analysis backend'!$M$1,E4493:I4493,0)),"Dire","Radiant"),"")</f>
        <v/>
      </c>
    </row>
    <row r="4494" spans="20:21" x14ac:dyDescent="0.3">
      <c r="T4494" t="str">
        <f>IF(ISERROR(MATCH('Analysis backend'!$M$1,E4494:N4494,0)),"",'Analysis backend'!$L$1)</f>
        <v/>
      </c>
      <c r="U4494" t="str">
        <f>IF(T4494='Analysis backend'!$L$1,IF(ISERROR(MATCH('Analysis backend'!$M$1,E4494:I4494,0)),"Dire","Radiant"),"")</f>
        <v/>
      </c>
    </row>
    <row r="4495" spans="20:21" x14ac:dyDescent="0.3">
      <c r="T4495" t="str">
        <f>IF(ISERROR(MATCH('Analysis backend'!$M$1,E4495:N4495,0)),"",'Analysis backend'!$L$1)</f>
        <v/>
      </c>
      <c r="U4495" t="str">
        <f>IF(T4495='Analysis backend'!$L$1,IF(ISERROR(MATCH('Analysis backend'!$M$1,E4495:I4495,0)),"Dire","Radiant"),"")</f>
        <v/>
      </c>
    </row>
    <row r="4496" spans="20:21" x14ac:dyDescent="0.3">
      <c r="T4496" t="str">
        <f>IF(ISERROR(MATCH('Analysis backend'!$M$1,E4496:N4496,0)),"",'Analysis backend'!$L$1)</f>
        <v/>
      </c>
      <c r="U4496" t="str">
        <f>IF(T4496='Analysis backend'!$L$1,IF(ISERROR(MATCH('Analysis backend'!$M$1,E4496:I4496,0)),"Dire","Radiant"),"")</f>
        <v/>
      </c>
    </row>
    <row r="4497" spans="20:21" x14ac:dyDescent="0.3">
      <c r="T4497" t="str">
        <f>IF(ISERROR(MATCH('Analysis backend'!$M$1,E4497:N4497,0)),"",'Analysis backend'!$L$1)</f>
        <v/>
      </c>
      <c r="U4497" t="str">
        <f>IF(T4497='Analysis backend'!$L$1,IF(ISERROR(MATCH('Analysis backend'!$M$1,E4497:I4497,0)),"Dire","Radiant"),"")</f>
        <v/>
      </c>
    </row>
    <row r="4498" spans="20:21" x14ac:dyDescent="0.3">
      <c r="T4498" t="str">
        <f>IF(ISERROR(MATCH('Analysis backend'!$M$1,E4498:N4498,0)),"",'Analysis backend'!$L$1)</f>
        <v/>
      </c>
      <c r="U4498" t="str">
        <f>IF(T4498='Analysis backend'!$L$1,IF(ISERROR(MATCH('Analysis backend'!$M$1,E4498:I4498,0)),"Dire","Radiant"),"")</f>
        <v/>
      </c>
    </row>
    <row r="4499" spans="20:21" x14ac:dyDescent="0.3">
      <c r="T4499" t="str">
        <f>IF(ISERROR(MATCH('Analysis backend'!$M$1,E4499:N4499,0)),"",'Analysis backend'!$L$1)</f>
        <v/>
      </c>
      <c r="U4499" t="str">
        <f>IF(T4499='Analysis backend'!$L$1,IF(ISERROR(MATCH('Analysis backend'!$M$1,E4499:I4499,0)),"Dire","Radiant"),"")</f>
        <v/>
      </c>
    </row>
    <row r="4500" spans="20:21" x14ac:dyDescent="0.3">
      <c r="T4500" t="str">
        <f>IF(ISERROR(MATCH('Analysis backend'!$M$1,E4500:N4500,0)),"",'Analysis backend'!$L$1)</f>
        <v/>
      </c>
      <c r="U4500" t="str">
        <f>IF(T4500='Analysis backend'!$L$1,IF(ISERROR(MATCH('Analysis backend'!$M$1,E4500:I4500,0)),"Dire","Radiant"),"")</f>
        <v/>
      </c>
    </row>
    <row r="4501" spans="20:21" x14ac:dyDescent="0.3">
      <c r="T4501" t="str">
        <f>IF(ISERROR(MATCH('Analysis backend'!$M$1,E4501:N4501,0)),"",'Analysis backend'!$L$1)</f>
        <v/>
      </c>
      <c r="U4501" t="str">
        <f>IF(T4501='Analysis backend'!$L$1,IF(ISERROR(MATCH('Analysis backend'!$M$1,E4501:I4501,0)),"Dire","Radiant"),"")</f>
        <v/>
      </c>
    </row>
    <row r="4502" spans="20:21" x14ac:dyDescent="0.3">
      <c r="T4502" t="str">
        <f>IF(ISERROR(MATCH('Analysis backend'!$M$1,E4502:N4502,0)),"",'Analysis backend'!$L$1)</f>
        <v/>
      </c>
      <c r="U4502" t="str">
        <f>IF(T4502='Analysis backend'!$L$1,IF(ISERROR(MATCH('Analysis backend'!$M$1,E4502:I4502,0)),"Dire","Radiant"),"")</f>
        <v/>
      </c>
    </row>
    <row r="4503" spans="20:21" x14ac:dyDescent="0.3">
      <c r="T4503" t="str">
        <f>IF(ISERROR(MATCH('Analysis backend'!$M$1,E4503:N4503,0)),"",'Analysis backend'!$L$1)</f>
        <v/>
      </c>
      <c r="U4503" t="str">
        <f>IF(T4503='Analysis backend'!$L$1,IF(ISERROR(MATCH('Analysis backend'!$M$1,E4503:I4503,0)),"Dire","Radiant"),"")</f>
        <v/>
      </c>
    </row>
    <row r="4504" spans="20:21" x14ac:dyDescent="0.3">
      <c r="T4504" t="str">
        <f>IF(ISERROR(MATCH('Analysis backend'!$M$1,E4504:N4504,0)),"",'Analysis backend'!$L$1)</f>
        <v/>
      </c>
      <c r="U4504" t="str">
        <f>IF(T4504='Analysis backend'!$L$1,IF(ISERROR(MATCH('Analysis backend'!$M$1,E4504:I4504,0)),"Dire","Radiant"),"")</f>
        <v/>
      </c>
    </row>
    <row r="4505" spans="20:21" x14ac:dyDescent="0.3">
      <c r="T4505" t="str">
        <f>IF(ISERROR(MATCH('Analysis backend'!$M$1,E4505:N4505,0)),"",'Analysis backend'!$L$1)</f>
        <v/>
      </c>
      <c r="U4505" t="str">
        <f>IF(T4505='Analysis backend'!$L$1,IF(ISERROR(MATCH('Analysis backend'!$M$1,E4505:I4505,0)),"Dire","Radiant"),"")</f>
        <v/>
      </c>
    </row>
    <row r="4506" spans="20:21" x14ac:dyDescent="0.3">
      <c r="T4506" t="str">
        <f>IF(ISERROR(MATCH('Analysis backend'!$M$1,E4506:N4506,0)),"",'Analysis backend'!$L$1)</f>
        <v/>
      </c>
      <c r="U4506" t="str">
        <f>IF(T4506='Analysis backend'!$L$1,IF(ISERROR(MATCH('Analysis backend'!$M$1,E4506:I4506,0)),"Dire","Radiant"),"")</f>
        <v/>
      </c>
    </row>
    <row r="4507" spans="20:21" x14ac:dyDescent="0.3">
      <c r="T4507" t="str">
        <f>IF(ISERROR(MATCH('Analysis backend'!$M$1,E4507:N4507,0)),"",'Analysis backend'!$L$1)</f>
        <v/>
      </c>
      <c r="U4507" t="str">
        <f>IF(T4507='Analysis backend'!$L$1,IF(ISERROR(MATCH('Analysis backend'!$M$1,E4507:I4507,0)),"Dire","Radiant"),"")</f>
        <v/>
      </c>
    </row>
    <row r="4508" spans="20:21" x14ac:dyDescent="0.3">
      <c r="T4508" t="str">
        <f>IF(ISERROR(MATCH('Analysis backend'!$M$1,E4508:N4508,0)),"",'Analysis backend'!$L$1)</f>
        <v/>
      </c>
      <c r="U4508" t="str">
        <f>IF(T4508='Analysis backend'!$L$1,IF(ISERROR(MATCH('Analysis backend'!$M$1,E4508:I4508,0)),"Dire","Radiant"),"")</f>
        <v/>
      </c>
    </row>
    <row r="4509" spans="20:21" x14ac:dyDescent="0.3">
      <c r="T4509" t="str">
        <f>IF(ISERROR(MATCH('Analysis backend'!$M$1,E4509:N4509,0)),"",'Analysis backend'!$L$1)</f>
        <v/>
      </c>
      <c r="U4509" t="str">
        <f>IF(T4509='Analysis backend'!$L$1,IF(ISERROR(MATCH('Analysis backend'!$M$1,E4509:I4509,0)),"Dire","Radiant"),"")</f>
        <v/>
      </c>
    </row>
    <row r="4510" spans="20:21" x14ac:dyDescent="0.3">
      <c r="T4510" t="str">
        <f>IF(ISERROR(MATCH('Analysis backend'!$M$1,E4510:N4510,0)),"",'Analysis backend'!$L$1)</f>
        <v/>
      </c>
      <c r="U4510" t="str">
        <f>IF(T4510='Analysis backend'!$L$1,IF(ISERROR(MATCH('Analysis backend'!$M$1,E4510:I4510,0)),"Dire","Radiant"),"")</f>
        <v/>
      </c>
    </row>
    <row r="4511" spans="20:21" x14ac:dyDescent="0.3">
      <c r="T4511" t="str">
        <f>IF(ISERROR(MATCH('Analysis backend'!$M$1,E4511:N4511,0)),"",'Analysis backend'!$L$1)</f>
        <v/>
      </c>
      <c r="U4511" t="str">
        <f>IF(T4511='Analysis backend'!$L$1,IF(ISERROR(MATCH('Analysis backend'!$M$1,E4511:I4511,0)),"Dire","Radiant"),"")</f>
        <v/>
      </c>
    </row>
    <row r="4512" spans="20:21" x14ac:dyDescent="0.3">
      <c r="T4512" t="str">
        <f>IF(ISERROR(MATCH('Analysis backend'!$M$1,E4512:N4512,0)),"",'Analysis backend'!$L$1)</f>
        <v/>
      </c>
      <c r="U4512" t="str">
        <f>IF(T4512='Analysis backend'!$L$1,IF(ISERROR(MATCH('Analysis backend'!$M$1,E4512:I4512,0)),"Dire","Radiant"),"")</f>
        <v/>
      </c>
    </row>
    <row r="4513" spans="20:21" x14ac:dyDescent="0.3">
      <c r="T4513" t="str">
        <f>IF(ISERROR(MATCH('Analysis backend'!$M$1,E4513:N4513,0)),"",'Analysis backend'!$L$1)</f>
        <v/>
      </c>
      <c r="U4513" t="str">
        <f>IF(T4513='Analysis backend'!$L$1,IF(ISERROR(MATCH('Analysis backend'!$M$1,E4513:I4513,0)),"Dire","Radiant"),"")</f>
        <v/>
      </c>
    </row>
    <row r="4514" spans="20:21" x14ac:dyDescent="0.3">
      <c r="T4514" t="str">
        <f>IF(ISERROR(MATCH('Analysis backend'!$M$1,E4514:N4514,0)),"",'Analysis backend'!$L$1)</f>
        <v/>
      </c>
      <c r="U4514" t="str">
        <f>IF(T4514='Analysis backend'!$L$1,IF(ISERROR(MATCH('Analysis backend'!$M$1,E4514:I4514,0)),"Dire","Radiant"),"")</f>
        <v/>
      </c>
    </row>
    <row r="4515" spans="20:21" x14ac:dyDescent="0.3">
      <c r="T4515" t="str">
        <f>IF(ISERROR(MATCH('Analysis backend'!$M$1,E4515:N4515,0)),"",'Analysis backend'!$L$1)</f>
        <v/>
      </c>
      <c r="U4515" t="str">
        <f>IF(T4515='Analysis backend'!$L$1,IF(ISERROR(MATCH('Analysis backend'!$M$1,E4515:I4515,0)),"Dire","Radiant"),"")</f>
        <v/>
      </c>
    </row>
    <row r="4516" spans="20:21" x14ac:dyDescent="0.3">
      <c r="T4516" t="str">
        <f>IF(ISERROR(MATCH('Analysis backend'!$M$1,E4516:N4516,0)),"",'Analysis backend'!$L$1)</f>
        <v/>
      </c>
      <c r="U4516" t="str">
        <f>IF(T4516='Analysis backend'!$L$1,IF(ISERROR(MATCH('Analysis backend'!$M$1,E4516:I4516,0)),"Dire","Radiant"),"")</f>
        <v/>
      </c>
    </row>
    <row r="4517" spans="20:21" x14ac:dyDescent="0.3">
      <c r="T4517" t="str">
        <f>IF(ISERROR(MATCH('Analysis backend'!$M$1,E4517:N4517,0)),"",'Analysis backend'!$L$1)</f>
        <v/>
      </c>
      <c r="U4517" t="str">
        <f>IF(T4517='Analysis backend'!$L$1,IF(ISERROR(MATCH('Analysis backend'!$M$1,E4517:I4517,0)),"Dire","Radiant"),"")</f>
        <v/>
      </c>
    </row>
    <row r="4518" spans="20:21" x14ac:dyDescent="0.3">
      <c r="T4518" t="str">
        <f>IF(ISERROR(MATCH('Analysis backend'!$M$1,E4518:N4518,0)),"",'Analysis backend'!$L$1)</f>
        <v/>
      </c>
      <c r="U4518" t="str">
        <f>IF(T4518='Analysis backend'!$L$1,IF(ISERROR(MATCH('Analysis backend'!$M$1,E4518:I4518,0)),"Dire","Radiant"),"")</f>
        <v/>
      </c>
    </row>
    <row r="4519" spans="20:21" x14ac:dyDescent="0.3">
      <c r="T4519" t="str">
        <f>IF(ISERROR(MATCH('Analysis backend'!$M$1,E4519:N4519,0)),"",'Analysis backend'!$L$1)</f>
        <v/>
      </c>
      <c r="U4519" t="str">
        <f>IF(T4519='Analysis backend'!$L$1,IF(ISERROR(MATCH('Analysis backend'!$M$1,E4519:I4519,0)),"Dire","Radiant"),"")</f>
        <v/>
      </c>
    </row>
    <row r="4520" spans="20:21" x14ac:dyDescent="0.3">
      <c r="T4520" t="str">
        <f>IF(ISERROR(MATCH('Analysis backend'!$M$1,E4520:N4520,0)),"",'Analysis backend'!$L$1)</f>
        <v/>
      </c>
      <c r="U4520" t="str">
        <f>IF(T4520='Analysis backend'!$L$1,IF(ISERROR(MATCH('Analysis backend'!$M$1,E4520:I4520,0)),"Dire","Radiant"),"")</f>
        <v/>
      </c>
    </row>
    <row r="4521" spans="20:21" x14ac:dyDescent="0.3">
      <c r="T4521" t="str">
        <f>IF(ISERROR(MATCH('Analysis backend'!$M$1,E4521:N4521,0)),"",'Analysis backend'!$L$1)</f>
        <v/>
      </c>
      <c r="U4521" t="str">
        <f>IF(T4521='Analysis backend'!$L$1,IF(ISERROR(MATCH('Analysis backend'!$M$1,E4521:I4521,0)),"Dire","Radiant"),"")</f>
        <v/>
      </c>
    </row>
    <row r="4522" spans="20:21" x14ac:dyDescent="0.3">
      <c r="T4522" t="str">
        <f>IF(ISERROR(MATCH('Analysis backend'!$M$1,E4522:N4522,0)),"",'Analysis backend'!$L$1)</f>
        <v/>
      </c>
      <c r="U4522" t="str">
        <f>IF(T4522='Analysis backend'!$L$1,IF(ISERROR(MATCH('Analysis backend'!$M$1,E4522:I4522,0)),"Dire","Radiant"),"")</f>
        <v/>
      </c>
    </row>
    <row r="4523" spans="20:21" x14ac:dyDescent="0.3">
      <c r="T4523" t="str">
        <f>IF(ISERROR(MATCH('Analysis backend'!$M$1,E4523:N4523,0)),"",'Analysis backend'!$L$1)</f>
        <v/>
      </c>
      <c r="U4523" t="str">
        <f>IF(T4523='Analysis backend'!$L$1,IF(ISERROR(MATCH('Analysis backend'!$M$1,E4523:I4523,0)),"Dire","Radiant"),"")</f>
        <v/>
      </c>
    </row>
    <row r="4524" spans="20:21" x14ac:dyDescent="0.3">
      <c r="T4524" t="str">
        <f>IF(ISERROR(MATCH('Analysis backend'!$M$1,E4524:N4524,0)),"",'Analysis backend'!$L$1)</f>
        <v/>
      </c>
      <c r="U4524" t="str">
        <f>IF(T4524='Analysis backend'!$L$1,IF(ISERROR(MATCH('Analysis backend'!$M$1,E4524:I4524,0)),"Dire","Radiant"),"")</f>
        <v/>
      </c>
    </row>
    <row r="4525" spans="20:21" x14ac:dyDescent="0.3">
      <c r="T4525" t="str">
        <f>IF(ISERROR(MATCH('Analysis backend'!$M$1,E4525:N4525,0)),"",'Analysis backend'!$L$1)</f>
        <v/>
      </c>
      <c r="U4525" t="str">
        <f>IF(T4525='Analysis backend'!$L$1,IF(ISERROR(MATCH('Analysis backend'!$M$1,E4525:I4525,0)),"Dire","Radiant"),"")</f>
        <v/>
      </c>
    </row>
    <row r="4526" spans="20:21" x14ac:dyDescent="0.3">
      <c r="T4526" t="str">
        <f>IF(ISERROR(MATCH('Analysis backend'!$M$1,E4526:N4526,0)),"",'Analysis backend'!$L$1)</f>
        <v/>
      </c>
      <c r="U4526" t="str">
        <f>IF(T4526='Analysis backend'!$L$1,IF(ISERROR(MATCH('Analysis backend'!$M$1,E4526:I4526,0)),"Dire","Radiant"),"")</f>
        <v/>
      </c>
    </row>
    <row r="4527" spans="20:21" x14ac:dyDescent="0.3">
      <c r="T4527" t="str">
        <f>IF(ISERROR(MATCH('Analysis backend'!$M$1,E4527:N4527,0)),"",'Analysis backend'!$L$1)</f>
        <v/>
      </c>
      <c r="U4527" t="str">
        <f>IF(T4527='Analysis backend'!$L$1,IF(ISERROR(MATCH('Analysis backend'!$M$1,E4527:I4527,0)),"Dire","Radiant"),"")</f>
        <v/>
      </c>
    </row>
    <row r="4528" spans="20:21" x14ac:dyDescent="0.3">
      <c r="T4528" t="str">
        <f>IF(ISERROR(MATCH('Analysis backend'!$M$1,E4528:N4528,0)),"",'Analysis backend'!$L$1)</f>
        <v/>
      </c>
      <c r="U4528" t="str">
        <f>IF(T4528='Analysis backend'!$L$1,IF(ISERROR(MATCH('Analysis backend'!$M$1,E4528:I4528,0)),"Dire","Radiant"),"")</f>
        <v/>
      </c>
    </row>
    <row r="4529" spans="20:21" x14ac:dyDescent="0.3">
      <c r="T4529" t="str">
        <f>IF(ISERROR(MATCH('Analysis backend'!$M$1,E4529:N4529,0)),"",'Analysis backend'!$L$1)</f>
        <v/>
      </c>
      <c r="U4529" t="str">
        <f>IF(T4529='Analysis backend'!$L$1,IF(ISERROR(MATCH('Analysis backend'!$M$1,E4529:I4529,0)),"Dire","Radiant"),"")</f>
        <v/>
      </c>
    </row>
    <row r="4530" spans="20:21" x14ac:dyDescent="0.3">
      <c r="T4530" t="str">
        <f>IF(ISERROR(MATCH('Analysis backend'!$M$1,E4530:N4530,0)),"",'Analysis backend'!$L$1)</f>
        <v/>
      </c>
      <c r="U4530" t="str">
        <f>IF(T4530='Analysis backend'!$L$1,IF(ISERROR(MATCH('Analysis backend'!$M$1,E4530:I4530,0)),"Dire","Radiant"),"")</f>
        <v/>
      </c>
    </row>
    <row r="4531" spans="20:21" x14ac:dyDescent="0.3">
      <c r="T4531" t="str">
        <f>IF(ISERROR(MATCH('Analysis backend'!$M$1,E4531:N4531,0)),"",'Analysis backend'!$L$1)</f>
        <v/>
      </c>
      <c r="U4531" t="str">
        <f>IF(T4531='Analysis backend'!$L$1,IF(ISERROR(MATCH('Analysis backend'!$M$1,E4531:I4531,0)),"Dire","Radiant"),"")</f>
        <v/>
      </c>
    </row>
    <row r="4532" spans="20:21" x14ac:dyDescent="0.3">
      <c r="T4532" t="str">
        <f>IF(ISERROR(MATCH('Analysis backend'!$M$1,E4532:N4532,0)),"",'Analysis backend'!$L$1)</f>
        <v/>
      </c>
      <c r="U4532" t="str">
        <f>IF(T4532='Analysis backend'!$L$1,IF(ISERROR(MATCH('Analysis backend'!$M$1,E4532:I4532,0)),"Dire","Radiant"),"")</f>
        <v/>
      </c>
    </row>
    <row r="4533" spans="20:21" x14ac:dyDescent="0.3">
      <c r="T4533" t="str">
        <f>IF(ISERROR(MATCH('Analysis backend'!$M$1,E4533:N4533,0)),"",'Analysis backend'!$L$1)</f>
        <v/>
      </c>
      <c r="U4533" t="str">
        <f>IF(T4533='Analysis backend'!$L$1,IF(ISERROR(MATCH('Analysis backend'!$M$1,E4533:I4533,0)),"Dire","Radiant"),"")</f>
        <v/>
      </c>
    </row>
    <row r="4534" spans="20:21" x14ac:dyDescent="0.3">
      <c r="T4534" t="str">
        <f>IF(ISERROR(MATCH('Analysis backend'!$M$1,E4534:N4534,0)),"",'Analysis backend'!$L$1)</f>
        <v/>
      </c>
      <c r="U4534" t="str">
        <f>IF(T4534='Analysis backend'!$L$1,IF(ISERROR(MATCH('Analysis backend'!$M$1,E4534:I4534,0)),"Dire","Radiant"),"")</f>
        <v/>
      </c>
    </row>
    <row r="4535" spans="20:21" x14ac:dyDescent="0.3">
      <c r="T4535" t="str">
        <f>IF(ISERROR(MATCH('Analysis backend'!$M$1,E4535:N4535,0)),"",'Analysis backend'!$L$1)</f>
        <v/>
      </c>
      <c r="U4535" t="str">
        <f>IF(T4535='Analysis backend'!$L$1,IF(ISERROR(MATCH('Analysis backend'!$M$1,E4535:I4535,0)),"Dire","Radiant"),"")</f>
        <v/>
      </c>
    </row>
    <row r="4536" spans="20:21" x14ac:dyDescent="0.3">
      <c r="T4536" t="str">
        <f>IF(ISERROR(MATCH('Analysis backend'!$M$1,E4536:N4536,0)),"",'Analysis backend'!$L$1)</f>
        <v/>
      </c>
      <c r="U4536" t="str">
        <f>IF(T4536='Analysis backend'!$L$1,IF(ISERROR(MATCH('Analysis backend'!$M$1,E4536:I4536,0)),"Dire","Radiant"),"")</f>
        <v/>
      </c>
    </row>
    <row r="4537" spans="20:21" x14ac:dyDescent="0.3">
      <c r="T4537" t="str">
        <f>IF(ISERROR(MATCH('Analysis backend'!$M$1,E4537:N4537,0)),"",'Analysis backend'!$L$1)</f>
        <v/>
      </c>
      <c r="U4537" t="str">
        <f>IF(T4537='Analysis backend'!$L$1,IF(ISERROR(MATCH('Analysis backend'!$M$1,E4537:I4537,0)),"Dire","Radiant"),"")</f>
        <v/>
      </c>
    </row>
    <row r="4538" spans="20:21" x14ac:dyDescent="0.3">
      <c r="T4538" t="str">
        <f>IF(ISERROR(MATCH('Analysis backend'!$M$1,E4538:N4538,0)),"",'Analysis backend'!$L$1)</f>
        <v/>
      </c>
      <c r="U4538" t="str">
        <f>IF(T4538='Analysis backend'!$L$1,IF(ISERROR(MATCH('Analysis backend'!$M$1,E4538:I4538,0)),"Dire","Radiant"),"")</f>
        <v/>
      </c>
    </row>
    <row r="4539" spans="20:21" x14ac:dyDescent="0.3">
      <c r="T4539" t="str">
        <f>IF(ISERROR(MATCH('Analysis backend'!$M$1,E4539:N4539,0)),"",'Analysis backend'!$L$1)</f>
        <v/>
      </c>
      <c r="U4539" t="str">
        <f>IF(T4539='Analysis backend'!$L$1,IF(ISERROR(MATCH('Analysis backend'!$M$1,E4539:I4539,0)),"Dire","Radiant"),"")</f>
        <v/>
      </c>
    </row>
    <row r="4540" spans="20:21" x14ac:dyDescent="0.3">
      <c r="T4540" t="str">
        <f>IF(ISERROR(MATCH('Analysis backend'!$M$1,E4540:N4540,0)),"",'Analysis backend'!$L$1)</f>
        <v/>
      </c>
      <c r="U4540" t="str">
        <f>IF(T4540='Analysis backend'!$L$1,IF(ISERROR(MATCH('Analysis backend'!$M$1,E4540:I4540,0)),"Dire","Radiant"),"")</f>
        <v/>
      </c>
    </row>
    <row r="4541" spans="20:21" x14ac:dyDescent="0.3">
      <c r="T4541" t="str">
        <f>IF(ISERROR(MATCH('Analysis backend'!$M$1,E4541:N4541,0)),"",'Analysis backend'!$L$1)</f>
        <v/>
      </c>
      <c r="U4541" t="str">
        <f>IF(T4541='Analysis backend'!$L$1,IF(ISERROR(MATCH('Analysis backend'!$M$1,E4541:I4541,0)),"Dire","Radiant"),"")</f>
        <v/>
      </c>
    </row>
    <row r="4542" spans="20:21" x14ac:dyDescent="0.3">
      <c r="T4542" t="str">
        <f>IF(ISERROR(MATCH('Analysis backend'!$M$1,E4542:N4542,0)),"",'Analysis backend'!$L$1)</f>
        <v/>
      </c>
      <c r="U4542" t="str">
        <f>IF(T4542='Analysis backend'!$L$1,IF(ISERROR(MATCH('Analysis backend'!$M$1,E4542:I4542,0)),"Dire","Radiant"),"")</f>
        <v/>
      </c>
    </row>
    <row r="4543" spans="20:21" x14ac:dyDescent="0.3">
      <c r="T4543" t="str">
        <f>IF(ISERROR(MATCH('Analysis backend'!$M$1,E4543:N4543,0)),"",'Analysis backend'!$L$1)</f>
        <v/>
      </c>
      <c r="U4543" t="str">
        <f>IF(T4543='Analysis backend'!$L$1,IF(ISERROR(MATCH('Analysis backend'!$M$1,E4543:I4543,0)),"Dire","Radiant"),"")</f>
        <v/>
      </c>
    </row>
    <row r="4544" spans="20:21" x14ac:dyDescent="0.3">
      <c r="T4544" t="str">
        <f>IF(ISERROR(MATCH('Analysis backend'!$M$1,E4544:N4544,0)),"",'Analysis backend'!$L$1)</f>
        <v/>
      </c>
      <c r="U4544" t="str">
        <f>IF(T4544='Analysis backend'!$L$1,IF(ISERROR(MATCH('Analysis backend'!$M$1,E4544:I4544,0)),"Dire","Radiant"),"")</f>
        <v/>
      </c>
    </row>
    <row r="4545" spans="20:21" x14ac:dyDescent="0.3">
      <c r="T4545" t="str">
        <f>IF(ISERROR(MATCH('Analysis backend'!$M$1,E4545:N4545,0)),"",'Analysis backend'!$L$1)</f>
        <v/>
      </c>
      <c r="U4545" t="str">
        <f>IF(T4545='Analysis backend'!$L$1,IF(ISERROR(MATCH('Analysis backend'!$M$1,E4545:I4545,0)),"Dire","Radiant"),"")</f>
        <v/>
      </c>
    </row>
    <row r="4546" spans="20:21" x14ac:dyDescent="0.3">
      <c r="T4546" t="str">
        <f>IF(ISERROR(MATCH('Analysis backend'!$M$1,E4546:N4546,0)),"",'Analysis backend'!$L$1)</f>
        <v/>
      </c>
      <c r="U4546" t="str">
        <f>IF(T4546='Analysis backend'!$L$1,IF(ISERROR(MATCH('Analysis backend'!$M$1,E4546:I4546,0)),"Dire","Radiant"),"")</f>
        <v/>
      </c>
    </row>
    <row r="4547" spans="20:21" x14ac:dyDescent="0.3">
      <c r="T4547" t="str">
        <f>IF(ISERROR(MATCH('Analysis backend'!$M$1,E4547:N4547,0)),"",'Analysis backend'!$L$1)</f>
        <v/>
      </c>
      <c r="U4547" t="str">
        <f>IF(T4547='Analysis backend'!$L$1,IF(ISERROR(MATCH('Analysis backend'!$M$1,E4547:I4547,0)),"Dire","Radiant"),"")</f>
        <v/>
      </c>
    </row>
    <row r="4548" spans="20:21" x14ac:dyDescent="0.3">
      <c r="T4548" t="str">
        <f>IF(ISERROR(MATCH('Analysis backend'!$M$1,E4548:N4548,0)),"",'Analysis backend'!$L$1)</f>
        <v/>
      </c>
      <c r="U4548" t="str">
        <f>IF(T4548='Analysis backend'!$L$1,IF(ISERROR(MATCH('Analysis backend'!$M$1,E4548:I4548,0)),"Dire","Radiant"),"")</f>
        <v/>
      </c>
    </row>
    <row r="4549" spans="20:21" x14ac:dyDescent="0.3">
      <c r="T4549" t="str">
        <f>IF(ISERROR(MATCH('Analysis backend'!$M$1,E4549:N4549,0)),"",'Analysis backend'!$L$1)</f>
        <v/>
      </c>
      <c r="U4549" t="str">
        <f>IF(T4549='Analysis backend'!$L$1,IF(ISERROR(MATCH('Analysis backend'!$M$1,E4549:I4549,0)),"Dire","Radiant"),"")</f>
        <v/>
      </c>
    </row>
    <row r="4550" spans="20:21" x14ac:dyDescent="0.3">
      <c r="T4550" t="str">
        <f>IF(ISERROR(MATCH('Analysis backend'!$M$1,E4550:N4550,0)),"",'Analysis backend'!$L$1)</f>
        <v/>
      </c>
      <c r="U4550" t="str">
        <f>IF(T4550='Analysis backend'!$L$1,IF(ISERROR(MATCH('Analysis backend'!$M$1,E4550:I4550,0)),"Dire","Radiant"),"")</f>
        <v/>
      </c>
    </row>
    <row r="4551" spans="20:21" x14ac:dyDescent="0.3">
      <c r="T4551" t="str">
        <f>IF(ISERROR(MATCH('Analysis backend'!$M$1,E4551:N4551,0)),"",'Analysis backend'!$L$1)</f>
        <v/>
      </c>
      <c r="U4551" t="str">
        <f>IF(T4551='Analysis backend'!$L$1,IF(ISERROR(MATCH('Analysis backend'!$M$1,E4551:I4551,0)),"Dire","Radiant"),"")</f>
        <v/>
      </c>
    </row>
    <row r="4552" spans="20:21" x14ac:dyDescent="0.3">
      <c r="T4552" t="str">
        <f>IF(ISERROR(MATCH('Analysis backend'!$M$1,E4552:N4552,0)),"",'Analysis backend'!$L$1)</f>
        <v/>
      </c>
      <c r="U4552" t="str">
        <f>IF(T4552='Analysis backend'!$L$1,IF(ISERROR(MATCH('Analysis backend'!$M$1,E4552:I4552,0)),"Dire","Radiant"),"")</f>
        <v/>
      </c>
    </row>
    <row r="4553" spans="20:21" x14ac:dyDescent="0.3">
      <c r="T4553" t="str">
        <f>IF(ISERROR(MATCH('Analysis backend'!$M$1,E4553:N4553,0)),"",'Analysis backend'!$L$1)</f>
        <v/>
      </c>
      <c r="U4553" t="str">
        <f>IF(T4553='Analysis backend'!$L$1,IF(ISERROR(MATCH('Analysis backend'!$M$1,E4553:I4553,0)),"Dire","Radiant"),"")</f>
        <v/>
      </c>
    </row>
    <row r="4554" spans="20:21" x14ac:dyDescent="0.3">
      <c r="T4554" t="str">
        <f>IF(ISERROR(MATCH('Analysis backend'!$M$1,E4554:N4554,0)),"",'Analysis backend'!$L$1)</f>
        <v/>
      </c>
      <c r="U4554" t="str">
        <f>IF(T4554='Analysis backend'!$L$1,IF(ISERROR(MATCH('Analysis backend'!$M$1,E4554:I4554,0)),"Dire","Radiant"),"")</f>
        <v/>
      </c>
    </row>
    <row r="4555" spans="20:21" x14ac:dyDescent="0.3">
      <c r="T4555" t="str">
        <f>IF(ISERROR(MATCH('Analysis backend'!$M$1,E4555:N4555,0)),"",'Analysis backend'!$L$1)</f>
        <v/>
      </c>
      <c r="U4555" t="str">
        <f>IF(T4555='Analysis backend'!$L$1,IF(ISERROR(MATCH('Analysis backend'!$M$1,E4555:I4555,0)),"Dire","Radiant"),"")</f>
        <v/>
      </c>
    </row>
    <row r="4556" spans="20:21" x14ac:dyDescent="0.3">
      <c r="T4556" t="str">
        <f>IF(ISERROR(MATCH('Analysis backend'!$M$1,E4556:N4556,0)),"",'Analysis backend'!$L$1)</f>
        <v/>
      </c>
      <c r="U4556" t="str">
        <f>IF(T4556='Analysis backend'!$L$1,IF(ISERROR(MATCH('Analysis backend'!$M$1,E4556:I4556,0)),"Dire","Radiant"),"")</f>
        <v/>
      </c>
    </row>
    <row r="4557" spans="20:21" x14ac:dyDescent="0.3">
      <c r="T4557" t="str">
        <f>IF(ISERROR(MATCH('Analysis backend'!$M$1,E4557:N4557,0)),"",'Analysis backend'!$L$1)</f>
        <v/>
      </c>
      <c r="U4557" t="str">
        <f>IF(T4557='Analysis backend'!$L$1,IF(ISERROR(MATCH('Analysis backend'!$M$1,E4557:I4557,0)),"Dire","Radiant"),"")</f>
        <v/>
      </c>
    </row>
    <row r="4558" spans="20:21" x14ac:dyDescent="0.3">
      <c r="T4558" t="str">
        <f>IF(ISERROR(MATCH('Analysis backend'!$M$1,E4558:N4558,0)),"",'Analysis backend'!$L$1)</f>
        <v/>
      </c>
      <c r="U4558" t="str">
        <f>IF(T4558='Analysis backend'!$L$1,IF(ISERROR(MATCH('Analysis backend'!$M$1,E4558:I4558,0)),"Dire","Radiant"),"")</f>
        <v/>
      </c>
    </row>
    <row r="4559" spans="20:21" x14ac:dyDescent="0.3">
      <c r="T4559" t="str">
        <f>IF(ISERROR(MATCH('Analysis backend'!$M$1,E4559:N4559,0)),"",'Analysis backend'!$L$1)</f>
        <v/>
      </c>
      <c r="U4559" t="str">
        <f>IF(T4559='Analysis backend'!$L$1,IF(ISERROR(MATCH('Analysis backend'!$M$1,E4559:I4559,0)),"Dire","Radiant"),"")</f>
        <v/>
      </c>
    </row>
    <row r="4560" spans="20:21" x14ac:dyDescent="0.3">
      <c r="T4560" t="str">
        <f>IF(ISERROR(MATCH('Analysis backend'!$M$1,E4560:N4560,0)),"",'Analysis backend'!$L$1)</f>
        <v/>
      </c>
      <c r="U4560" t="str">
        <f>IF(T4560='Analysis backend'!$L$1,IF(ISERROR(MATCH('Analysis backend'!$M$1,E4560:I4560,0)),"Dire","Radiant"),"")</f>
        <v/>
      </c>
    </row>
    <row r="4561" spans="20:21" x14ac:dyDescent="0.3">
      <c r="T4561" t="str">
        <f>IF(ISERROR(MATCH('Analysis backend'!$M$1,E4561:N4561,0)),"",'Analysis backend'!$L$1)</f>
        <v/>
      </c>
      <c r="U4561" t="str">
        <f>IF(T4561='Analysis backend'!$L$1,IF(ISERROR(MATCH('Analysis backend'!$M$1,E4561:I4561,0)),"Dire","Radiant"),"")</f>
        <v/>
      </c>
    </row>
    <row r="4562" spans="20:21" x14ac:dyDescent="0.3">
      <c r="T4562" t="str">
        <f>IF(ISERROR(MATCH('Analysis backend'!$M$1,E4562:N4562,0)),"",'Analysis backend'!$L$1)</f>
        <v/>
      </c>
      <c r="U4562" t="str">
        <f>IF(T4562='Analysis backend'!$L$1,IF(ISERROR(MATCH('Analysis backend'!$M$1,E4562:I4562,0)),"Dire","Radiant"),"")</f>
        <v/>
      </c>
    </row>
    <row r="4563" spans="20:21" x14ac:dyDescent="0.3">
      <c r="T4563" t="str">
        <f>IF(ISERROR(MATCH('Analysis backend'!$M$1,E4563:N4563,0)),"",'Analysis backend'!$L$1)</f>
        <v/>
      </c>
      <c r="U4563" t="str">
        <f>IF(T4563='Analysis backend'!$L$1,IF(ISERROR(MATCH('Analysis backend'!$M$1,E4563:I4563,0)),"Dire","Radiant"),"")</f>
        <v/>
      </c>
    </row>
    <row r="4564" spans="20:21" x14ac:dyDescent="0.3">
      <c r="T4564" t="str">
        <f>IF(ISERROR(MATCH('Analysis backend'!$M$1,E4564:N4564,0)),"",'Analysis backend'!$L$1)</f>
        <v/>
      </c>
      <c r="U4564" t="str">
        <f>IF(T4564='Analysis backend'!$L$1,IF(ISERROR(MATCH('Analysis backend'!$M$1,E4564:I4564,0)),"Dire","Radiant"),"")</f>
        <v/>
      </c>
    </row>
    <row r="4565" spans="20:21" x14ac:dyDescent="0.3">
      <c r="T4565" t="str">
        <f>IF(ISERROR(MATCH('Analysis backend'!$M$1,E4565:N4565,0)),"",'Analysis backend'!$L$1)</f>
        <v/>
      </c>
      <c r="U4565" t="str">
        <f>IF(T4565='Analysis backend'!$L$1,IF(ISERROR(MATCH('Analysis backend'!$M$1,E4565:I4565,0)),"Dire","Radiant"),"")</f>
        <v/>
      </c>
    </row>
    <row r="4566" spans="20:21" x14ac:dyDescent="0.3">
      <c r="T4566" t="str">
        <f>IF(ISERROR(MATCH('Analysis backend'!$M$1,E4566:N4566,0)),"",'Analysis backend'!$L$1)</f>
        <v/>
      </c>
      <c r="U4566" t="str">
        <f>IF(T4566='Analysis backend'!$L$1,IF(ISERROR(MATCH('Analysis backend'!$M$1,E4566:I4566,0)),"Dire","Radiant"),"")</f>
        <v/>
      </c>
    </row>
    <row r="4567" spans="20:21" x14ac:dyDescent="0.3">
      <c r="T4567" t="str">
        <f>IF(ISERROR(MATCH('Analysis backend'!$M$1,E4567:N4567,0)),"",'Analysis backend'!$L$1)</f>
        <v/>
      </c>
      <c r="U4567" t="str">
        <f>IF(T4567='Analysis backend'!$L$1,IF(ISERROR(MATCH('Analysis backend'!$M$1,E4567:I4567,0)),"Dire","Radiant"),"")</f>
        <v/>
      </c>
    </row>
    <row r="4568" spans="20:21" x14ac:dyDescent="0.3">
      <c r="T4568" t="str">
        <f>IF(ISERROR(MATCH('Analysis backend'!$M$1,E4568:N4568,0)),"",'Analysis backend'!$L$1)</f>
        <v/>
      </c>
      <c r="U4568" t="str">
        <f>IF(T4568='Analysis backend'!$L$1,IF(ISERROR(MATCH('Analysis backend'!$M$1,E4568:I4568,0)),"Dire","Radiant"),"")</f>
        <v/>
      </c>
    </row>
    <row r="4569" spans="20:21" x14ac:dyDescent="0.3">
      <c r="T4569" t="str">
        <f>IF(ISERROR(MATCH('Analysis backend'!$M$1,E4569:N4569,0)),"",'Analysis backend'!$L$1)</f>
        <v/>
      </c>
      <c r="U4569" t="str">
        <f>IF(T4569='Analysis backend'!$L$1,IF(ISERROR(MATCH('Analysis backend'!$M$1,E4569:I4569,0)),"Dire","Radiant"),"")</f>
        <v/>
      </c>
    </row>
    <row r="4570" spans="20:21" x14ac:dyDescent="0.3">
      <c r="T4570" t="str">
        <f>IF(ISERROR(MATCH('Analysis backend'!$M$1,E4570:N4570,0)),"",'Analysis backend'!$L$1)</f>
        <v/>
      </c>
      <c r="U4570" t="str">
        <f>IF(T4570='Analysis backend'!$L$1,IF(ISERROR(MATCH('Analysis backend'!$M$1,E4570:I4570,0)),"Dire","Radiant"),"")</f>
        <v/>
      </c>
    </row>
    <row r="4571" spans="20:21" x14ac:dyDescent="0.3">
      <c r="T4571" t="str">
        <f>IF(ISERROR(MATCH('Analysis backend'!$M$1,E4571:N4571,0)),"",'Analysis backend'!$L$1)</f>
        <v/>
      </c>
      <c r="U4571" t="str">
        <f>IF(T4571='Analysis backend'!$L$1,IF(ISERROR(MATCH('Analysis backend'!$M$1,E4571:I4571,0)),"Dire","Radiant"),"")</f>
        <v/>
      </c>
    </row>
    <row r="4572" spans="20:21" x14ac:dyDescent="0.3">
      <c r="T4572" t="str">
        <f>IF(ISERROR(MATCH('Analysis backend'!$M$1,E4572:N4572,0)),"",'Analysis backend'!$L$1)</f>
        <v/>
      </c>
      <c r="U4572" t="str">
        <f>IF(T4572='Analysis backend'!$L$1,IF(ISERROR(MATCH('Analysis backend'!$M$1,E4572:I4572,0)),"Dire","Radiant"),"")</f>
        <v/>
      </c>
    </row>
    <row r="4573" spans="20:21" x14ac:dyDescent="0.3">
      <c r="T4573" t="str">
        <f>IF(ISERROR(MATCH('Analysis backend'!$M$1,E4573:N4573,0)),"",'Analysis backend'!$L$1)</f>
        <v/>
      </c>
      <c r="U4573" t="str">
        <f>IF(T4573='Analysis backend'!$L$1,IF(ISERROR(MATCH('Analysis backend'!$M$1,E4573:I4573,0)),"Dire","Radiant"),"")</f>
        <v/>
      </c>
    </row>
    <row r="4574" spans="20:21" x14ac:dyDescent="0.3">
      <c r="T4574" t="str">
        <f>IF(ISERROR(MATCH('Analysis backend'!$M$1,E4574:N4574,0)),"",'Analysis backend'!$L$1)</f>
        <v/>
      </c>
      <c r="U4574" t="str">
        <f>IF(T4574='Analysis backend'!$L$1,IF(ISERROR(MATCH('Analysis backend'!$M$1,E4574:I4574,0)),"Dire","Radiant"),"")</f>
        <v/>
      </c>
    </row>
    <row r="4575" spans="20:21" x14ac:dyDescent="0.3">
      <c r="T4575" t="str">
        <f>IF(ISERROR(MATCH('Analysis backend'!$M$1,E4575:N4575,0)),"",'Analysis backend'!$L$1)</f>
        <v/>
      </c>
      <c r="U4575" t="str">
        <f>IF(T4575='Analysis backend'!$L$1,IF(ISERROR(MATCH('Analysis backend'!$M$1,E4575:I4575,0)),"Dire","Radiant"),"")</f>
        <v/>
      </c>
    </row>
    <row r="4576" spans="20:21" x14ac:dyDescent="0.3">
      <c r="T4576" t="str">
        <f>IF(ISERROR(MATCH('Analysis backend'!$M$1,E4576:N4576,0)),"",'Analysis backend'!$L$1)</f>
        <v/>
      </c>
      <c r="U4576" t="str">
        <f>IF(T4576='Analysis backend'!$L$1,IF(ISERROR(MATCH('Analysis backend'!$M$1,E4576:I4576,0)),"Dire","Radiant"),"")</f>
        <v/>
      </c>
    </row>
    <row r="4577" spans="20:21" x14ac:dyDescent="0.3">
      <c r="T4577" t="str">
        <f>IF(ISERROR(MATCH('Analysis backend'!$M$1,E4577:N4577,0)),"",'Analysis backend'!$L$1)</f>
        <v/>
      </c>
      <c r="U4577" t="str">
        <f>IF(T4577='Analysis backend'!$L$1,IF(ISERROR(MATCH('Analysis backend'!$M$1,E4577:I4577,0)),"Dire","Radiant"),"")</f>
        <v/>
      </c>
    </row>
    <row r="4578" spans="20:21" x14ac:dyDescent="0.3">
      <c r="T4578" t="str">
        <f>IF(ISERROR(MATCH('Analysis backend'!$M$1,E4578:N4578,0)),"",'Analysis backend'!$L$1)</f>
        <v/>
      </c>
      <c r="U4578" t="str">
        <f>IF(T4578='Analysis backend'!$L$1,IF(ISERROR(MATCH('Analysis backend'!$M$1,E4578:I4578,0)),"Dire","Radiant"),"")</f>
        <v/>
      </c>
    </row>
    <row r="4579" spans="20:21" x14ac:dyDescent="0.3">
      <c r="T4579" t="str">
        <f>IF(ISERROR(MATCH('Analysis backend'!$M$1,E4579:N4579,0)),"",'Analysis backend'!$L$1)</f>
        <v/>
      </c>
      <c r="U4579" t="str">
        <f>IF(T4579='Analysis backend'!$L$1,IF(ISERROR(MATCH('Analysis backend'!$M$1,E4579:I4579,0)),"Dire","Radiant"),"")</f>
        <v/>
      </c>
    </row>
    <row r="4580" spans="20:21" x14ac:dyDescent="0.3">
      <c r="T4580" t="str">
        <f>IF(ISERROR(MATCH('Analysis backend'!$M$1,E4580:N4580,0)),"",'Analysis backend'!$L$1)</f>
        <v/>
      </c>
      <c r="U4580" t="str">
        <f>IF(T4580='Analysis backend'!$L$1,IF(ISERROR(MATCH('Analysis backend'!$M$1,E4580:I4580,0)),"Dire","Radiant"),"")</f>
        <v/>
      </c>
    </row>
    <row r="4581" spans="20:21" x14ac:dyDescent="0.3">
      <c r="T4581" t="str">
        <f>IF(ISERROR(MATCH('Analysis backend'!$M$1,E4581:N4581,0)),"",'Analysis backend'!$L$1)</f>
        <v/>
      </c>
      <c r="U4581" t="str">
        <f>IF(T4581='Analysis backend'!$L$1,IF(ISERROR(MATCH('Analysis backend'!$M$1,E4581:I4581,0)),"Dire","Radiant"),"")</f>
        <v/>
      </c>
    </row>
    <row r="4582" spans="20:21" x14ac:dyDescent="0.3">
      <c r="T4582" t="str">
        <f>IF(ISERROR(MATCH('Analysis backend'!$M$1,E4582:N4582,0)),"",'Analysis backend'!$L$1)</f>
        <v/>
      </c>
      <c r="U4582" t="str">
        <f>IF(T4582='Analysis backend'!$L$1,IF(ISERROR(MATCH('Analysis backend'!$M$1,E4582:I4582,0)),"Dire","Radiant"),"")</f>
        <v/>
      </c>
    </row>
    <row r="4583" spans="20:21" x14ac:dyDescent="0.3">
      <c r="T4583" t="str">
        <f>IF(ISERROR(MATCH('Analysis backend'!$M$1,E4583:N4583,0)),"",'Analysis backend'!$L$1)</f>
        <v/>
      </c>
      <c r="U4583" t="str">
        <f>IF(T4583='Analysis backend'!$L$1,IF(ISERROR(MATCH('Analysis backend'!$M$1,E4583:I4583,0)),"Dire","Radiant"),"")</f>
        <v/>
      </c>
    </row>
    <row r="4584" spans="20:21" x14ac:dyDescent="0.3">
      <c r="T4584" t="str">
        <f>IF(ISERROR(MATCH('Analysis backend'!$M$1,E4584:N4584,0)),"",'Analysis backend'!$L$1)</f>
        <v/>
      </c>
      <c r="U4584" t="str">
        <f>IF(T4584='Analysis backend'!$L$1,IF(ISERROR(MATCH('Analysis backend'!$M$1,E4584:I4584,0)),"Dire","Radiant"),"")</f>
        <v/>
      </c>
    </row>
    <row r="4585" spans="20:21" x14ac:dyDescent="0.3">
      <c r="T4585" t="str">
        <f>IF(ISERROR(MATCH('Analysis backend'!$M$1,E4585:N4585,0)),"",'Analysis backend'!$L$1)</f>
        <v/>
      </c>
      <c r="U4585" t="str">
        <f>IF(T4585='Analysis backend'!$L$1,IF(ISERROR(MATCH('Analysis backend'!$M$1,E4585:I4585,0)),"Dire","Radiant"),"")</f>
        <v/>
      </c>
    </row>
    <row r="4586" spans="20:21" x14ac:dyDescent="0.3">
      <c r="T4586" t="str">
        <f>IF(ISERROR(MATCH('Analysis backend'!$M$1,E4586:N4586,0)),"",'Analysis backend'!$L$1)</f>
        <v/>
      </c>
      <c r="U4586" t="str">
        <f>IF(T4586='Analysis backend'!$L$1,IF(ISERROR(MATCH('Analysis backend'!$M$1,E4586:I4586,0)),"Dire","Radiant"),"")</f>
        <v/>
      </c>
    </row>
    <row r="4587" spans="20:21" x14ac:dyDescent="0.3">
      <c r="T4587" t="str">
        <f>IF(ISERROR(MATCH('Analysis backend'!$M$1,E4587:N4587,0)),"",'Analysis backend'!$L$1)</f>
        <v/>
      </c>
      <c r="U4587" t="str">
        <f>IF(T4587='Analysis backend'!$L$1,IF(ISERROR(MATCH('Analysis backend'!$M$1,E4587:I4587,0)),"Dire","Radiant"),"")</f>
        <v/>
      </c>
    </row>
    <row r="4588" spans="20:21" x14ac:dyDescent="0.3">
      <c r="T4588" t="str">
        <f>IF(ISERROR(MATCH('Analysis backend'!$M$1,E4588:N4588,0)),"",'Analysis backend'!$L$1)</f>
        <v/>
      </c>
      <c r="U4588" t="str">
        <f>IF(T4588='Analysis backend'!$L$1,IF(ISERROR(MATCH('Analysis backend'!$M$1,E4588:I4588,0)),"Dire","Radiant"),"")</f>
        <v/>
      </c>
    </row>
    <row r="4589" spans="20:21" x14ac:dyDescent="0.3">
      <c r="T4589" t="str">
        <f>IF(ISERROR(MATCH('Analysis backend'!$M$1,E4589:N4589,0)),"",'Analysis backend'!$L$1)</f>
        <v/>
      </c>
      <c r="U4589" t="str">
        <f>IF(T4589='Analysis backend'!$L$1,IF(ISERROR(MATCH('Analysis backend'!$M$1,E4589:I4589,0)),"Dire","Radiant"),"")</f>
        <v/>
      </c>
    </row>
    <row r="4590" spans="20:21" x14ac:dyDescent="0.3">
      <c r="T4590" t="str">
        <f>IF(ISERROR(MATCH('Analysis backend'!$M$1,E4590:N4590,0)),"",'Analysis backend'!$L$1)</f>
        <v/>
      </c>
      <c r="U4590" t="str">
        <f>IF(T4590='Analysis backend'!$L$1,IF(ISERROR(MATCH('Analysis backend'!$M$1,E4590:I4590,0)),"Dire","Radiant"),"")</f>
        <v/>
      </c>
    </row>
    <row r="4591" spans="20:21" x14ac:dyDescent="0.3">
      <c r="T4591" t="str">
        <f>IF(ISERROR(MATCH('Analysis backend'!$M$1,E4591:N4591,0)),"",'Analysis backend'!$L$1)</f>
        <v/>
      </c>
      <c r="U4591" t="str">
        <f>IF(T4591='Analysis backend'!$L$1,IF(ISERROR(MATCH('Analysis backend'!$M$1,E4591:I4591,0)),"Dire","Radiant"),"")</f>
        <v/>
      </c>
    </row>
    <row r="4592" spans="20:21" x14ac:dyDescent="0.3">
      <c r="T4592" t="str">
        <f>IF(ISERROR(MATCH('Analysis backend'!$M$1,E4592:N4592,0)),"",'Analysis backend'!$L$1)</f>
        <v/>
      </c>
      <c r="U4592" t="str">
        <f>IF(T4592='Analysis backend'!$L$1,IF(ISERROR(MATCH('Analysis backend'!$M$1,E4592:I4592,0)),"Dire","Radiant"),"")</f>
        <v/>
      </c>
    </row>
    <row r="4593" spans="20:21" x14ac:dyDescent="0.3">
      <c r="T4593" t="str">
        <f>IF(ISERROR(MATCH('Analysis backend'!$M$1,E4593:N4593,0)),"",'Analysis backend'!$L$1)</f>
        <v/>
      </c>
      <c r="U4593" t="str">
        <f>IF(T4593='Analysis backend'!$L$1,IF(ISERROR(MATCH('Analysis backend'!$M$1,E4593:I4593,0)),"Dire","Radiant"),"")</f>
        <v/>
      </c>
    </row>
    <row r="4594" spans="20:21" x14ac:dyDescent="0.3">
      <c r="T4594" t="str">
        <f>IF(ISERROR(MATCH('Analysis backend'!$M$1,E4594:N4594,0)),"",'Analysis backend'!$L$1)</f>
        <v/>
      </c>
      <c r="U4594" t="str">
        <f>IF(T4594='Analysis backend'!$L$1,IF(ISERROR(MATCH('Analysis backend'!$M$1,E4594:I4594,0)),"Dire","Radiant"),"")</f>
        <v/>
      </c>
    </row>
    <row r="4595" spans="20:21" x14ac:dyDescent="0.3">
      <c r="T4595" t="str">
        <f>IF(ISERROR(MATCH('Analysis backend'!$M$1,E4595:N4595,0)),"",'Analysis backend'!$L$1)</f>
        <v/>
      </c>
      <c r="U4595" t="str">
        <f>IF(T4595='Analysis backend'!$L$1,IF(ISERROR(MATCH('Analysis backend'!$M$1,E4595:I4595,0)),"Dire","Radiant"),"")</f>
        <v/>
      </c>
    </row>
    <row r="4596" spans="20:21" x14ac:dyDescent="0.3">
      <c r="T4596" t="str">
        <f>IF(ISERROR(MATCH('Analysis backend'!$M$1,E4596:N4596,0)),"",'Analysis backend'!$L$1)</f>
        <v/>
      </c>
      <c r="U4596" t="str">
        <f>IF(T4596='Analysis backend'!$L$1,IF(ISERROR(MATCH('Analysis backend'!$M$1,E4596:I4596,0)),"Dire","Radiant"),"")</f>
        <v/>
      </c>
    </row>
    <row r="4597" spans="20:21" x14ac:dyDescent="0.3">
      <c r="T4597" t="str">
        <f>IF(ISERROR(MATCH('Analysis backend'!$M$1,E4597:N4597,0)),"",'Analysis backend'!$L$1)</f>
        <v/>
      </c>
      <c r="U4597" t="str">
        <f>IF(T4597='Analysis backend'!$L$1,IF(ISERROR(MATCH('Analysis backend'!$M$1,E4597:I4597,0)),"Dire","Radiant"),"")</f>
        <v/>
      </c>
    </row>
    <row r="4598" spans="20:21" x14ac:dyDescent="0.3">
      <c r="T4598" t="str">
        <f>IF(ISERROR(MATCH('Analysis backend'!$M$1,E4598:N4598,0)),"",'Analysis backend'!$L$1)</f>
        <v/>
      </c>
      <c r="U4598" t="str">
        <f>IF(T4598='Analysis backend'!$L$1,IF(ISERROR(MATCH('Analysis backend'!$M$1,E4598:I4598,0)),"Dire","Radiant"),"")</f>
        <v/>
      </c>
    </row>
    <row r="4599" spans="20:21" x14ac:dyDescent="0.3">
      <c r="T4599" t="str">
        <f>IF(ISERROR(MATCH('Analysis backend'!$M$1,E4599:N4599,0)),"",'Analysis backend'!$L$1)</f>
        <v/>
      </c>
      <c r="U4599" t="str">
        <f>IF(T4599='Analysis backend'!$L$1,IF(ISERROR(MATCH('Analysis backend'!$M$1,E4599:I4599,0)),"Dire","Radiant"),"")</f>
        <v/>
      </c>
    </row>
    <row r="4600" spans="20:21" x14ac:dyDescent="0.3">
      <c r="T4600" t="str">
        <f>IF(ISERROR(MATCH('Analysis backend'!$M$1,E4600:N4600,0)),"",'Analysis backend'!$L$1)</f>
        <v/>
      </c>
      <c r="U4600" t="str">
        <f>IF(T4600='Analysis backend'!$L$1,IF(ISERROR(MATCH('Analysis backend'!$M$1,E4600:I4600,0)),"Dire","Radiant"),"")</f>
        <v/>
      </c>
    </row>
    <row r="4601" spans="20:21" x14ac:dyDescent="0.3">
      <c r="T4601" t="str">
        <f>IF(ISERROR(MATCH('Analysis backend'!$M$1,E4601:N4601,0)),"",'Analysis backend'!$L$1)</f>
        <v/>
      </c>
      <c r="U4601" t="str">
        <f>IF(T4601='Analysis backend'!$L$1,IF(ISERROR(MATCH('Analysis backend'!$M$1,E4601:I4601,0)),"Dire","Radiant"),"")</f>
        <v/>
      </c>
    </row>
    <row r="4602" spans="20:21" x14ac:dyDescent="0.3">
      <c r="T4602" t="str">
        <f>IF(ISERROR(MATCH('Analysis backend'!$M$1,E4602:N4602,0)),"",'Analysis backend'!$L$1)</f>
        <v/>
      </c>
      <c r="U4602" t="str">
        <f>IF(T4602='Analysis backend'!$L$1,IF(ISERROR(MATCH('Analysis backend'!$M$1,E4602:I4602,0)),"Dire","Radiant"),"")</f>
        <v/>
      </c>
    </row>
    <row r="4603" spans="20:21" x14ac:dyDescent="0.3">
      <c r="T4603" t="str">
        <f>IF(ISERROR(MATCH('Analysis backend'!$M$1,E4603:N4603,0)),"",'Analysis backend'!$L$1)</f>
        <v/>
      </c>
      <c r="U4603" t="str">
        <f>IF(T4603='Analysis backend'!$L$1,IF(ISERROR(MATCH('Analysis backend'!$M$1,E4603:I4603,0)),"Dire","Radiant"),"")</f>
        <v/>
      </c>
    </row>
    <row r="4604" spans="20:21" x14ac:dyDescent="0.3">
      <c r="T4604" t="str">
        <f>IF(ISERROR(MATCH('Analysis backend'!$M$1,E4604:N4604,0)),"",'Analysis backend'!$L$1)</f>
        <v/>
      </c>
      <c r="U4604" t="str">
        <f>IF(T4604='Analysis backend'!$L$1,IF(ISERROR(MATCH('Analysis backend'!$M$1,E4604:I4604,0)),"Dire","Radiant"),"")</f>
        <v/>
      </c>
    </row>
    <row r="4605" spans="20:21" x14ac:dyDescent="0.3">
      <c r="T4605" t="str">
        <f>IF(ISERROR(MATCH('Analysis backend'!$M$1,E4605:N4605,0)),"",'Analysis backend'!$L$1)</f>
        <v/>
      </c>
      <c r="U4605" t="str">
        <f>IF(T4605='Analysis backend'!$L$1,IF(ISERROR(MATCH('Analysis backend'!$M$1,E4605:I4605,0)),"Dire","Radiant"),"")</f>
        <v/>
      </c>
    </row>
    <row r="4606" spans="20:21" x14ac:dyDescent="0.3">
      <c r="T4606" t="str">
        <f>IF(ISERROR(MATCH('Analysis backend'!$M$1,E4606:N4606,0)),"",'Analysis backend'!$L$1)</f>
        <v/>
      </c>
      <c r="U4606" t="str">
        <f>IF(T4606='Analysis backend'!$L$1,IF(ISERROR(MATCH('Analysis backend'!$M$1,E4606:I4606,0)),"Dire","Radiant"),"")</f>
        <v/>
      </c>
    </row>
    <row r="4607" spans="20:21" x14ac:dyDescent="0.3">
      <c r="T4607" t="str">
        <f>IF(ISERROR(MATCH('Analysis backend'!$M$1,E4607:N4607,0)),"",'Analysis backend'!$L$1)</f>
        <v/>
      </c>
      <c r="U4607" t="str">
        <f>IF(T4607='Analysis backend'!$L$1,IF(ISERROR(MATCH('Analysis backend'!$M$1,E4607:I4607,0)),"Dire","Radiant"),"")</f>
        <v/>
      </c>
    </row>
    <row r="4608" spans="20:21" x14ac:dyDescent="0.3">
      <c r="T4608" t="str">
        <f>IF(ISERROR(MATCH('Analysis backend'!$M$1,E4608:N4608,0)),"",'Analysis backend'!$L$1)</f>
        <v/>
      </c>
      <c r="U4608" t="str">
        <f>IF(T4608='Analysis backend'!$L$1,IF(ISERROR(MATCH('Analysis backend'!$M$1,E4608:I4608,0)),"Dire","Radiant"),"")</f>
        <v/>
      </c>
    </row>
    <row r="4609" spans="20:21" x14ac:dyDescent="0.3">
      <c r="T4609" t="str">
        <f>IF(ISERROR(MATCH('Analysis backend'!$M$1,E4609:N4609,0)),"",'Analysis backend'!$L$1)</f>
        <v/>
      </c>
      <c r="U4609" t="str">
        <f>IF(T4609='Analysis backend'!$L$1,IF(ISERROR(MATCH('Analysis backend'!$M$1,E4609:I4609,0)),"Dire","Radiant"),"")</f>
        <v/>
      </c>
    </row>
    <row r="4610" spans="20:21" x14ac:dyDescent="0.3">
      <c r="T4610" t="str">
        <f>IF(ISERROR(MATCH('Analysis backend'!$M$1,E4610:N4610,0)),"",'Analysis backend'!$L$1)</f>
        <v/>
      </c>
      <c r="U4610" t="str">
        <f>IF(T4610='Analysis backend'!$L$1,IF(ISERROR(MATCH('Analysis backend'!$M$1,E4610:I4610,0)),"Dire","Radiant"),"")</f>
        <v/>
      </c>
    </row>
    <row r="4611" spans="20:21" x14ac:dyDescent="0.3">
      <c r="T4611" t="str">
        <f>IF(ISERROR(MATCH('Analysis backend'!$M$1,E4611:N4611,0)),"",'Analysis backend'!$L$1)</f>
        <v/>
      </c>
      <c r="U4611" t="str">
        <f>IF(T4611='Analysis backend'!$L$1,IF(ISERROR(MATCH('Analysis backend'!$M$1,E4611:I4611,0)),"Dire","Radiant"),"")</f>
        <v/>
      </c>
    </row>
    <row r="4612" spans="20:21" x14ac:dyDescent="0.3">
      <c r="T4612" t="str">
        <f>IF(ISERROR(MATCH('Analysis backend'!$M$1,E4612:N4612,0)),"",'Analysis backend'!$L$1)</f>
        <v/>
      </c>
      <c r="U4612" t="str">
        <f>IF(T4612='Analysis backend'!$L$1,IF(ISERROR(MATCH('Analysis backend'!$M$1,E4612:I4612,0)),"Dire","Radiant"),"")</f>
        <v/>
      </c>
    </row>
    <row r="4613" spans="20:21" x14ac:dyDescent="0.3">
      <c r="T4613" t="str">
        <f>IF(ISERROR(MATCH('Analysis backend'!$M$1,E4613:N4613,0)),"",'Analysis backend'!$L$1)</f>
        <v/>
      </c>
      <c r="U4613" t="str">
        <f>IF(T4613='Analysis backend'!$L$1,IF(ISERROR(MATCH('Analysis backend'!$M$1,E4613:I4613,0)),"Dire","Radiant"),"")</f>
        <v/>
      </c>
    </row>
    <row r="4614" spans="20:21" x14ac:dyDescent="0.3">
      <c r="T4614" t="str">
        <f>IF(ISERROR(MATCH('Analysis backend'!$M$1,E4614:N4614,0)),"",'Analysis backend'!$L$1)</f>
        <v/>
      </c>
      <c r="U4614" t="str">
        <f>IF(T4614='Analysis backend'!$L$1,IF(ISERROR(MATCH('Analysis backend'!$M$1,E4614:I4614,0)),"Dire","Radiant"),"")</f>
        <v/>
      </c>
    </row>
    <row r="4615" spans="20:21" x14ac:dyDescent="0.3">
      <c r="T4615" t="str">
        <f>IF(ISERROR(MATCH('Analysis backend'!$M$1,E4615:N4615,0)),"",'Analysis backend'!$L$1)</f>
        <v/>
      </c>
      <c r="U4615" t="str">
        <f>IF(T4615='Analysis backend'!$L$1,IF(ISERROR(MATCH('Analysis backend'!$M$1,E4615:I4615,0)),"Dire","Radiant"),"")</f>
        <v/>
      </c>
    </row>
    <row r="4616" spans="20:21" x14ac:dyDescent="0.3">
      <c r="T4616" t="str">
        <f>IF(ISERROR(MATCH('Analysis backend'!$M$1,E4616:N4616,0)),"",'Analysis backend'!$L$1)</f>
        <v/>
      </c>
      <c r="U4616" t="str">
        <f>IF(T4616='Analysis backend'!$L$1,IF(ISERROR(MATCH('Analysis backend'!$M$1,E4616:I4616,0)),"Dire","Radiant"),"")</f>
        <v/>
      </c>
    </row>
    <row r="4617" spans="20:21" x14ac:dyDescent="0.3">
      <c r="T4617" t="str">
        <f>IF(ISERROR(MATCH('Analysis backend'!$M$1,E4617:N4617,0)),"",'Analysis backend'!$L$1)</f>
        <v/>
      </c>
      <c r="U4617" t="str">
        <f>IF(T4617='Analysis backend'!$L$1,IF(ISERROR(MATCH('Analysis backend'!$M$1,E4617:I4617,0)),"Dire","Radiant"),"")</f>
        <v/>
      </c>
    </row>
    <row r="4618" spans="20:21" x14ac:dyDescent="0.3">
      <c r="T4618" t="str">
        <f>IF(ISERROR(MATCH('Analysis backend'!$M$1,E4618:N4618,0)),"",'Analysis backend'!$L$1)</f>
        <v/>
      </c>
      <c r="U4618" t="str">
        <f>IF(T4618='Analysis backend'!$L$1,IF(ISERROR(MATCH('Analysis backend'!$M$1,E4618:I4618,0)),"Dire","Radiant"),"")</f>
        <v/>
      </c>
    </row>
    <row r="4619" spans="20:21" x14ac:dyDescent="0.3">
      <c r="T4619" t="str">
        <f>IF(ISERROR(MATCH('Analysis backend'!$M$1,E4619:N4619,0)),"",'Analysis backend'!$L$1)</f>
        <v/>
      </c>
      <c r="U4619" t="str">
        <f>IF(T4619='Analysis backend'!$L$1,IF(ISERROR(MATCH('Analysis backend'!$M$1,E4619:I4619,0)),"Dire","Radiant"),"")</f>
        <v/>
      </c>
    </row>
    <row r="4620" spans="20:21" x14ac:dyDescent="0.3">
      <c r="T4620" t="str">
        <f>IF(ISERROR(MATCH('Analysis backend'!$M$1,E4620:N4620,0)),"",'Analysis backend'!$L$1)</f>
        <v/>
      </c>
      <c r="U4620" t="str">
        <f>IF(T4620='Analysis backend'!$L$1,IF(ISERROR(MATCH('Analysis backend'!$M$1,E4620:I4620,0)),"Dire","Radiant"),"")</f>
        <v/>
      </c>
    </row>
    <row r="4621" spans="20:21" x14ac:dyDescent="0.3">
      <c r="T4621" t="str">
        <f>IF(ISERROR(MATCH('Analysis backend'!$M$1,E4621:N4621,0)),"",'Analysis backend'!$L$1)</f>
        <v/>
      </c>
      <c r="U4621" t="str">
        <f>IF(T4621='Analysis backend'!$L$1,IF(ISERROR(MATCH('Analysis backend'!$M$1,E4621:I4621,0)),"Dire","Radiant"),"")</f>
        <v/>
      </c>
    </row>
    <row r="4622" spans="20:21" x14ac:dyDescent="0.3">
      <c r="T4622" t="str">
        <f>IF(ISERROR(MATCH('Analysis backend'!$M$1,E4622:N4622,0)),"",'Analysis backend'!$L$1)</f>
        <v/>
      </c>
      <c r="U4622" t="str">
        <f>IF(T4622='Analysis backend'!$L$1,IF(ISERROR(MATCH('Analysis backend'!$M$1,E4622:I4622,0)),"Dire","Radiant"),"")</f>
        <v/>
      </c>
    </row>
    <row r="4623" spans="20:21" x14ac:dyDescent="0.3">
      <c r="T4623" t="str">
        <f>IF(ISERROR(MATCH('Analysis backend'!$M$1,E4623:N4623,0)),"",'Analysis backend'!$L$1)</f>
        <v/>
      </c>
      <c r="U4623" t="str">
        <f>IF(T4623='Analysis backend'!$L$1,IF(ISERROR(MATCH('Analysis backend'!$M$1,E4623:I4623,0)),"Dire","Radiant"),"")</f>
        <v/>
      </c>
    </row>
    <row r="4624" spans="20:21" x14ac:dyDescent="0.3">
      <c r="T4624" t="str">
        <f>IF(ISERROR(MATCH('Analysis backend'!$M$1,E4624:N4624,0)),"",'Analysis backend'!$L$1)</f>
        <v/>
      </c>
      <c r="U4624" t="str">
        <f>IF(T4624='Analysis backend'!$L$1,IF(ISERROR(MATCH('Analysis backend'!$M$1,E4624:I4624,0)),"Dire","Radiant"),"")</f>
        <v/>
      </c>
    </row>
    <row r="4625" spans="20:21" x14ac:dyDescent="0.3">
      <c r="T4625" t="str">
        <f>IF(ISERROR(MATCH('Analysis backend'!$M$1,E4625:N4625,0)),"",'Analysis backend'!$L$1)</f>
        <v/>
      </c>
      <c r="U4625" t="str">
        <f>IF(T4625='Analysis backend'!$L$1,IF(ISERROR(MATCH('Analysis backend'!$M$1,E4625:I4625,0)),"Dire","Radiant"),"")</f>
        <v/>
      </c>
    </row>
    <row r="4626" spans="20:21" x14ac:dyDescent="0.3">
      <c r="T4626" t="str">
        <f>IF(ISERROR(MATCH('Analysis backend'!$M$1,E4626:N4626,0)),"",'Analysis backend'!$L$1)</f>
        <v/>
      </c>
      <c r="U4626" t="str">
        <f>IF(T4626='Analysis backend'!$L$1,IF(ISERROR(MATCH('Analysis backend'!$M$1,E4626:I4626,0)),"Dire","Radiant"),"")</f>
        <v/>
      </c>
    </row>
    <row r="4627" spans="20:21" x14ac:dyDescent="0.3">
      <c r="T4627" t="str">
        <f>IF(ISERROR(MATCH('Analysis backend'!$M$1,E4627:N4627,0)),"",'Analysis backend'!$L$1)</f>
        <v/>
      </c>
      <c r="U4627" t="str">
        <f>IF(T4627='Analysis backend'!$L$1,IF(ISERROR(MATCH('Analysis backend'!$M$1,E4627:I4627,0)),"Dire","Radiant"),"")</f>
        <v/>
      </c>
    </row>
    <row r="4628" spans="20:21" x14ac:dyDescent="0.3">
      <c r="T4628" t="str">
        <f>IF(ISERROR(MATCH('Analysis backend'!$M$1,E4628:N4628,0)),"",'Analysis backend'!$L$1)</f>
        <v/>
      </c>
      <c r="U4628" t="str">
        <f>IF(T4628='Analysis backend'!$L$1,IF(ISERROR(MATCH('Analysis backend'!$M$1,E4628:I4628,0)),"Dire","Radiant"),"")</f>
        <v/>
      </c>
    </row>
    <row r="4629" spans="20:21" x14ac:dyDescent="0.3">
      <c r="T4629" t="str">
        <f>IF(ISERROR(MATCH('Analysis backend'!$M$1,E4629:N4629,0)),"",'Analysis backend'!$L$1)</f>
        <v/>
      </c>
      <c r="U4629" t="str">
        <f>IF(T4629='Analysis backend'!$L$1,IF(ISERROR(MATCH('Analysis backend'!$M$1,E4629:I4629,0)),"Dire","Radiant"),"")</f>
        <v/>
      </c>
    </row>
    <row r="4630" spans="20:21" x14ac:dyDescent="0.3">
      <c r="T4630" t="str">
        <f>IF(ISERROR(MATCH('Analysis backend'!$M$1,E4630:N4630,0)),"",'Analysis backend'!$L$1)</f>
        <v/>
      </c>
      <c r="U4630" t="str">
        <f>IF(T4630='Analysis backend'!$L$1,IF(ISERROR(MATCH('Analysis backend'!$M$1,E4630:I4630,0)),"Dire","Radiant"),"")</f>
        <v/>
      </c>
    </row>
    <row r="4631" spans="20:21" x14ac:dyDescent="0.3">
      <c r="T4631" t="str">
        <f>IF(ISERROR(MATCH('Analysis backend'!$M$1,E4631:N4631,0)),"",'Analysis backend'!$L$1)</f>
        <v/>
      </c>
      <c r="U4631" t="str">
        <f>IF(T4631='Analysis backend'!$L$1,IF(ISERROR(MATCH('Analysis backend'!$M$1,E4631:I4631,0)),"Dire","Radiant"),"")</f>
        <v/>
      </c>
    </row>
    <row r="4632" spans="20:21" x14ac:dyDescent="0.3">
      <c r="T4632" t="str">
        <f>IF(ISERROR(MATCH('Analysis backend'!$M$1,E4632:N4632,0)),"",'Analysis backend'!$L$1)</f>
        <v/>
      </c>
      <c r="U4632" t="str">
        <f>IF(T4632='Analysis backend'!$L$1,IF(ISERROR(MATCH('Analysis backend'!$M$1,E4632:I4632,0)),"Dire","Radiant"),"")</f>
        <v/>
      </c>
    </row>
    <row r="4633" spans="20:21" x14ac:dyDescent="0.3">
      <c r="T4633" t="str">
        <f>IF(ISERROR(MATCH('Analysis backend'!$M$1,E4633:N4633,0)),"",'Analysis backend'!$L$1)</f>
        <v/>
      </c>
      <c r="U4633" t="str">
        <f>IF(T4633='Analysis backend'!$L$1,IF(ISERROR(MATCH('Analysis backend'!$M$1,E4633:I4633,0)),"Dire","Radiant"),"")</f>
        <v/>
      </c>
    </row>
    <row r="4634" spans="20:21" x14ac:dyDescent="0.3">
      <c r="T4634" t="str">
        <f>IF(ISERROR(MATCH('Analysis backend'!$M$1,E4634:N4634,0)),"",'Analysis backend'!$L$1)</f>
        <v/>
      </c>
      <c r="U4634" t="str">
        <f>IF(T4634='Analysis backend'!$L$1,IF(ISERROR(MATCH('Analysis backend'!$M$1,E4634:I4634,0)),"Dire","Radiant"),"")</f>
        <v/>
      </c>
    </row>
    <row r="4635" spans="20:21" x14ac:dyDescent="0.3">
      <c r="T4635" t="str">
        <f>IF(ISERROR(MATCH('Analysis backend'!$M$1,E4635:N4635,0)),"",'Analysis backend'!$L$1)</f>
        <v/>
      </c>
      <c r="U4635" t="str">
        <f>IF(T4635='Analysis backend'!$L$1,IF(ISERROR(MATCH('Analysis backend'!$M$1,E4635:I4635,0)),"Dire","Radiant"),"")</f>
        <v/>
      </c>
    </row>
    <row r="4636" spans="20:21" x14ac:dyDescent="0.3">
      <c r="T4636" t="str">
        <f>IF(ISERROR(MATCH('Analysis backend'!$M$1,E4636:N4636,0)),"",'Analysis backend'!$L$1)</f>
        <v/>
      </c>
      <c r="U4636" t="str">
        <f>IF(T4636='Analysis backend'!$L$1,IF(ISERROR(MATCH('Analysis backend'!$M$1,E4636:I4636,0)),"Dire","Radiant"),"")</f>
        <v/>
      </c>
    </row>
    <row r="4637" spans="20:21" x14ac:dyDescent="0.3">
      <c r="T4637" t="str">
        <f>IF(ISERROR(MATCH('Analysis backend'!$M$1,E4637:N4637,0)),"",'Analysis backend'!$L$1)</f>
        <v/>
      </c>
      <c r="U4637" t="str">
        <f>IF(T4637='Analysis backend'!$L$1,IF(ISERROR(MATCH('Analysis backend'!$M$1,E4637:I4637,0)),"Dire","Radiant"),"")</f>
        <v/>
      </c>
    </row>
    <row r="4638" spans="20:21" x14ac:dyDescent="0.3">
      <c r="T4638" t="str">
        <f>IF(ISERROR(MATCH('Analysis backend'!$M$1,E4638:N4638,0)),"",'Analysis backend'!$L$1)</f>
        <v/>
      </c>
      <c r="U4638" t="str">
        <f>IF(T4638='Analysis backend'!$L$1,IF(ISERROR(MATCH('Analysis backend'!$M$1,E4638:I4638,0)),"Dire","Radiant"),"")</f>
        <v/>
      </c>
    </row>
    <row r="4639" spans="20:21" x14ac:dyDescent="0.3">
      <c r="T4639" t="str">
        <f>IF(ISERROR(MATCH('Analysis backend'!$M$1,E4639:N4639,0)),"",'Analysis backend'!$L$1)</f>
        <v/>
      </c>
      <c r="U4639" t="str">
        <f>IF(T4639='Analysis backend'!$L$1,IF(ISERROR(MATCH('Analysis backend'!$M$1,E4639:I4639,0)),"Dire","Radiant"),"")</f>
        <v/>
      </c>
    </row>
    <row r="4640" spans="20:21" x14ac:dyDescent="0.3">
      <c r="T4640" t="str">
        <f>IF(ISERROR(MATCH('Analysis backend'!$M$1,E4640:N4640,0)),"",'Analysis backend'!$L$1)</f>
        <v/>
      </c>
      <c r="U4640" t="str">
        <f>IF(T4640='Analysis backend'!$L$1,IF(ISERROR(MATCH('Analysis backend'!$M$1,E4640:I4640,0)),"Dire","Radiant"),"")</f>
        <v/>
      </c>
    </row>
    <row r="4641" spans="20:21" x14ac:dyDescent="0.3">
      <c r="T4641" t="str">
        <f>IF(ISERROR(MATCH('Analysis backend'!$M$1,E4641:N4641,0)),"",'Analysis backend'!$L$1)</f>
        <v/>
      </c>
      <c r="U4641" t="str">
        <f>IF(T4641='Analysis backend'!$L$1,IF(ISERROR(MATCH('Analysis backend'!$M$1,E4641:I4641,0)),"Dire","Radiant"),"")</f>
        <v/>
      </c>
    </row>
    <row r="4642" spans="20:21" x14ac:dyDescent="0.3">
      <c r="T4642" t="str">
        <f>IF(ISERROR(MATCH('Analysis backend'!$M$1,E4642:N4642,0)),"",'Analysis backend'!$L$1)</f>
        <v/>
      </c>
      <c r="U4642" t="str">
        <f>IF(T4642='Analysis backend'!$L$1,IF(ISERROR(MATCH('Analysis backend'!$M$1,E4642:I4642,0)),"Dire","Radiant"),"")</f>
        <v/>
      </c>
    </row>
    <row r="4643" spans="20:21" x14ac:dyDescent="0.3">
      <c r="T4643" t="str">
        <f>IF(ISERROR(MATCH('Analysis backend'!$M$1,E4643:N4643,0)),"",'Analysis backend'!$L$1)</f>
        <v/>
      </c>
      <c r="U4643" t="str">
        <f>IF(T4643='Analysis backend'!$L$1,IF(ISERROR(MATCH('Analysis backend'!$M$1,E4643:I4643,0)),"Dire","Radiant"),"")</f>
        <v/>
      </c>
    </row>
    <row r="4644" spans="20:21" x14ac:dyDescent="0.3">
      <c r="T4644" t="str">
        <f>IF(ISERROR(MATCH('Analysis backend'!$M$1,E4644:N4644,0)),"",'Analysis backend'!$L$1)</f>
        <v/>
      </c>
      <c r="U4644" t="str">
        <f>IF(T4644='Analysis backend'!$L$1,IF(ISERROR(MATCH('Analysis backend'!$M$1,E4644:I4644,0)),"Dire","Radiant"),"")</f>
        <v/>
      </c>
    </row>
    <row r="4645" spans="20:21" x14ac:dyDescent="0.3">
      <c r="T4645" t="str">
        <f>IF(ISERROR(MATCH('Analysis backend'!$M$1,E4645:N4645,0)),"",'Analysis backend'!$L$1)</f>
        <v/>
      </c>
      <c r="U4645" t="str">
        <f>IF(T4645='Analysis backend'!$L$1,IF(ISERROR(MATCH('Analysis backend'!$M$1,E4645:I4645,0)),"Dire","Radiant"),"")</f>
        <v/>
      </c>
    </row>
    <row r="4646" spans="20:21" x14ac:dyDescent="0.3">
      <c r="T4646" t="str">
        <f>IF(ISERROR(MATCH('Analysis backend'!$M$1,E4646:N4646,0)),"",'Analysis backend'!$L$1)</f>
        <v/>
      </c>
      <c r="U4646" t="str">
        <f>IF(T4646='Analysis backend'!$L$1,IF(ISERROR(MATCH('Analysis backend'!$M$1,E4646:I4646,0)),"Dire","Radiant"),"")</f>
        <v/>
      </c>
    </row>
    <row r="4647" spans="20:21" x14ac:dyDescent="0.3">
      <c r="T4647" t="str">
        <f>IF(ISERROR(MATCH('Analysis backend'!$M$1,E4647:N4647,0)),"",'Analysis backend'!$L$1)</f>
        <v/>
      </c>
      <c r="U4647" t="str">
        <f>IF(T4647='Analysis backend'!$L$1,IF(ISERROR(MATCH('Analysis backend'!$M$1,E4647:I4647,0)),"Dire","Radiant"),"")</f>
        <v/>
      </c>
    </row>
    <row r="4648" spans="20:21" x14ac:dyDescent="0.3">
      <c r="T4648" t="str">
        <f>IF(ISERROR(MATCH('Analysis backend'!$M$1,E4648:N4648,0)),"",'Analysis backend'!$L$1)</f>
        <v/>
      </c>
      <c r="U4648" t="str">
        <f>IF(T4648='Analysis backend'!$L$1,IF(ISERROR(MATCH('Analysis backend'!$M$1,E4648:I4648,0)),"Dire","Radiant"),"")</f>
        <v/>
      </c>
    </row>
    <row r="4649" spans="20:21" x14ac:dyDescent="0.3">
      <c r="T4649" t="str">
        <f>IF(ISERROR(MATCH('Analysis backend'!$M$1,E4649:N4649,0)),"",'Analysis backend'!$L$1)</f>
        <v/>
      </c>
      <c r="U4649" t="str">
        <f>IF(T4649='Analysis backend'!$L$1,IF(ISERROR(MATCH('Analysis backend'!$M$1,E4649:I4649,0)),"Dire","Radiant"),"")</f>
        <v/>
      </c>
    </row>
    <row r="4650" spans="20:21" x14ac:dyDescent="0.3">
      <c r="T4650" t="str">
        <f>IF(ISERROR(MATCH('Analysis backend'!$M$1,E4650:N4650,0)),"",'Analysis backend'!$L$1)</f>
        <v/>
      </c>
      <c r="U4650" t="str">
        <f>IF(T4650='Analysis backend'!$L$1,IF(ISERROR(MATCH('Analysis backend'!$M$1,E4650:I4650,0)),"Dire","Radiant"),"")</f>
        <v/>
      </c>
    </row>
    <row r="4651" spans="20:21" x14ac:dyDescent="0.3">
      <c r="T4651" t="str">
        <f>IF(ISERROR(MATCH('Analysis backend'!$M$1,E4651:N4651,0)),"",'Analysis backend'!$L$1)</f>
        <v/>
      </c>
      <c r="U4651" t="str">
        <f>IF(T4651='Analysis backend'!$L$1,IF(ISERROR(MATCH('Analysis backend'!$M$1,E4651:I4651,0)),"Dire","Radiant"),"")</f>
        <v/>
      </c>
    </row>
    <row r="4652" spans="20:21" x14ac:dyDescent="0.3">
      <c r="T4652" t="str">
        <f>IF(ISERROR(MATCH('Analysis backend'!$M$1,E4652:N4652,0)),"",'Analysis backend'!$L$1)</f>
        <v/>
      </c>
      <c r="U4652" t="str">
        <f>IF(T4652='Analysis backend'!$L$1,IF(ISERROR(MATCH('Analysis backend'!$M$1,E4652:I4652,0)),"Dire","Radiant"),"")</f>
        <v/>
      </c>
    </row>
    <row r="4653" spans="20:21" x14ac:dyDescent="0.3">
      <c r="T4653" t="str">
        <f>IF(ISERROR(MATCH('Analysis backend'!$M$1,E4653:N4653,0)),"",'Analysis backend'!$L$1)</f>
        <v/>
      </c>
      <c r="U4653" t="str">
        <f>IF(T4653='Analysis backend'!$L$1,IF(ISERROR(MATCH('Analysis backend'!$M$1,E4653:I4653,0)),"Dire","Radiant"),"")</f>
        <v/>
      </c>
    </row>
    <row r="4654" spans="20:21" x14ac:dyDescent="0.3">
      <c r="T4654" t="str">
        <f>IF(ISERROR(MATCH('Analysis backend'!$M$1,E4654:N4654,0)),"",'Analysis backend'!$L$1)</f>
        <v/>
      </c>
      <c r="U4654" t="str">
        <f>IF(T4654='Analysis backend'!$L$1,IF(ISERROR(MATCH('Analysis backend'!$M$1,E4654:I4654,0)),"Dire","Radiant"),"")</f>
        <v/>
      </c>
    </row>
    <row r="4655" spans="20:21" x14ac:dyDescent="0.3">
      <c r="T4655" t="str">
        <f>IF(ISERROR(MATCH('Analysis backend'!$M$1,E4655:N4655,0)),"",'Analysis backend'!$L$1)</f>
        <v/>
      </c>
      <c r="U4655" t="str">
        <f>IF(T4655='Analysis backend'!$L$1,IF(ISERROR(MATCH('Analysis backend'!$M$1,E4655:I4655,0)),"Dire","Radiant"),"")</f>
        <v/>
      </c>
    </row>
    <row r="4656" spans="20:21" x14ac:dyDescent="0.3">
      <c r="T4656" t="str">
        <f>IF(ISERROR(MATCH('Analysis backend'!$M$1,E4656:N4656,0)),"",'Analysis backend'!$L$1)</f>
        <v/>
      </c>
      <c r="U4656" t="str">
        <f>IF(T4656='Analysis backend'!$L$1,IF(ISERROR(MATCH('Analysis backend'!$M$1,E4656:I4656,0)),"Dire","Radiant"),"")</f>
        <v/>
      </c>
    </row>
    <row r="4657" spans="20:21" x14ac:dyDescent="0.3">
      <c r="T4657" t="str">
        <f>IF(ISERROR(MATCH('Analysis backend'!$M$1,E4657:N4657,0)),"",'Analysis backend'!$L$1)</f>
        <v/>
      </c>
      <c r="U4657" t="str">
        <f>IF(T4657='Analysis backend'!$L$1,IF(ISERROR(MATCH('Analysis backend'!$M$1,E4657:I4657,0)),"Dire","Radiant"),"")</f>
        <v/>
      </c>
    </row>
    <row r="4658" spans="20:21" x14ac:dyDescent="0.3">
      <c r="T4658" t="str">
        <f>IF(ISERROR(MATCH('Analysis backend'!$M$1,E4658:N4658,0)),"",'Analysis backend'!$L$1)</f>
        <v/>
      </c>
      <c r="U4658" t="str">
        <f>IF(T4658='Analysis backend'!$L$1,IF(ISERROR(MATCH('Analysis backend'!$M$1,E4658:I4658,0)),"Dire","Radiant"),"")</f>
        <v/>
      </c>
    </row>
    <row r="4659" spans="20:21" x14ac:dyDescent="0.3">
      <c r="T4659" t="str">
        <f>IF(ISERROR(MATCH('Analysis backend'!$M$1,E4659:N4659,0)),"",'Analysis backend'!$L$1)</f>
        <v/>
      </c>
      <c r="U4659" t="str">
        <f>IF(T4659='Analysis backend'!$L$1,IF(ISERROR(MATCH('Analysis backend'!$M$1,E4659:I4659,0)),"Dire","Radiant"),"")</f>
        <v/>
      </c>
    </row>
    <row r="4660" spans="20:21" x14ac:dyDescent="0.3">
      <c r="T4660" t="str">
        <f>IF(ISERROR(MATCH('Analysis backend'!$M$1,E4660:N4660,0)),"",'Analysis backend'!$L$1)</f>
        <v/>
      </c>
      <c r="U4660" t="str">
        <f>IF(T4660='Analysis backend'!$L$1,IF(ISERROR(MATCH('Analysis backend'!$M$1,E4660:I4660,0)),"Dire","Radiant"),"")</f>
        <v/>
      </c>
    </row>
    <row r="4661" spans="20:21" x14ac:dyDescent="0.3">
      <c r="T4661" t="str">
        <f>IF(ISERROR(MATCH('Analysis backend'!$M$1,E4661:N4661,0)),"",'Analysis backend'!$L$1)</f>
        <v/>
      </c>
      <c r="U4661" t="str">
        <f>IF(T4661='Analysis backend'!$L$1,IF(ISERROR(MATCH('Analysis backend'!$M$1,E4661:I4661,0)),"Dire","Radiant"),"")</f>
        <v/>
      </c>
    </row>
    <row r="4662" spans="20:21" x14ac:dyDescent="0.3">
      <c r="T4662" t="str">
        <f>IF(ISERROR(MATCH('Analysis backend'!$M$1,E4662:N4662,0)),"",'Analysis backend'!$L$1)</f>
        <v/>
      </c>
      <c r="U4662" t="str">
        <f>IF(T4662='Analysis backend'!$L$1,IF(ISERROR(MATCH('Analysis backend'!$M$1,E4662:I4662,0)),"Dire","Radiant"),"")</f>
        <v/>
      </c>
    </row>
    <row r="4663" spans="20:21" x14ac:dyDescent="0.3">
      <c r="T4663" t="str">
        <f>IF(ISERROR(MATCH('Analysis backend'!$M$1,E4663:N4663,0)),"",'Analysis backend'!$L$1)</f>
        <v/>
      </c>
      <c r="U4663" t="str">
        <f>IF(T4663='Analysis backend'!$L$1,IF(ISERROR(MATCH('Analysis backend'!$M$1,E4663:I4663,0)),"Dire","Radiant"),"")</f>
        <v/>
      </c>
    </row>
    <row r="4664" spans="20:21" x14ac:dyDescent="0.3">
      <c r="T4664" t="str">
        <f>IF(ISERROR(MATCH('Analysis backend'!$M$1,E4664:N4664,0)),"",'Analysis backend'!$L$1)</f>
        <v/>
      </c>
      <c r="U4664" t="str">
        <f>IF(T4664='Analysis backend'!$L$1,IF(ISERROR(MATCH('Analysis backend'!$M$1,E4664:I4664,0)),"Dire","Radiant"),"")</f>
        <v/>
      </c>
    </row>
    <row r="4665" spans="20:21" x14ac:dyDescent="0.3">
      <c r="T4665" t="str">
        <f>IF(ISERROR(MATCH('Analysis backend'!$M$1,E4665:N4665,0)),"",'Analysis backend'!$L$1)</f>
        <v/>
      </c>
      <c r="U4665" t="str">
        <f>IF(T4665='Analysis backend'!$L$1,IF(ISERROR(MATCH('Analysis backend'!$M$1,E4665:I4665,0)),"Dire","Radiant"),"")</f>
        <v/>
      </c>
    </row>
    <row r="4666" spans="20:21" x14ac:dyDescent="0.3">
      <c r="T4666" t="str">
        <f>IF(ISERROR(MATCH('Analysis backend'!$M$1,E4666:N4666,0)),"",'Analysis backend'!$L$1)</f>
        <v/>
      </c>
      <c r="U4666" t="str">
        <f>IF(T4666='Analysis backend'!$L$1,IF(ISERROR(MATCH('Analysis backend'!$M$1,E4666:I4666,0)),"Dire","Radiant"),"")</f>
        <v/>
      </c>
    </row>
    <row r="4667" spans="20:21" x14ac:dyDescent="0.3">
      <c r="T4667" t="str">
        <f>IF(ISERROR(MATCH('Analysis backend'!$M$1,E4667:N4667,0)),"",'Analysis backend'!$L$1)</f>
        <v/>
      </c>
      <c r="U4667" t="str">
        <f>IF(T4667='Analysis backend'!$L$1,IF(ISERROR(MATCH('Analysis backend'!$M$1,E4667:I4667,0)),"Dire","Radiant"),"")</f>
        <v/>
      </c>
    </row>
    <row r="4668" spans="20:21" x14ac:dyDescent="0.3">
      <c r="T4668" t="str">
        <f>IF(ISERROR(MATCH('Analysis backend'!$M$1,E4668:N4668,0)),"",'Analysis backend'!$L$1)</f>
        <v/>
      </c>
      <c r="U4668" t="str">
        <f>IF(T4668='Analysis backend'!$L$1,IF(ISERROR(MATCH('Analysis backend'!$M$1,E4668:I4668,0)),"Dire","Radiant"),"")</f>
        <v/>
      </c>
    </row>
    <row r="4669" spans="20:21" x14ac:dyDescent="0.3">
      <c r="T4669" t="str">
        <f>IF(ISERROR(MATCH('Analysis backend'!$M$1,E4669:N4669,0)),"",'Analysis backend'!$L$1)</f>
        <v/>
      </c>
      <c r="U4669" t="str">
        <f>IF(T4669='Analysis backend'!$L$1,IF(ISERROR(MATCH('Analysis backend'!$M$1,E4669:I4669,0)),"Dire","Radiant"),"")</f>
        <v/>
      </c>
    </row>
    <row r="4670" spans="20:21" x14ac:dyDescent="0.3">
      <c r="T4670" t="str">
        <f>IF(ISERROR(MATCH('Analysis backend'!$M$1,E4670:N4670,0)),"",'Analysis backend'!$L$1)</f>
        <v/>
      </c>
      <c r="U4670" t="str">
        <f>IF(T4670='Analysis backend'!$L$1,IF(ISERROR(MATCH('Analysis backend'!$M$1,E4670:I4670,0)),"Dire","Radiant"),"")</f>
        <v/>
      </c>
    </row>
    <row r="4671" spans="20:21" x14ac:dyDescent="0.3">
      <c r="T4671" t="str">
        <f>IF(ISERROR(MATCH('Analysis backend'!$M$1,E4671:N4671,0)),"",'Analysis backend'!$L$1)</f>
        <v/>
      </c>
      <c r="U4671" t="str">
        <f>IF(T4671='Analysis backend'!$L$1,IF(ISERROR(MATCH('Analysis backend'!$M$1,E4671:I4671,0)),"Dire","Radiant"),"")</f>
        <v/>
      </c>
    </row>
    <row r="4672" spans="20:21" x14ac:dyDescent="0.3">
      <c r="T4672" t="str">
        <f>IF(ISERROR(MATCH('Analysis backend'!$M$1,E4672:N4672,0)),"",'Analysis backend'!$L$1)</f>
        <v/>
      </c>
      <c r="U4672" t="str">
        <f>IF(T4672='Analysis backend'!$L$1,IF(ISERROR(MATCH('Analysis backend'!$M$1,E4672:I4672,0)),"Dire","Radiant"),"")</f>
        <v/>
      </c>
    </row>
    <row r="4673" spans="20:21" x14ac:dyDescent="0.3">
      <c r="T4673" t="str">
        <f>IF(ISERROR(MATCH('Analysis backend'!$M$1,E4673:N4673,0)),"",'Analysis backend'!$L$1)</f>
        <v/>
      </c>
      <c r="U4673" t="str">
        <f>IF(T4673='Analysis backend'!$L$1,IF(ISERROR(MATCH('Analysis backend'!$M$1,E4673:I4673,0)),"Dire","Radiant"),"")</f>
        <v/>
      </c>
    </row>
    <row r="4674" spans="20:21" x14ac:dyDescent="0.3">
      <c r="T4674" t="str">
        <f>IF(ISERROR(MATCH('Analysis backend'!$M$1,E4674:N4674,0)),"",'Analysis backend'!$L$1)</f>
        <v/>
      </c>
      <c r="U4674" t="str">
        <f>IF(T4674='Analysis backend'!$L$1,IF(ISERROR(MATCH('Analysis backend'!$M$1,E4674:I4674,0)),"Dire","Radiant"),"")</f>
        <v/>
      </c>
    </row>
    <row r="4675" spans="20:21" x14ac:dyDescent="0.3">
      <c r="T4675" t="str">
        <f>IF(ISERROR(MATCH('Analysis backend'!$M$1,E4675:N4675,0)),"",'Analysis backend'!$L$1)</f>
        <v/>
      </c>
      <c r="U4675" t="str">
        <f>IF(T4675='Analysis backend'!$L$1,IF(ISERROR(MATCH('Analysis backend'!$M$1,E4675:I4675,0)),"Dire","Radiant"),"")</f>
        <v/>
      </c>
    </row>
    <row r="4676" spans="20:21" x14ac:dyDescent="0.3">
      <c r="T4676" t="str">
        <f>IF(ISERROR(MATCH('Analysis backend'!$M$1,E4676:N4676,0)),"",'Analysis backend'!$L$1)</f>
        <v/>
      </c>
      <c r="U4676" t="str">
        <f>IF(T4676='Analysis backend'!$L$1,IF(ISERROR(MATCH('Analysis backend'!$M$1,E4676:I4676,0)),"Dire","Radiant"),"")</f>
        <v/>
      </c>
    </row>
    <row r="4677" spans="20:21" x14ac:dyDescent="0.3">
      <c r="T4677" t="str">
        <f>IF(ISERROR(MATCH('Analysis backend'!$M$1,E4677:N4677,0)),"",'Analysis backend'!$L$1)</f>
        <v/>
      </c>
      <c r="U4677" t="str">
        <f>IF(T4677='Analysis backend'!$L$1,IF(ISERROR(MATCH('Analysis backend'!$M$1,E4677:I4677,0)),"Dire","Radiant"),"")</f>
        <v/>
      </c>
    </row>
    <row r="4678" spans="20:21" x14ac:dyDescent="0.3">
      <c r="T4678" t="str">
        <f>IF(ISERROR(MATCH('Analysis backend'!$M$1,E4678:N4678,0)),"",'Analysis backend'!$L$1)</f>
        <v/>
      </c>
      <c r="U4678" t="str">
        <f>IF(T4678='Analysis backend'!$L$1,IF(ISERROR(MATCH('Analysis backend'!$M$1,E4678:I4678,0)),"Dire","Radiant"),"")</f>
        <v/>
      </c>
    </row>
    <row r="4679" spans="20:21" x14ac:dyDescent="0.3">
      <c r="T4679" t="str">
        <f>IF(ISERROR(MATCH('Analysis backend'!$M$1,E4679:N4679,0)),"",'Analysis backend'!$L$1)</f>
        <v/>
      </c>
      <c r="U4679" t="str">
        <f>IF(T4679='Analysis backend'!$L$1,IF(ISERROR(MATCH('Analysis backend'!$M$1,E4679:I4679,0)),"Dire","Radiant"),"")</f>
        <v/>
      </c>
    </row>
    <row r="4680" spans="20:21" x14ac:dyDescent="0.3">
      <c r="T4680" t="str">
        <f>IF(ISERROR(MATCH('Analysis backend'!$M$1,E4680:N4680,0)),"",'Analysis backend'!$L$1)</f>
        <v/>
      </c>
      <c r="U4680" t="str">
        <f>IF(T4680='Analysis backend'!$L$1,IF(ISERROR(MATCH('Analysis backend'!$M$1,E4680:I4680,0)),"Dire","Radiant"),"")</f>
        <v/>
      </c>
    </row>
    <row r="4681" spans="20:21" x14ac:dyDescent="0.3">
      <c r="T4681" t="str">
        <f>IF(ISERROR(MATCH('Analysis backend'!$M$1,E4681:N4681,0)),"",'Analysis backend'!$L$1)</f>
        <v/>
      </c>
      <c r="U4681" t="str">
        <f>IF(T4681='Analysis backend'!$L$1,IF(ISERROR(MATCH('Analysis backend'!$M$1,E4681:I4681,0)),"Dire","Radiant"),"")</f>
        <v/>
      </c>
    </row>
    <row r="4682" spans="20:21" x14ac:dyDescent="0.3">
      <c r="T4682" t="str">
        <f>IF(ISERROR(MATCH('Analysis backend'!$M$1,E4682:N4682,0)),"",'Analysis backend'!$L$1)</f>
        <v/>
      </c>
      <c r="U4682" t="str">
        <f>IF(T4682='Analysis backend'!$L$1,IF(ISERROR(MATCH('Analysis backend'!$M$1,E4682:I4682,0)),"Dire","Radiant"),"")</f>
        <v/>
      </c>
    </row>
    <row r="4683" spans="20:21" x14ac:dyDescent="0.3">
      <c r="T4683" t="str">
        <f>IF(ISERROR(MATCH('Analysis backend'!$M$1,E4683:N4683,0)),"",'Analysis backend'!$L$1)</f>
        <v/>
      </c>
      <c r="U4683" t="str">
        <f>IF(T4683='Analysis backend'!$L$1,IF(ISERROR(MATCH('Analysis backend'!$M$1,E4683:I4683,0)),"Dire","Radiant"),"")</f>
        <v/>
      </c>
    </row>
    <row r="4684" spans="20:21" x14ac:dyDescent="0.3">
      <c r="T4684" t="str">
        <f>IF(ISERROR(MATCH('Analysis backend'!$M$1,E4684:N4684,0)),"",'Analysis backend'!$L$1)</f>
        <v/>
      </c>
      <c r="U4684" t="str">
        <f>IF(T4684='Analysis backend'!$L$1,IF(ISERROR(MATCH('Analysis backend'!$M$1,E4684:I4684,0)),"Dire","Radiant"),"")</f>
        <v/>
      </c>
    </row>
    <row r="4685" spans="20:21" x14ac:dyDescent="0.3">
      <c r="T4685" t="str">
        <f>IF(ISERROR(MATCH('Analysis backend'!$M$1,E4685:N4685,0)),"",'Analysis backend'!$L$1)</f>
        <v/>
      </c>
      <c r="U4685" t="str">
        <f>IF(T4685='Analysis backend'!$L$1,IF(ISERROR(MATCH('Analysis backend'!$M$1,E4685:I4685,0)),"Dire","Radiant"),"")</f>
        <v/>
      </c>
    </row>
    <row r="4686" spans="20:21" x14ac:dyDescent="0.3">
      <c r="T4686" t="str">
        <f>IF(ISERROR(MATCH('Analysis backend'!$M$1,E4686:N4686,0)),"",'Analysis backend'!$L$1)</f>
        <v/>
      </c>
      <c r="U4686" t="str">
        <f>IF(T4686='Analysis backend'!$L$1,IF(ISERROR(MATCH('Analysis backend'!$M$1,E4686:I4686,0)),"Dire","Radiant"),"")</f>
        <v/>
      </c>
    </row>
    <row r="4687" spans="20:21" x14ac:dyDescent="0.3">
      <c r="T4687" t="str">
        <f>IF(ISERROR(MATCH('Analysis backend'!$M$1,E4687:N4687,0)),"",'Analysis backend'!$L$1)</f>
        <v/>
      </c>
      <c r="U4687" t="str">
        <f>IF(T4687='Analysis backend'!$L$1,IF(ISERROR(MATCH('Analysis backend'!$M$1,E4687:I4687,0)),"Dire","Radiant"),"")</f>
        <v/>
      </c>
    </row>
    <row r="4688" spans="20:21" x14ac:dyDescent="0.3">
      <c r="T4688" t="str">
        <f>IF(ISERROR(MATCH('Analysis backend'!$M$1,E4688:N4688,0)),"",'Analysis backend'!$L$1)</f>
        <v/>
      </c>
      <c r="U4688" t="str">
        <f>IF(T4688='Analysis backend'!$L$1,IF(ISERROR(MATCH('Analysis backend'!$M$1,E4688:I4688,0)),"Dire","Radiant"),"")</f>
        <v/>
      </c>
    </row>
    <row r="4689" spans="20:21" x14ac:dyDescent="0.3">
      <c r="T4689" t="str">
        <f>IF(ISERROR(MATCH('Analysis backend'!$M$1,E4689:N4689,0)),"",'Analysis backend'!$L$1)</f>
        <v/>
      </c>
      <c r="U4689" t="str">
        <f>IF(T4689='Analysis backend'!$L$1,IF(ISERROR(MATCH('Analysis backend'!$M$1,E4689:I4689,0)),"Dire","Radiant"),"")</f>
        <v/>
      </c>
    </row>
    <row r="4690" spans="20:21" x14ac:dyDescent="0.3">
      <c r="T4690" t="str">
        <f>IF(ISERROR(MATCH('Analysis backend'!$M$1,E4690:N4690,0)),"",'Analysis backend'!$L$1)</f>
        <v/>
      </c>
      <c r="U4690" t="str">
        <f>IF(T4690='Analysis backend'!$L$1,IF(ISERROR(MATCH('Analysis backend'!$M$1,E4690:I4690,0)),"Dire","Radiant"),"")</f>
        <v/>
      </c>
    </row>
    <row r="4691" spans="20:21" x14ac:dyDescent="0.3">
      <c r="T4691" t="str">
        <f>IF(ISERROR(MATCH('Analysis backend'!$M$1,E4691:N4691,0)),"",'Analysis backend'!$L$1)</f>
        <v/>
      </c>
      <c r="U4691" t="str">
        <f>IF(T4691='Analysis backend'!$L$1,IF(ISERROR(MATCH('Analysis backend'!$M$1,E4691:I4691,0)),"Dire","Radiant"),"")</f>
        <v/>
      </c>
    </row>
    <row r="4692" spans="20:21" x14ac:dyDescent="0.3">
      <c r="T4692" t="str">
        <f>IF(ISERROR(MATCH('Analysis backend'!$M$1,E4692:N4692,0)),"",'Analysis backend'!$L$1)</f>
        <v/>
      </c>
      <c r="U4692" t="str">
        <f>IF(T4692='Analysis backend'!$L$1,IF(ISERROR(MATCH('Analysis backend'!$M$1,E4692:I4692,0)),"Dire","Radiant"),"")</f>
        <v/>
      </c>
    </row>
    <row r="4693" spans="20:21" x14ac:dyDescent="0.3">
      <c r="T4693" t="str">
        <f>IF(ISERROR(MATCH('Analysis backend'!$M$1,E4693:N4693,0)),"",'Analysis backend'!$L$1)</f>
        <v/>
      </c>
      <c r="U4693" t="str">
        <f>IF(T4693='Analysis backend'!$L$1,IF(ISERROR(MATCH('Analysis backend'!$M$1,E4693:I4693,0)),"Dire","Radiant"),"")</f>
        <v/>
      </c>
    </row>
    <row r="4694" spans="20:21" x14ac:dyDescent="0.3">
      <c r="T4694" t="str">
        <f>IF(ISERROR(MATCH('Analysis backend'!$M$1,E4694:N4694,0)),"",'Analysis backend'!$L$1)</f>
        <v/>
      </c>
      <c r="U4694" t="str">
        <f>IF(T4694='Analysis backend'!$L$1,IF(ISERROR(MATCH('Analysis backend'!$M$1,E4694:I4694,0)),"Dire","Radiant"),"")</f>
        <v/>
      </c>
    </row>
    <row r="4695" spans="20:21" x14ac:dyDescent="0.3">
      <c r="T4695" t="str">
        <f>IF(ISERROR(MATCH('Analysis backend'!$M$1,E4695:N4695,0)),"",'Analysis backend'!$L$1)</f>
        <v/>
      </c>
      <c r="U4695" t="str">
        <f>IF(T4695='Analysis backend'!$L$1,IF(ISERROR(MATCH('Analysis backend'!$M$1,E4695:I4695,0)),"Dire","Radiant"),"")</f>
        <v/>
      </c>
    </row>
    <row r="4696" spans="20:21" x14ac:dyDescent="0.3">
      <c r="T4696" t="str">
        <f>IF(ISERROR(MATCH('Analysis backend'!$M$1,E4696:N4696,0)),"",'Analysis backend'!$L$1)</f>
        <v/>
      </c>
      <c r="U4696" t="str">
        <f>IF(T4696='Analysis backend'!$L$1,IF(ISERROR(MATCH('Analysis backend'!$M$1,E4696:I4696,0)),"Dire","Radiant"),"")</f>
        <v/>
      </c>
    </row>
    <row r="4697" spans="20:21" x14ac:dyDescent="0.3">
      <c r="T4697" t="str">
        <f>IF(ISERROR(MATCH('Analysis backend'!$M$1,E4697:N4697,0)),"",'Analysis backend'!$L$1)</f>
        <v/>
      </c>
      <c r="U4697" t="str">
        <f>IF(T4697='Analysis backend'!$L$1,IF(ISERROR(MATCH('Analysis backend'!$M$1,E4697:I4697,0)),"Dire","Radiant"),"")</f>
        <v/>
      </c>
    </row>
    <row r="4698" spans="20:21" x14ac:dyDescent="0.3">
      <c r="T4698" t="str">
        <f>IF(ISERROR(MATCH('Analysis backend'!$M$1,E4698:N4698,0)),"",'Analysis backend'!$L$1)</f>
        <v/>
      </c>
      <c r="U4698" t="str">
        <f>IF(T4698='Analysis backend'!$L$1,IF(ISERROR(MATCH('Analysis backend'!$M$1,E4698:I4698,0)),"Dire","Radiant"),"")</f>
        <v/>
      </c>
    </row>
    <row r="4699" spans="20:21" x14ac:dyDescent="0.3">
      <c r="T4699" t="str">
        <f>IF(ISERROR(MATCH('Analysis backend'!$M$1,E4699:N4699,0)),"",'Analysis backend'!$L$1)</f>
        <v/>
      </c>
      <c r="U4699" t="str">
        <f>IF(T4699='Analysis backend'!$L$1,IF(ISERROR(MATCH('Analysis backend'!$M$1,E4699:I4699,0)),"Dire","Radiant"),"")</f>
        <v/>
      </c>
    </row>
    <row r="4700" spans="20:21" x14ac:dyDescent="0.3">
      <c r="T4700" t="str">
        <f>IF(ISERROR(MATCH('Analysis backend'!$M$1,E4700:N4700,0)),"",'Analysis backend'!$L$1)</f>
        <v/>
      </c>
      <c r="U4700" t="str">
        <f>IF(T4700='Analysis backend'!$L$1,IF(ISERROR(MATCH('Analysis backend'!$M$1,E4700:I4700,0)),"Dire","Radiant"),"")</f>
        <v/>
      </c>
    </row>
    <row r="4701" spans="20:21" x14ac:dyDescent="0.3">
      <c r="T4701" t="str">
        <f>IF(ISERROR(MATCH('Analysis backend'!$M$1,E4701:N4701,0)),"",'Analysis backend'!$L$1)</f>
        <v/>
      </c>
      <c r="U4701" t="str">
        <f>IF(T4701='Analysis backend'!$L$1,IF(ISERROR(MATCH('Analysis backend'!$M$1,E4701:I4701,0)),"Dire","Radiant"),"")</f>
        <v/>
      </c>
    </row>
    <row r="4702" spans="20:21" x14ac:dyDescent="0.3">
      <c r="T4702" t="str">
        <f>IF(ISERROR(MATCH('Analysis backend'!$M$1,E4702:N4702,0)),"",'Analysis backend'!$L$1)</f>
        <v/>
      </c>
      <c r="U4702" t="str">
        <f>IF(T4702='Analysis backend'!$L$1,IF(ISERROR(MATCH('Analysis backend'!$M$1,E4702:I4702,0)),"Dire","Radiant"),"")</f>
        <v/>
      </c>
    </row>
    <row r="4703" spans="20:21" x14ac:dyDescent="0.3">
      <c r="T4703" t="str">
        <f>IF(ISERROR(MATCH('Analysis backend'!$M$1,E4703:N4703,0)),"",'Analysis backend'!$L$1)</f>
        <v/>
      </c>
      <c r="U4703" t="str">
        <f>IF(T4703='Analysis backend'!$L$1,IF(ISERROR(MATCH('Analysis backend'!$M$1,E4703:I4703,0)),"Dire","Radiant"),"")</f>
        <v/>
      </c>
    </row>
    <row r="4704" spans="20:21" x14ac:dyDescent="0.3">
      <c r="T4704" t="str">
        <f>IF(ISERROR(MATCH('Analysis backend'!$M$1,E4704:N4704,0)),"",'Analysis backend'!$L$1)</f>
        <v/>
      </c>
      <c r="U4704" t="str">
        <f>IF(T4704='Analysis backend'!$L$1,IF(ISERROR(MATCH('Analysis backend'!$M$1,E4704:I4704,0)),"Dire","Radiant"),"")</f>
        <v/>
      </c>
    </row>
    <row r="4705" spans="20:21" x14ac:dyDescent="0.3">
      <c r="T4705" t="str">
        <f>IF(ISERROR(MATCH('Analysis backend'!$M$1,E4705:N4705,0)),"",'Analysis backend'!$L$1)</f>
        <v/>
      </c>
      <c r="U4705" t="str">
        <f>IF(T4705='Analysis backend'!$L$1,IF(ISERROR(MATCH('Analysis backend'!$M$1,E4705:I4705,0)),"Dire","Radiant"),"")</f>
        <v/>
      </c>
    </row>
    <row r="4706" spans="20:21" x14ac:dyDescent="0.3">
      <c r="T4706" t="str">
        <f>IF(ISERROR(MATCH('Analysis backend'!$M$1,E4706:N4706,0)),"",'Analysis backend'!$L$1)</f>
        <v/>
      </c>
      <c r="U4706" t="str">
        <f>IF(T4706='Analysis backend'!$L$1,IF(ISERROR(MATCH('Analysis backend'!$M$1,E4706:I4706,0)),"Dire","Radiant"),"")</f>
        <v/>
      </c>
    </row>
    <row r="4707" spans="20:21" x14ac:dyDescent="0.3">
      <c r="T4707" t="str">
        <f>IF(ISERROR(MATCH('Analysis backend'!$M$1,E4707:N4707,0)),"",'Analysis backend'!$L$1)</f>
        <v/>
      </c>
      <c r="U4707" t="str">
        <f>IF(T4707='Analysis backend'!$L$1,IF(ISERROR(MATCH('Analysis backend'!$M$1,E4707:I4707,0)),"Dire","Radiant"),"")</f>
        <v/>
      </c>
    </row>
    <row r="4708" spans="20:21" x14ac:dyDescent="0.3">
      <c r="T4708" t="str">
        <f>IF(ISERROR(MATCH('Analysis backend'!$M$1,E4708:N4708,0)),"",'Analysis backend'!$L$1)</f>
        <v/>
      </c>
      <c r="U4708" t="str">
        <f>IF(T4708='Analysis backend'!$L$1,IF(ISERROR(MATCH('Analysis backend'!$M$1,E4708:I4708,0)),"Dire","Radiant"),"")</f>
        <v/>
      </c>
    </row>
    <row r="4709" spans="20:21" x14ac:dyDescent="0.3">
      <c r="T4709" t="str">
        <f>IF(ISERROR(MATCH('Analysis backend'!$M$1,E4709:N4709,0)),"",'Analysis backend'!$L$1)</f>
        <v/>
      </c>
      <c r="U4709" t="str">
        <f>IF(T4709='Analysis backend'!$L$1,IF(ISERROR(MATCH('Analysis backend'!$M$1,E4709:I4709,0)),"Dire","Radiant"),"")</f>
        <v/>
      </c>
    </row>
    <row r="4710" spans="20:21" x14ac:dyDescent="0.3">
      <c r="T4710" t="str">
        <f>IF(ISERROR(MATCH('Analysis backend'!$M$1,E4710:N4710,0)),"",'Analysis backend'!$L$1)</f>
        <v/>
      </c>
      <c r="U4710" t="str">
        <f>IF(T4710='Analysis backend'!$L$1,IF(ISERROR(MATCH('Analysis backend'!$M$1,E4710:I4710,0)),"Dire","Radiant"),"")</f>
        <v/>
      </c>
    </row>
    <row r="4711" spans="20:21" x14ac:dyDescent="0.3">
      <c r="T4711" t="str">
        <f>IF(ISERROR(MATCH('Analysis backend'!$M$1,E4711:N4711,0)),"",'Analysis backend'!$L$1)</f>
        <v/>
      </c>
      <c r="U4711" t="str">
        <f>IF(T4711='Analysis backend'!$L$1,IF(ISERROR(MATCH('Analysis backend'!$M$1,E4711:I4711,0)),"Dire","Radiant"),"")</f>
        <v/>
      </c>
    </row>
    <row r="4712" spans="20:21" x14ac:dyDescent="0.3">
      <c r="T4712" t="str">
        <f>IF(ISERROR(MATCH('Analysis backend'!$M$1,E4712:N4712,0)),"",'Analysis backend'!$L$1)</f>
        <v/>
      </c>
      <c r="U4712" t="str">
        <f>IF(T4712='Analysis backend'!$L$1,IF(ISERROR(MATCH('Analysis backend'!$M$1,E4712:I4712,0)),"Dire","Radiant"),"")</f>
        <v/>
      </c>
    </row>
    <row r="4713" spans="20:21" x14ac:dyDescent="0.3">
      <c r="T4713" t="str">
        <f>IF(ISERROR(MATCH('Analysis backend'!$M$1,E4713:N4713,0)),"",'Analysis backend'!$L$1)</f>
        <v/>
      </c>
      <c r="U4713" t="str">
        <f>IF(T4713='Analysis backend'!$L$1,IF(ISERROR(MATCH('Analysis backend'!$M$1,E4713:I4713,0)),"Dire","Radiant"),"")</f>
        <v/>
      </c>
    </row>
    <row r="4714" spans="20:21" x14ac:dyDescent="0.3">
      <c r="T4714" t="str">
        <f>IF(ISERROR(MATCH('Analysis backend'!$M$1,E4714:N4714,0)),"",'Analysis backend'!$L$1)</f>
        <v/>
      </c>
      <c r="U4714" t="str">
        <f>IF(T4714='Analysis backend'!$L$1,IF(ISERROR(MATCH('Analysis backend'!$M$1,E4714:I4714,0)),"Dire","Radiant"),"")</f>
        <v/>
      </c>
    </row>
    <row r="4715" spans="20:21" x14ac:dyDescent="0.3">
      <c r="T4715" t="str">
        <f>IF(ISERROR(MATCH('Analysis backend'!$M$1,E4715:N4715,0)),"",'Analysis backend'!$L$1)</f>
        <v/>
      </c>
      <c r="U4715" t="str">
        <f>IF(T4715='Analysis backend'!$L$1,IF(ISERROR(MATCH('Analysis backend'!$M$1,E4715:I4715,0)),"Dire","Radiant"),"")</f>
        <v/>
      </c>
    </row>
    <row r="4716" spans="20:21" x14ac:dyDescent="0.3">
      <c r="T4716" t="str">
        <f>IF(ISERROR(MATCH('Analysis backend'!$M$1,E4716:N4716,0)),"",'Analysis backend'!$L$1)</f>
        <v/>
      </c>
      <c r="U4716" t="str">
        <f>IF(T4716='Analysis backend'!$L$1,IF(ISERROR(MATCH('Analysis backend'!$M$1,E4716:I4716,0)),"Dire","Radiant"),"")</f>
        <v/>
      </c>
    </row>
    <row r="4717" spans="20:21" x14ac:dyDescent="0.3">
      <c r="T4717" t="str">
        <f>IF(ISERROR(MATCH('Analysis backend'!$M$1,E4717:N4717,0)),"",'Analysis backend'!$L$1)</f>
        <v/>
      </c>
      <c r="U4717" t="str">
        <f>IF(T4717='Analysis backend'!$L$1,IF(ISERROR(MATCH('Analysis backend'!$M$1,E4717:I4717,0)),"Dire","Radiant"),"")</f>
        <v/>
      </c>
    </row>
    <row r="4718" spans="20:21" x14ac:dyDescent="0.3">
      <c r="T4718" t="str">
        <f>IF(ISERROR(MATCH('Analysis backend'!$M$1,E4718:N4718,0)),"",'Analysis backend'!$L$1)</f>
        <v/>
      </c>
      <c r="U4718" t="str">
        <f>IF(T4718='Analysis backend'!$L$1,IF(ISERROR(MATCH('Analysis backend'!$M$1,E4718:I4718,0)),"Dire","Radiant"),"")</f>
        <v/>
      </c>
    </row>
    <row r="4719" spans="20:21" x14ac:dyDescent="0.3">
      <c r="T4719" t="str">
        <f>IF(ISERROR(MATCH('Analysis backend'!$M$1,E4719:N4719,0)),"",'Analysis backend'!$L$1)</f>
        <v/>
      </c>
      <c r="U4719" t="str">
        <f>IF(T4719='Analysis backend'!$L$1,IF(ISERROR(MATCH('Analysis backend'!$M$1,E4719:I4719,0)),"Dire","Radiant"),"")</f>
        <v/>
      </c>
    </row>
    <row r="4720" spans="20:21" x14ac:dyDescent="0.3">
      <c r="T4720" t="str">
        <f>IF(ISERROR(MATCH('Analysis backend'!$M$1,E4720:N4720,0)),"",'Analysis backend'!$L$1)</f>
        <v/>
      </c>
      <c r="U4720" t="str">
        <f>IF(T4720='Analysis backend'!$L$1,IF(ISERROR(MATCH('Analysis backend'!$M$1,E4720:I4720,0)),"Dire","Radiant"),"")</f>
        <v/>
      </c>
    </row>
    <row r="4721" spans="20:21" x14ac:dyDescent="0.3">
      <c r="T4721" t="str">
        <f>IF(ISERROR(MATCH('Analysis backend'!$M$1,E4721:N4721,0)),"",'Analysis backend'!$L$1)</f>
        <v/>
      </c>
      <c r="U4721" t="str">
        <f>IF(T4721='Analysis backend'!$L$1,IF(ISERROR(MATCH('Analysis backend'!$M$1,E4721:I4721,0)),"Dire","Radiant"),"")</f>
        <v/>
      </c>
    </row>
    <row r="4722" spans="20:21" x14ac:dyDescent="0.3">
      <c r="T4722" t="str">
        <f>IF(ISERROR(MATCH('Analysis backend'!$M$1,E4722:N4722,0)),"",'Analysis backend'!$L$1)</f>
        <v/>
      </c>
      <c r="U4722" t="str">
        <f>IF(T4722='Analysis backend'!$L$1,IF(ISERROR(MATCH('Analysis backend'!$M$1,E4722:I4722,0)),"Dire","Radiant"),"")</f>
        <v/>
      </c>
    </row>
    <row r="4723" spans="20:21" x14ac:dyDescent="0.3">
      <c r="T4723" t="str">
        <f>IF(ISERROR(MATCH('Analysis backend'!$M$1,E4723:N4723,0)),"",'Analysis backend'!$L$1)</f>
        <v/>
      </c>
      <c r="U4723" t="str">
        <f>IF(T4723='Analysis backend'!$L$1,IF(ISERROR(MATCH('Analysis backend'!$M$1,E4723:I4723,0)),"Dire","Radiant"),"")</f>
        <v/>
      </c>
    </row>
    <row r="4724" spans="20:21" x14ac:dyDescent="0.3">
      <c r="T4724" t="str">
        <f>IF(ISERROR(MATCH('Analysis backend'!$M$1,E4724:N4724,0)),"",'Analysis backend'!$L$1)</f>
        <v/>
      </c>
      <c r="U4724" t="str">
        <f>IF(T4724='Analysis backend'!$L$1,IF(ISERROR(MATCH('Analysis backend'!$M$1,E4724:I4724,0)),"Dire","Radiant"),"")</f>
        <v/>
      </c>
    </row>
    <row r="4725" spans="20:21" x14ac:dyDescent="0.3">
      <c r="T4725" t="str">
        <f>IF(ISERROR(MATCH('Analysis backend'!$M$1,E4725:N4725,0)),"",'Analysis backend'!$L$1)</f>
        <v/>
      </c>
      <c r="U4725" t="str">
        <f>IF(T4725='Analysis backend'!$L$1,IF(ISERROR(MATCH('Analysis backend'!$M$1,E4725:I4725,0)),"Dire","Radiant"),"")</f>
        <v/>
      </c>
    </row>
    <row r="4726" spans="20:21" x14ac:dyDescent="0.3">
      <c r="T4726" t="str">
        <f>IF(ISERROR(MATCH('Analysis backend'!$M$1,E4726:N4726,0)),"",'Analysis backend'!$L$1)</f>
        <v/>
      </c>
      <c r="U4726" t="str">
        <f>IF(T4726='Analysis backend'!$L$1,IF(ISERROR(MATCH('Analysis backend'!$M$1,E4726:I4726,0)),"Dire","Radiant"),"")</f>
        <v/>
      </c>
    </row>
    <row r="4727" spans="20:21" x14ac:dyDescent="0.3">
      <c r="T4727" t="str">
        <f>IF(ISERROR(MATCH('Analysis backend'!$M$1,E4727:N4727,0)),"",'Analysis backend'!$L$1)</f>
        <v/>
      </c>
      <c r="U4727" t="str">
        <f>IF(T4727='Analysis backend'!$L$1,IF(ISERROR(MATCH('Analysis backend'!$M$1,E4727:I4727,0)),"Dire","Radiant"),"")</f>
        <v/>
      </c>
    </row>
    <row r="4728" spans="20:21" x14ac:dyDescent="0.3">
      <c r="T4728" t="str">
        <f>IF(ISERROR(MATCH('Analysis backend'!$M$1,E4728:N4728,0)),"",'Analysis backend'!$L$1)</f>
        <v/>
      </c>
      <c r="U4728" t="str">
        <f>IF(T4728='Analysis backend'!$L$1,IF(ISERROR(MATCH('Analysis backend'!$M$1,E4728:I4728,0)),"Dire","Radiant"),"")</f>
        <v/>
      </c>
    </row>
    <row r="4729" spans="20:21" x14ac:dyDescent="0.3">
      <c r="T4729" t="str">
        <f>IF(ISERROR(MATCH('Analysis backend'!$M$1,E4729:N4729,0)),"",'Analysis backend'!$L$1)</f>
        <v/>
      </c>
      <c r="U4729" t="str">
        <f>IF(T4729='Analysis backend'!$L$1,IF(ISERROR(MATCH('Analysis backend'!$M$1,E4729:I4729,0)),"Dire","Radiant"),"")</f>
        <v/>
      </c>
    </row>
    <row r="4730" spans="20:21" x14ac:dyDescent="0.3">
      <c r="T4730" t="str">
        <f>IF(ISERROR(MATCH('Analysis backend'!$M$1,E4730:N4730,0)),"",'Analysis backend'!$L$1)</f>
        <v/>
      </c>
      <c r="U4730" t="str">
        <f>IF(T4730='Analysis backend'!$L$1,IF(ISERROR(MATCH('Analysis backend'!$M$1,E4730:I4730,0)),"Dire","Radiant"),"")</f>
        <v/>
      </c>
    </row>
    <row r="4731" spans="20:21" x14ac:dyDescent="0.3">
      <c r="T4731" t="str">
        <f>IF(ISERROR(MATCH('Analysis backend'!$M$1,E4731:N4731,0)),"",'Analysis backend'!$L$1)</f>
        <v/>
      </c>
      <c r="U4731" t="str">
        <f>IF(T4731='Analysis backend'!$L$1,IF(ISERROR(MATCH('Analysis backend'!$M$1,E4731:I4731,0)),"Dire","Radiant"),"")</f>
        <v/>
      </c>
    </row>
    <row r="4732" spans="20:21" x14ac:dyDescent="0.3">
      <c r="T4732" t="str">
        <f>IF(ISERROR(MATCH('Analysis backend'!$M$1,E4732:N4732,0)),"",'Analysis backend'!$L$1)</f>
        <v/>
      </c>
      <c r="U4732" t="str">
        <f>IF(T4732='Analysis backend'!$L$1,IF(ISERROR(MATCH('Analysis backend'!$M$1,E4732:I4732,0)),"Dire","Radiant"),"")</f>
        <v/>
      </c>
    </row>
    <row r="4733" spans="20:21" x14ac:dyDescent="0.3">
      <c r="T4733" t="str">
        <f>IF(ISERROR(MATCH('Analysis backend'!$M$1,E4733:N4733,0)),"",'Analysis backend'!$L$1)</f>
        <v/>
      </c>
      <c r="U4733" t="str">
        <f>IF(T4733='Analysis backend'!$L$1,IF(ISERROR(MATCH('Analysis backend'!$M$1,E4733:I4733,0)),"Dire","Radiant"),"")</f>
        <v/>
      </c>
    </row>
    <row r="4734" spans="20:21" x14ac:dyDescent="0.3">
      <c r="T4734" t="str">
        <f>IF(ISERROR(MATCH('Analysis backend'!$M$1,E4734:N4734,0)),"",'Analysis backend'!$L$1)</f>
        <v/>
      </c>
      <c r="U4734" t="str">
        <f>IF(T4734='Analysis backend'!$L$1,IF(ISERROR(MATCH('Analysis backend'!$M$1,E4734:I4734,0)),"Dire","Radiant"),"")</f>
        <v/>
      </c>
    </row>
    <row r="4735" spans="20:21" x14ac:dyDescent="0.3">
      <c r="T4735" t="str">
        <f>IF(ISERROR(MATCH('Analysis backend'!$M$1,E4735:N4735,0)),"",'Analysis backend'!$L$1)</f>
        <v/>
      </c>
      <c r="U4735" t="str">
        <f>IF(T4735='Analysis backend'!$L$1,IF(ISERROR(MATCH('Analysis backend'!$M$1,E4735:I4735,0)),"Dire","Radiant"),"")</f>
        <v/>
      </c>
    </row>
    <row r="4736" spans="20:21" x14ac:dyDescent="0.3">
      <c r="T4736" t="str">
        <f>IF(ISERROR(MATCH('Analysis backend'!$M$1,E4736:N4736,0)),"",'Analysis backend'!$L$1)</f>
        <v/>
      </c>
      <c r="U4736" t="str">
        <f>IF(T4736='Analysis backend'!$L$1,IF(ISERROR(MATCH('Analysis backend'!$M$1,E4736:I4736,0)),"Dire","Radiant"),"")</f>
        <v/>
      </c>
    </row>
    <row r="4737" spans="20:21" x14ac:dyDescent="0.3">
      <c r="T4737" t="str">
        <f>IF(ISERROR(MATCH('Analysis backend'!$M$1,E4737:N4737,0)),"",'Analysis backend'!$L$1)</f>
        <v/>
      </c>
      <c r="U4737" t="str">
        <f>IF(T4737='Analysis backend'!$L$1,IF(ISERROR(MATCH('Analysis backend'!$M$1,E4737:I4737,0)),"Dire","Radiant"),"")</f>
        <v/>
      </c>
    </row>
    <row r="4738" spans="20:21" x14ac:dyDescent="0.3">
      <c r="T4738" t="str">
        <f>IF(ISERROR(MATCH('Analysis backend'!$M$1,E4738:N4738,0)),"",'Analysis backend'!$L$1)</f>
        <v/>
      </c>
      <c r="U4738" t="str">
        <f>IF(T4738='Analysis backend'!$L$1,IF(ISERROR(MATCH('Analysis backend'!$M$1,E4738:I4738,0)),"Dire","Radiant"),"")</f>
        <v/>
      </c>
    </row>
    <row r="4739" spans="20:21" x14ac:dyDescent="0.3">
      <c r="T4739" t="str">
        <f>IF(ISERROR(MATCH('Analysis backend'!$M$1,E4739:N4739,0)),"",'Analysis backend'!$L$1)</f>
        <v/>
      </c>
      <c r="U4739" t="str">
        <f>IF(T4739='Analysis backend'!$L$1,IF(ISERROR(MATCH('Analysis backend'!$M$1,E4739:I4739,0)),"Dire","Radiant"),"")</f>
        <v/>
      </c>
    </row>
    <row r="4740" spans="20:21" x14ac:dyDescent="0.3">
      <c r="T4740" t="str">
        <f>IF(ISERROR(MATCH('Analysis backend'!$M$1,E4740:N4740,0)),"",'Analysis backend'!$L$1)</f>
        <v/>
      </c>
      <c r="U4740" t="str">
        <f>IF(T4740='Analysis backend'!$L$1,IF(ISERROR(MATCH('Analysis backend'!$M$1,E4740:I4740,0)),"Dire","Radiant"),"")</f>
        <v/>
      </c>
    </row>
    <row r="4741" spans="20:21" x14ac:dyDescent="0.3">
      <c r="T4741" t="str">
        <f>IF(ISERROR(MATCH('Analysis backend'!$M$1,E4741:N4741,0)),"",'Analysis backend'!$L$1)</f>
        <v/>
      </c>
      <c r="U4741" t="str">
        <f>IF(T4741='Analysis backend'!$L$1,IF(ISERROR(MATCH('Analysis backend'!$M$1,E4741:I4741,0)),"Dire","Radiant"),"")</f>
        <v/>
      </c>
    </row>
    <row r="4742" spans="20:21" x14ac:dyDescent="0.3">
      <c r="T4742" t="str">
        <f>IF(ISERROR(MATCH('Analysis backend'!$M$1,E4742:N4742,0)),"",'Analysis backend'!$L$1)</f>
        <v/>
      </c>
      <c r="U4742" t="str">
        <f>IF(T4742='Analysis backend'!$L$1,IF(ISERROR(MATCH('Analysis backend'!$M$1,E4742:I4742,0)),"Dire","Radiant"),"")</f>
        <v/>
      </c>
    </row>
    <row r="4743" spans="20:21" x14ac:dyDescent="0.3">
      <c r="T4743" t="str">
        <f>IF(ISERROR(MATCH('Analysis backend'!$M$1,E4743:N4743,0)),"",'Analysis backend'!$L$1)</f>
        <v/>
      </c>
      <c r="U4743" t="str">
        <f>IF(T4743='Analysis backend'!$L$1,IF(ISERROR(MATCH('Analysis backend'!$M$1,E4743:I4743,0)),"Dire","Radiant"),"")</f>
        <v/>
      </c>
    </row>
    <row r="4744" spans="20:21" x14ac:dyDescent="0.3">
      <c r="T4744" t="str">
        <f>IF(ISERROR(MATCH('Analysis backend'!$M$1,E4744:N4744,0)),"",'Analysis backend'!$L$1)</f>
        <v/>
      </c>
      <c r="U4744" t="str">
        <f>IF(T4744='Analysis backend'!$L$1,IF(ISERROR(MATCH('Analysis backend'!$M$1,E4744:I4744,0)),"Dire","Radiant"),"")</f>
        <v/>
      </c>
    </row>
    <row r="4745" spans="20:21" x14ac:dyDescent="0.3">
      <c r="T4745" t="str">
        <f>IF(ISERROR(MATCH('Analysis backend'!$M$1,E4745:N4745,0)),"",'Analysis backend'!$L$1)</f>
        <v/>
      </c>
      <c r="U4745" t="str">
        <f>IF(T4745='Analysis backend'!$L$1,IF(ISERROR(MATCH('Analysis backend'!$M$1,E4745:I4745,0)),"Dire","Radiant"),"")</f>
        <v/>
      </c>
    </row>
    <row r="4746" spans="20:21" x14ac:dyDescent="0.3">
      <c r="T4746" t="str">
        <f>IF(ISERROR(MATCH('Analysis backend'!$M$1,E4746:N4746,0)),"",'Analysis backend'!$L$1)</f>
        <v/>
      </c>
      <c r="U4746" t="str">
        <f>IF(T4746='Analysis backend'!$L$1,IF(ISERROR(MATCH('Analysis backend'!$M$1,E4746:I4746,0)),"Dire","Radiant"),"")</f>
        <v/>
      </c>
    </row>
    <row r="4747" spans="20:21" x14ac:dyDescent="0.3">
      <c r="T4747" t="str">
        <f>IF(ISERROR(MATCH('Analysis backend'!$M$1,E4747:N4747,0)),"",'Analysis backend'!$L$1)</f>
        <v/>
      </c>
      <c r="U4747" t="str">
        <f>IF(T4747='Analysis backend'!$L$1,IF(ISERROR(MATCH('Analysis backend'!$M$1,E4747:I4747,0)),"Dire","Radiant"),"")</f>
        <v/>
      </c>
    </row>
    <row r="4748" spans="20:21" x14ac:dyDescent="0.3">
      <c r="T4748" t="str">
        <f>IF(ISERROR(MATCH('Analysis backend'!$M$1,E4748:N4748,0)),"",'Analysis backend'!$L$1)</f>
        <v/>
      </c>
      <c r="U4748" t="str">
        <f>IF(T4748='Analysis backend'!$L$1,IF(ISERROR(MATCH('Analysis backend'!$M$1,E4748:I4748,0)),"Dire","Radiant"),"")</f>
        <v/>
      </c>
    </row>
    <row r="4749" spans="20:21" x14ac:dyDescent="0.3">
      <c r="T4749" t="str">
        <f>IF(ISERROR(MATCH('Analysis backend'!$M$1,E4749:N4749,0)),"",'Analysis backend'!$L$1)</f>
        <v/>
      </c>
      <c r="U4749" t="str">
        <f>IF(T4749='Analysis backend'!$L$1,IF(ISERROR(MATCH('Analysis backend'!$M$1,E4749:I4749,0)),"Dire","Radiant"),"")</f>
        <v/>
      </c>
    </row>
    <row r="4750" spans="20:21" x14ac:dyDescent="0.3">
      <c r="T4750" t="str">
        <f>IF(ISERROR(MATCH('Analysis backend'!$M$1,E4750:N4750,0)),"",'Analysis backend'!$L$1)</f>
        <v/>
      </c>
      <c r="U4750" t="str">
        <f>IF(T4750='Analysis backend'!$L$1,IF(ISERROR(MATCH('Analysis backend'!$M$1,E4750:I4750,0)),"Dire","Radiant"),"")</f>
        <v/>
      </c>
    </row>
    <row r="4751" spans="20:21" x14ac:dyDescent="0.3">
      <c r="T4751" t="str">
        <f>IF(ISERROR(MATCH('Analysis backend'!$M$1,E4751:N4751,0)),"",'Analysis backend'!$L$1)</f>
        <v/>
      </c>
      <c r="U4751" t="str">
        <f>IF(T4751='Analysis backend'!$L$1,IF(ISERROR(MATCH('Analysis backend'!$M$1,E4751:I4751,0)),"Dire","Radiant"),"")</f>
        <v/>
      </c>
    </row>
    <row r="4752" spans="20:21" x14ac:dyDescent="0.3">
      <c r="T4752" t="str">
        <f>IF(ISERROR(MATCH('Analysis backend'!$M$1,E4752:N4752,0)),"",'Analysis backend'!$L$1)</f>
        <v/>
      </c>
      <c r="U4752" t="str">
        <f>IF(T4752='Analysis backend'!$L$1,IF(ISERROR(MATCH('Analysis backend'!$M$1,E4752:I4752,0)),"Dire","Radiant"),"")</f>
        <v/>
      </c>
    </row>
    <row r="4753" spans="20:21" x14ac:dyDescent="0.3">
      <c r="T4753" t="str">
        <f>IF(ISERROR(MATCH('Analysis backend'!$M$1,E4753:N4753,0)),"",'Analysis backend'!$L$1)</f>
        <v/>
      </c>
      <c r="U4753" t="str">
        <f>IF(T4753='Analysis backend'!$L$1,IF(ISERROR(MATCH('Analysis backend'!$M$1,E4753:I4753,0)),"Dire","Radiant"),"")</f>
        <v/>
      </c>
    </row>
    <row r="4754" spans="20:21" x14ac:dyDescent="0.3">
      <c r="T4754" t="str">
        <f>IF(ISERROR(MATCH('Analysis backend'!$M$1,E4754:N4754,0)),"",'Analysis backend'!$L$1)</f>
        <v/>
      </c>
      <c r="U4754" t="str">
        <f>IF(T4754='Analysis backend'!$L$1,IF(ISERROR(MATCH('Analysis backend'!$M$1,E4754:I4754,0)),"Dire","Radiant"),"")</f>
        <v/>
      </c>
    </row>
    <row r="4755" spans="20:21" x14ac:dyDescent="0.3">
      <c r="T4755" t="str">
        <f>IF(ISERROR(MATCH('Analysis backend'!$M$1,E4755:N4755,0)),"",'Analysis backend'!$L$1)</f>
        <v/>
      </c>
      <c r="U4755" t="str">
        <f>IF(T4755='Analysis backend'!$L$1,IF(ISERROR(MATCH('Analysis backend'!$M$1,E4755:I4755,0)),"Dire","Radiant"),"")</f>
        <v/>
      </c>
    </row>
    <row r="4756" spans="20:21" x14ac:dyDescent="0.3">
      <c r="T4756" t="str">
        <f>IF(ISERROR(MATCH('Analysis backend'!$M$1,E4756:N4756,0)),"",'Analysis backend'!$L$1)</f>
        <v/>
      </c>
      <c r="U4756" t="str">
        <f>IF(T4756='Analysis backend'!$L$1,IF(ISERROR(MATCH('Analysis backend'!$M$1,E4756:I4756,0)),"Dire","Radiant"),"")</f>
        <v/>
      </c>
    </row>
    <row r="4757" spans="20:21" x14ac:dyDescent="0.3">
      <c r="T4757" t="str">
        <f>IF(ISERROR(MATCH('Analysis backend'!$M$1,E4757:N4757,0)),"",'Analysis backend'!$L$1)</f>
        <v/>
      </c>
      <c r="U4757" t="str">
        <f>IF(T4757='Analysis backend'!$L$1,IF(ISERROR(MATCH('Analysis backend'!$M$1,E4757:I4757,0)),"Dire","Radiant"),"")</f>
        <v/>
      </c>
    </row>
    <row r="4758" spans="20:21" x14ac:dyDescent="0.3">
      <c r="T4758" t="str">
        <f>IF(ISERROR(MATCH('Analysis backend'!$M$1,E4758:N4758,0)),"",'Analysis backend'!$L$1)</f>
        <v/>
      </c>
      <c r="U4758" t="str">
        <f>IF(T4758='Analysis backend'!$L$1,IF(ISERROR(MATCH('Analysis backend'!$M$1,E4758:I4758,0)),"Dire","Radiant"),"")</f>
        <v/>
      </c>
    </row>
    <row r="4759" spans="20:21" x14ac:dyDescent="0.3">
      <c r="T4759" t="str">
        <f>IF(ISERROR(MATCH('Analysis backend'!$M$1,E4759:N4759,0)),"",'Analysis backend'!$L$1)</f>
        <v/>
      </c>
      <c r="U4759" t="str">
        <f>IF(T4759='Analysis backend'!$L$1,IF(ISERROR(MATCH('Analysis backend'!$M$1,E4759:I4759,0)),"Dire","Radiant"),"")</f>
        <v/>
      </c>
    </row>
    <row r="4760" spans="20:21" x14ac:dyDescent="0.3">
      <c r="T4760" t="str">
        <f>IF(ISERROR(MATCH('Analysis backend'!$M$1,E4760:N4760,0)),"",'Analysis backend'!$L$1)</f>
        <v/>
      </c>
      <c r="U4760" t="str">
        <f>IF(T4760='Analysis backend'!$L$1,IF(ISERROR(MATCH('Analysis backend'!$M$1,E4760:I4760,0)),"Dire","Radiant"),"")</f>
        <v/>
      </c>
    </row>
    <row r="4761" spans="20:21" x14ac:dyDescent="0.3">
      <c r="T4761" t="str">
        <f>IF(ISERROR(MATCH('Analysis backend'!$M$1,E4761:N4761,0)),"",'Analysis backend'!$L$1)</f>
        <v/>
      </c>
      <c r="U4761" t="str">
        <f>IF(T4761='Analysis backend'!$L$1,IF(ISERROR(MATCH('Analysis backend'!$M$1,E4761:I4761,0)),"Dire","Radiant"),"")</f>
        <v/>
      </c>
    </row>
    <row r="4762" spans="20:21" x14ac:dyDescent="0.3">
      <c r="T4762" t="str">
        <f>IF(ISERROR(MATCH('Analysis backend'!$M$1,E4762:N4762,0)),"",'Analysis backend'!$L$1)</f>
        <v/>
      </c>
      <c r="U4762" t="str">
        <f>IF(T4762='Analysis backend'!$L$1,IF(ISERROR(MATCH('Analysis backend'!$M$1,E4762:I4762,0)),"Dire","Radiant"),"")</f>
        <v/>
      </c>
    </row>
    <row r="4763" spans="20:21" x14ac:dyDescent="0.3">
      <c r="T4763" t="str">
        <f>IF(ISERROR(MATCH('Analysis backend'!$M$1,E4763:N4763,0)),"",'Analysis backend'!$L$1)</f>
        <v/>
      </c>
      <c r="U4763" t="str">
        <f>IF(T4763='Analysis backend'!$L$1,IF(ISERROR(MATCH('Analysis backend'!$M$1,E4763:I4763,0)),"Dire","Radiant"),"")</f>
        <v/>
      </c>
    </row>
    <row r="4764" spans="20:21" x14ac:dyDescent="0.3">
      <c r="T4764" t="str">
        <f>IF(ISERROR(MATCH('Analysis backend'!$M$1,E4764:N4764,0)),"",'Analysis backend'!$L$1)</f>
        <v/>
      </c>
      <c r="U4764" t="str">
        <f>IF(T4764='Analysis backend'!$L$1,IF(ISERROR(MATCH('Analysis backend'!$M$1,E4764:I4764,0)),"Dire","Radiant"),"")</f>
        <v/>
      </c>
    </row>
    <row r="4765" spans="20:21" x14ac:dyDescent="0.3">
      <c r="T4765" t="str">
        <f>IF(ISERROR(MATCH('Analysis backend'!$M$1,E4765:N4765,0)),"",'Analysis backend'!$L$1)</f>
        <v/>
      </c>
      <c r="U4765" t="str">
        <f>IF(T4765='Analysis backend'!$L$1,IF(ISERROR(MATCH('Analysis backend'!$M$1,E4765:I4765,0)),"Dire","Radiant"),"")</f>
        <v/>
      </c>
    </row>
    <row r="4766" spans="20:21" x14ac:dyDescent="0.3">
      <c r="T4766" t="str">
        <f>IF(ISERROR(MATCH('Analysis backend'!$M$1,E4766:N4766,0)),"",'Analysis backend'!$L$1)</f>
        <v/>
      </c>
      <c r="U4766" t="str">
        <f>IF(T4766='Analysis backend'!$L$1,IF(ISERROR(MATCH('Analysis backend'!$M$1,E4766:I4766,0)),"Dire","Radiant"),"")</f>
        <v/>
      </c>
    </row>
    <row r="4767" spans="20:21" x14ac:dyDescent="0.3">
      <c r="T4767" t="str">
        <f>IF(ISERROR(MATCH('Analysis backend'!$M$1,E4767:N4767,0)),"",'Analysis backend'!$L$1)</f>
        <v/>
      </c>
      <c r="U4767" t="str">
        <f>IF(T4767='Analysis backend'!$L$1,IF(ISERROR(MATCH('Analysis backend'!$M$1,E4767:I4767,0)),"Dire","Radiant"),"")</f>
        <v/>
      </c>
    </row>
    <row r="4768" spans="20:21" x14ac:dyDescent="0.3">
      <c r="T4768" t="str">
        <f>IF(ISERROR(MATCH('Analysis backend'!$M$1,E4768:N4768,0)),"",'Analysis backend'!$L$1)</f>
        <v/>
      </c>
      <c r="U4768" t="str">
        <f>IF(T4768='Analysis backend'!$L$1,IF(ISERROR(MATCH('Analysis backend'!$M$1,E4768:I4768,0)),"Dire","Radiant"),"")</f>
        <v/>
      </c>
    </row>
    <row r="4769" spans="20:21" x14ac:dyDescent="0.3">
      <c r="T4769" t="str">
        <f>IF(ISERROR(MATCH('Analysis backend'!$M$1,E4769:N4769,0)),"",'Analysis backend'!$L$1)</f>
        <v/>
      </c>
      <c r="U4769" t="str">
        <f>IF(T4769='Analysis backend'!$L$1,IF(ISERROR(MATCH('Analysis backend'!$M$1,E4769:I4769,0)),"Dire","Radiant"),"")</f>
        <v/>
      </c>
    </row>
    <row r="4770" spans="20:21" x14ac:dyDescent="0.3">
      <c r="T4770" t="str">
        <f>IF(ISERROR(MATCH('Analysis backend'!$M$1,E4770:N4770,0)),"",'Analysis backend'!$L$1)</f>
        <v/>
      </c>
      <c r="U4770" t="str">
        <f>IF(T4770='Analysis backend'!$L$1,IF(ISERROR(MATCH('Analysis backend'!$M$1,E4770:I4770,0)),"Dire","Radiant"),"")</f>
        <v/>
      </c>
    </row>
    <row r="4771" spans="20:21" x14ac:dyDescent="0.3">
      <c r="T4771" t="str">
        <f>IF(ISERROR(MATCH('Analysis backend'!$M$1,E4771:N4771,0)),"",'Analysis backend'!$L$1)</f>
        <v/>
      </c>
      <c r="U4771" t="str">
        <f>IF(T4771='Analysis backend'!$L$1,IF(ISERROR(MATCH('Analysis backend'!$M$1,E4771:I4771,0)),"Dire","Radiant"),"")</f>
        <v/>
      </c>
    </row>
    <row r="4772" spans="20:21" x14ac:dyDescent="0.3">
      <c r="T4772" t="str">
        <f>IF(ISERROR(MATCH('Analysis backend'!$M$1,E4772:N4772,0)),"",'Analysis backend'!$L$1)</f>
        <v/>
      </c>
      <c r="U4772" t="str">
        <f>IF(T4772='Analysis backend'!$L$1,IF(ISERROR(MATCH('Analysis backend'!$M$1,E4772:I4772,0)),"Dire","Radiant"),"")</f>
        <v/>
      </c>
    </row>
    <row r="4773" spans="20:21" x14ac:dyDescent="0.3">
      <c r="T4773" t="str">
        <f>IF(ISERROR(MATCH('Analysis backend'!$M$1,E4773:N4773,0)),"",'Analysis backend'!$L$1)</f>
        <v/>
      </c>
      <c r="U4773" t="str">
        <f>IF(T4773='Analysis backend'!$L$1,IF(ISERROR(MATCH('Analysis backend'!$M$1,E4773:I4773,0)),"Dire","Radiant"),"")</f>
        <v/>
      </c>
    </row>
    <row r="4774" spans="20:21" x14ac:dyDescent="0.3">
      <c r="T4774" t="str">
        <f>IF(ISERROR(MATCH('Analysis backend'!$M$1,E4774:N4774,0)),"",'Analysis backend'!$L$1)</f>
        <v/>
      </c>
      <c r="U4774" t="str">
        <f>IF(T4774='Analysis backend'!$L$1,IF(ISERROR(MATCH('Analysis backend'!$M$1,E4774:I4774,0)),"Dire","Radiant"),"")</f>
        <v/>
      </c>
    </row>
    <row r="4775" spans="20:21" x14ac:dyDescent="0.3">
      <c r="T4775" t="str">
        <f>IF(ISERROR(MATCH('Analysis backend'!$M$1,E4775:N4775,0)),"",'Analysis backend'!$L$1)</f>
        <v/>
      </c>
      <c r="U4775" t="str">
        <f>IF(T4775='Analysis backend'!$L$1,IF(ISERROR(MATCH('Analysis backend'!$M$1,E4775:I4775,0)),"Dire","Radiant"),"")</f>
        <v/>
      </c>
    </row>
    <row r="4776" spans="20:21" x14ac:dyDescent="0.3">
      <c r="T4776" t="str">
        <f>IF(ISERROR(MATCH('Analysis backend'!$M$1,E4776:N4776,0)),"",'Analysis backend'!$L$1)</f>
        <v/>
      </c>
      <c r="U4776" t="str">
        <f>IF(T4776='Analysis backend'!$L$1,IF(ISERROR(MATCH('Analysis backend'!$M$1,E4776:I4776,0)),"Dire","Radiant"),"")</f>
        <v/>
      </c>
    </row>
    <row r="4777" spans="20:21" x14ac:dyDescent="0.3">
      <c r="T4777" t="str">
        <f>IF(ISERROR(MATCH('Analysis backend'!$M$1,E4777:N4777,0)),"",'Analysis backend'!$L$1)</f>
        <v/>
      </c>
      <c r="U4777" t="str">
        <f>IF(T4777='Analysis backend'!$L$1,IF(ISERROR(MATCH('Analysis backend'!$M$1,E4777:I4777,0)),"Dire","Radiant"),"")</f>
        <v/>
      </c>
    </row>
    <row r="4778" spans="20:21" x14ac:dyDescent="0.3">
      <c r="T4778" t="str">
        <f>IF(ISERROR(MATCH('Analysis backend'!$M$1,E4778:N4778,0)),"",'Analysis backend'!$L$1)</f>
        <v/>
      </c>
      <c r="U4778" t="str">
        <f>IF(T4778='Analysis backend'!$L$1,IF(ISERROR(MATCH('Analysis backend'!$M$1,E4778:I4778,0)),"Dire","Radiant"),"")</f>
        <v/>
      </c>
    </row>
    <row r="4779" spans="20:21" x14ac:dyDescent="0.3">
      <c r="T4779" t="str">
        <f>IF(ISERROR(MATCH('Analysis backend'!$M$1,E4779:N4779,0)),"",'Analysis backend'!$L$1)</f>
        <v/>
      </c>
      <c r="U4779" t="str">
        <f>IF(T4779='Analysis backend'!$L$1,IF(ISERROR(MATCH('Analysis backend'!$M$1,E4779:I4779,0)),"Dire","Radiant"),"")</f>
        <v/>
      </c>
    </row>
    <row r="4780" spans="20:21" x14ac:dyDescent="0.3">
      <c r="T4780" t="str">
        <f>IF(ISERROR(MATCH('Analysis backend'!$M$1,E4780:N4780,0)),"",'Analysis backend'!$L$1)</f>
        <v/>
      </c>
      <c r="U4780" t="str">
        <f>IF(T4780='Analysis backend'!$L$1,IF(ISERROR(MATCH('Analysis backend'!$M$1,E4780:I4780,0)),"Dire","Radiant"),"")</f>
        <v/>
      </c>
    </row>
    <row r="4781" spans="20:21" x14ac:dyDescent="0.3">
      <c r="T4781" t="str">
        <f>IF(ISERROR(MATCH('Analysis backend'!$M$1,E4781:N4781,0)),"",'Analysis backend'!$L$1)</f>
        <v/>
      </c>
      <c r="U4781" t="str">
        <f>IF(T4781='Analysis backend'!$L$1,IF(ISERROR(MATCH('Analysis backend'!$M$1,E4781:I4781,0)),"Dire","Radiant"),"")</f>
        <v/>
      </c>
    </row>
    <row r="4782" spans="20:21" x14ac:dyDescent="0.3">
      <c r="T4782" t="str">
        <f>IF(ISERROR(MATCH('Analysis backend'!$M$1,E4782:N4782,0)),"",'Analysis backend'!$L$1)</f>
        <v/>
      </c>
      <c r="U4782" t="str">
        <f>IF(T4782='Analysis backend'!$L$1,IF(ISERROR(MATCH('Analysis backend'!$M$1,E4782:I4782,0)),"Dire","Radiant"),"")</f>
        <v/>
      </c>
    </row>
    <row r="4783" spans="20:21" x14ac:dyDescent="0.3">
      <c r="T4783" t="str">
        <f>IF(ISERROR(MATCH('Analysis backend'!$M$1,E4783:N4783,0)),"",'Analysis backend'!$L$1)</f>
        <v/>
      </c>
      <c r="U4783" t="str">
        <f>IF(T4783='Analysis backend'!$L$1,IF(ISERROR(MATCH('Analysis backend'!$M$1,E4783:I4783,0)),"Dire","Radiant"),"")</f>
        <v/>
      </c>
    </row>
    <row r="4784" spans="20:21" x14ac:dyDescent="0.3">
      <c r="T4784" t="str">
        <f>IF(ISERROR(MATCH('Analysis backend'!$M$1,E4784:N4784,0)),"",'Analysis backend'!$L$1)</f>
        <v/>
      </c>
      <c r="U4784" t="str">
        <f>IF(T4784='Analysis backend'!$L$1,IF(ISERROR(MATCH('Analysis backend'!$M$1,E4784:I4784,0)),"Dire","Radiant"),"")</f>
        <v/>
      </c>
    </row>
    <row r="4785" spans="20:21" x14ac:dyDescent="0.3">
      <c r="T4785" t="str">
        <f>IF(ISERROR(MATCH('Analysis backend'!$M$1,E4785:N4785,0)),"",'Analysis backend'!$L$1)</f>
        <v/>
      </c>
      <c r="U4785" t="str">
        <f>IF(T4785='Analysis backend'!$L$1,IF(ISERROR(MATCH('Analysis backend'!$M$1,E4785:I4785,0)),"Dire","Radiant"),"")</f>
        <v/>
      </c>
    </row>
    <row r="4786" spans="20:21" x14ac:dyDescent="0.3">
      <c r="T4786" t="str">
        <f>IF(ISERROR(MATCH('Analysis backend'!$M$1,E4786:N4786,0)),"",'Analysis backend'!$L$1)</f>
        <v/>
      </c>
      <c r="U4786" t="str">
        <f>IF(T4786='Analysis backend'!$L$1,IF(ISERROR(MATCH('Analysis backend'!$M$1,E4786:I4786,0)),"Dire","Radiant"),"")</f>
        <v/>
      </c>
    </row>
    <row r="4787" spans="20:21" x14ac:dyDescent="0.3">
      <c r="T4787" t="str">
        <f>IF(ISERROR(MATCH('Analysis backend'!$M$1,E4787:N4787,0)),"",'Analysis backend'!$L$1)</f>
        <v/>
      </c>
      <c r="U4787" t="str">
        <f>IF(T4787='Analysis backend'!$L$1,IF(ISERROR(MATCH('Analysis backend'!$M$1,E4787:I4787,0)),"Dire","Radiant"),"")</f>
        <v/>
      </c>
    </row>
    <row r="4788" spans="20:21" x14ac:dyDescent="0.3">
      <c r="T4788" t="str">
        <f>IF(ISERROR(MATCH('Analysis backend'!$M$1,E4788:N4788,0)),"",'Analysis backend'!$L$1)</f>
        <v/>
      </c>
      <c r="U4788" t="str">
        <f>IF(T4788='Analysis backend'!$L$1,IF(ISERROR(MATCH('Analysis backend'!$M$1,E4788:I4788,0)),"Dire","Radiant"),"")</f>
        <v/>
      </c>
    </row>
    <row r="4789" spans="20:21" x14ac:dyDescent="0.3">
      <c r="T4789" t="str">
        <f>IF(ISERROR(MATCH('Analysis backend'!$M$1,E4789:N4789,0)),"",'Analysis backend'!$L$1)</f>
        <v/>
      </c>
      <c r="U4789" t="str">
        <f>IF(T4789='Analysis backend'!$L$1,IF(ISERROR(MATCH('Analysis backend'!$M$1,E4789:I4789,0)),"Dire","Radiant"),"")</f>
        <v/>
      </c>
    </row>
    <row r="4790" spans="20:21" x14ac:dyDescent="0.3">
      <c r="T4790" t="str">
        <f>IF(ISERROR(MATCH('Analysis backend'!$M$1,E4790:N4790,0)),"",'Analysis backend'!$L$1)</f>
        <v/>
      </c>
      <c r="U4790" t="str">
        <f>IF(T4790='Analysis backend'!$L$1,IF(ISERROR(MATCH('Analysis backend'!$M$1,E4790:I4790,0)),"Dire","Radiant"),"")</f>
        <v/>
      </c>
    </row>
    <row r="4791" spans="20:21" x14ac:dyDescent="0.3">
      <c r="T4791" t="str">
        <f>IF(ISERROR(MATCH('Analysis backend'!$M$1,E4791:N4791,0)),"",'Analysis backend'!$L$1)</f>
        <v/>
      </c>
      <c r="U4791" t="str">
        <f>IF(T4791='Analysis backend'!$L$1,IF(ISERROR(MATCH('Analysis backend'!$M$1,E4791:I4791,0)),"Dire","Radiant"),"")</f>
        <v/>
      </c>
    </row>
    <row r="4792" spans="20:21" x14ac:dyDescent="0.3">
      <c r="T4792" t="str">
        <f>IF(ISERROR(MATCH('Analysis backend'!$M$1,E4792:N4792,0)),"",'Analysis backend'!$L$1)</f>
        <v/>
      </c>
      <c r="U4792" t="str">
        <f>IF(T4792='Analysis backend'!$L$1,IF(ISERROR(MATCH('Analysis backend'!$M$1,E4792:I4792,0)),"Dire","Radiant"),"")</f>
        <v/>
      </c>
    </row>
    <row r="4793" spans="20:21" x14ac:dyDescent="0.3">
      <c r="T4793" t="str">
        <f>IF(ISERROR(MATCH('Analysis backend'!$M$1,E4793:N4793,0)),"",'Analysis backend'!$L$1)</f>
        <v/>
      </c>
      <c r="U4793" t="str">
        <f>IF(T4793='Analysis backend'!$L$1,IF(ISERROR(MATCH('Analysis backend'!$M$1,E4793:I4793,0)),"Dire","Radiant"),"")</f>
        <v/>
      </c>
    </row>
    <row r="4794" spans="20:21" x14ac:dyDescent="0.3">
      <c r="T4794" t="str">
        <f>IF(ISERROR(MATCH('Analysis backend'!$M$1,E4794:N4794,0)),"",'Analysis backend'!$L$1)</f>
        <v/>
      </c>
      <c r="U4794" t="str">
        <f>IF(T4794='Analysis backend'!$L$1,IF(ISERROR(MATCH('Analysis backend'!$M$1,E4794:I4794,0)),"Dire","Radiant"),"")</f>
        <v/>
      </c>
    </row>
    <row r="4795" spans="20:21" x14ac:dyDescent="0.3">
      <c r="T4795" t="str">
        <f>IF(ISERROR(MATCH('Analysis backend'!$M$1,E4795:N4795,0)),"",'Analysis backend'!$L$1)</f>
        <v/>
      </c>
      <c r="U4795" t="str">
        <f>IF(T4795='Analysis backend'!$L$1,IF(ISERROR(MATCH('Analysis backend'!$M$1,E4795:I4795,0)),"Dire","Radiant"),"")</f>
        <v/>
      </c>
    </row>
    <row r="4796" spans="20:21" x14ac:dyDescent="0.3">
      <c r="T4796" t="str">
        <f>IF(ISERROR(MATCH('Analysis backend'!$M$1,E4796:N4796,0)),"",'Analysis backend'!$L$1)</f>
        <v/>
      </c>
      <c r="U4796" t="str">
        <f>IF(T4796='Analysis backend'!$L$1,IF(ISERROR(MATCH('Analysis backend'!$M$1,E4796:I4796,0)),"Dire","Radiant"),"")</f>
        <v/>
      </c>
    </row>
    <row r="4797" spans="20:21" x14ac:dyDescent="0.3">
      <c r="T4797" t="str">
        <f>IF(ISERROR(MATCH('Analysis backend'!$M$1,E4797:N4797,0)),"",'Analysis backend'!$L$1)</f>
        <v/>
      </c>
      <c r="U4797" t="str">
        <f>IF(T4797='Analysis backend'!$L$1,IF(ISERROR(MATCH('Analysis backend'!$M$1,E4797:I4797,0)),"Dire","Radiant"),"")</f>
        <v/>
      </c>
    </row>
    <row r="4798" spans="20:21" x14ac:dyDescent="0.3">
      <c r="T4798" t="str">
        <f>IF(ISERROR(MATCH('Analysis backend'!$M$1,E4798:N4798,0)),"",'Analysis backend'!$L$1)</f>
        <v/>
      </c>
      <c r="U4798" t="str">
        <f>IF(T4798='Analysis backend'!$L$1,IF(ISERROR(MATCH('Analysis backend'!$M$1,E4798:I4798,0)),"Dire","Radiant"),"")</f>
        <v/>
      </c>
    </row>
    <row r="4799" spans="20:21" x14ac:dyDescent="0.3">
      <c r="T4799" t="str">
        <f>IF(ISERROR(MATCH('Analysis backend'!$M$1,E4799:N4799,0)),"",'Analysis backend'!$L$1)</f>
        <v/>
      </c>
      <c r="U4799" t="str">
        <f>IF(T4799='Analysis backend'!$L$1,IF(ISERROR(MATCH('Analysis backend'!$M$1,E4799:I4799,0)),"Dire","Radiant"),"")</f>
        <v/>
      </c>
    </row>
    <row r="4800" spans="20:21" x14ac:dyDescent="0.3">
      <c r="T4800" t="str">
        <f>IF(ISERROR(MATCH('Analysis backend'!$M$1,E4800:N4800,0)),"",'Analysis backend'!$L$1)</f>
        <v/>
      </c>
      <c r="U4800" t="str">
        <f>IF(T4800='Analysis backend'!$L$1,IF(ISERROR(MATCH('Analysis backend'!$M$1,E4800:I4800,0)),"Dire","Radiant"),"")</f>
        <v/>
      </c>
    </row>
    <row r="4801" spans="20:21" x14ac:dyDescent="0.3">
      <c r="T4801" t="str">
        <f>IF(ISERROR(MATCH('Analysis backend'!$M$1,E4801:N4801,0)),"",'Analysis backend'!$L$1)</f>
        <v/>
      </c>
      <c r="U4801" t="str">
        <f>IF(T4801='Analysis backend'!$L$1,IF(ISERROR(MATCH('Analysis backend'!$M$1,E4801:I4801,0)),"Dire","Radiant"),"")</f>
        <v/>
      </c>
    </row>
    <row r="4802" spans="20:21" x14ac:dyDescent="0.3">
      <c r="T4802" t="str">
        <f>IF(ISERROR(MATCH('Analysis backend'!$M$1,E4802:N4802,0)),"",'Analysis backend'!$L$1)</f>
        <v/>
      </c>
      <c r="U4802" t="str">
        <f>IF(T4802='Analysis backend'!$L$1,IF(ISERROR(MATCH('Analysis backend'!$M$1,E4802:I4802,0)),"Dire","Radiant"),"")</f>
        <v/>
      </c>
    </row>
    <row r="4803" spans="20:21" x14ac:dyDescent="0.3">
      <c r="T4803" t="str">
        <f>IF(ISERROR(MATCH('Analysis backend'!$M$1,E4803:N4803,0)),"",'Analysis backend'!$L$1)</f>
        <v/>
      </c>
      <c r="U4803" t="str">
        <f>IF(T4803='Analysis backend'!$L$1,IF(ISERROR(MATCH('Analysis backend'!$M$1,E4803:I4803,0)),"Dire","Radiant"),"")</f>
        <v/>
      </c>
    </row>
    <row r="4804" spans="20:21" x14ac:dyDescent="0.3">
      <c r="T4804" t="str">
        <f>IF(ISERROR(MATCH('Analysis backend'!$M$1,E4804:N4804,0)),"",'Analysis backend'!$L$1)</f>
        <v/>
      </c>
      <c r="U4804" t="str">
        <f>IF(T4804='Analysis backend'!$L$1,IF(ISERROR(MATCH('Analysis backend'!$M$1,E4804:I4804,0)),"Dire","Radiant"),"")</f>
        <v/>
      </c>
    </row>
    <row r="4805" spans="20:21" x14ac:dyDescent="0.3">
      <c r="T4805" t="str">
        <f>IF(ISERROR(MATCH('Analysis backend'!$M$1,E4805:N4805,0)),"",'Analysis backend'!$L$1)</f>
        <v/>
      </c>
      <c r="U4805" t="str">
        <f>IF(T4805='Analysis backend'!$L$1,IF(ISERROR(MATCH('Analysis backend'!$M$1,E4805:I4805,0)),"Dire","Radiant"),"")</f>
        <v/>
      </c>
    </row>
    <row r="4806" spans="20:21" x14ac:dyDescent="0.3">
      <c r="T4806" t="str">
        <f>IF(ISERROR(MATCH('Analysis backend'!$M$1,E4806:N4806,0)),"",'Analysis backend'!$L$1)</f>
        <v/>
      </c>
      <c r="U4806" t="str">
        <f>IF(T4806='Analysis backend'!$L$1,IF(ISERROR(MATCH('Analysis backend'!$M$1,E4806:I4806,0)),"Dire","Radiant"),"")</f>
        <v/>
      </c>
    </row>
    <row r="4807" spans="20:21" x14ac:dyDescent="0.3">
      <c r="T4807" t="str">
        <f>IF(ISERROR(MATCH('Analysis backend'!$M$1,E4807:N4807,0)),"",'Analysis backend'!$L$1)</f>
        <v/>
      </c>
      <c r="U4807" t="str">
        <f>IF(T4807='Analysis backend'!$L$1,IF(ISERROR(MATCH('Analysis backend'!$M$1,E4807:I4807,0)),"Dire","Radiant"),"")</f>
        <v/>
      </c>
    </row>
    <row r="4808" spans="20:21" x14ac:dyDescent="0.3">
      <c r="T4808" t="str">
        <f>IF(ISERROR(MATCH('Analysis backend'!$M$1,E4808:N4808,0)),"",'Analysis backend'!$L$1)</f>
        <v/>
      </c>
      <c r="U4808" t="str">
        <f>IF(T4808='Analysis backend'!$L$1,IF(ISERROR(MATCH('Analysis backend'!$M$1,E4808:I4808,0)),"Dire","Radiant"),"")</f>
        <v/>
      </c>
    </row>
    <row r="4809" spans="20:21" x14ac:dyDescent="0.3">
      <c r="T4809" t="str">
        <f>IF(ISERROR(MATCH('Analysis backend'!$M$1,E4809:N4809,0)),"",'Analysis backend'!$L$1)</f>
        <v/>
      </c>
      <c r="U4809" t="str">
        <f>IF(T4809='Analysis backend'!$L$1,IF(ISERROR(MATCH('Analysis backend'!$M$1,E4809:I4809,0)),"Dire","Radiant"),"")</f>
        <v/>
      </c>
    </row>
    <row r="4810" spans="20:21" x14ac:dyDescent="0.3">
      <c r="T4810" t="str">
        <f>IF(ISERROR(MATCH('Analysis backend'!$M$1,E4810:N4810,0)),"",'Analysis backend'!$L$1)</f>
        <v/>
      </c>
      <c r="U4810" t="str">
        <f>IF(T4810='Analysis backend'!$L$1,IF(ISERROR(MATCH('Analysis backend'!$M$1,E4810:I4810,0)),"Dire","Radiant"),"")</f>
        <v/>
      </c>
    </row>
    <row r="4811" spans="20:21" x14ac:dyDescent="0.3">
      <c r="T4811" t="str">
        <f>IF(ISERROR(MATCH('Analysis backend'!$M$1,E4811:N4811,0)),"",'Analysis backend'!$L$1)</f>
        <v/>
      </c>
      <c r="U4811" t="str">
        <f>IF(T4811='Analysis backend'!$L$1,IF(ISERROR(MATCH('Analysis backend'!$M$1,E4811:I4811,0)),"Dire","Radiant"),"")</f>
        <v/>
      </c>
    </row>
    <row r="4812" spans="20:21" x14ac:dyDescent="0.3">
      <c r="T4812" t="str">
        <f>IF(ISERROR(MATCH('Analysis backend'!$M$1,E4812:N4812,0)),"",'Analysis backend'!$L$1)</f>
        <v/>
      </c>
      <c r="U4812" t="str">
        <f>IF(T4812='Analysis backend'!$L$1,IF(ISERROR(MATCH('Analysis backend'!$M$1,E4812:I4812,0)),"Dire","Radiant"),"")</f>
        <v/>
      </c>
    </row>
    <row r="4813" spans="20:21" x14ac:dyDescent="0.3">
      <c r="T4813" t="str">
        <f>IF(ISERROR(MATCH('Analysis backend'!$M$1,E4813:N4813,0)),"",'Analysis backend'!$L$1)</f>
        <v/>
      </c>
      <c r="U4813" t="str">
        <f>IF(T4813='Analysis backend'!$L$1,IF(ISERROR(MATCH('Analysis backend'!$M$1,E4813:I4813,0)),"Dire","Radiant"),"")</f>
        <v/>
      </c>
    </row>
    <row r="4814" spans="20:21" x14ac:dyDescent="0.3">
      <c r="T4814" t="str">
        <f>IF(ISERROR(MATCH('Analysis backend'!$M$1,E4814:N4814,0)),"",'Analysis backend'!$L$1)</f>
        <v/>
      </c>
      <c r="U4814" t="str">
        <f>IF(T4814='Analysis backend'!$L$1,IF(ISERROR(MATCH('Analysis backend'!$M$1,E4814:I4814,0)),"Dire","Radiant"),"")</f>
        <v/>
      </c>
    </row>
    <row r="4815" spans="20:21" x14ac:dyDescent="0.3">
      <c r="T4815" t="str">
        <f>IF(ISERROR(MATCH('Analysis backend'!$M$1,E4815:N4815,0)),"",'Analysis backend'!$L$1)</f>
        <v/>
      </c>
      <c r="U4815" t="str">
        <f>IF(T4815='Analysis backend'!$L$1,IF(ISERROR(MATCH('Analysis backend'!$M$1,E4815:I4815,0)),"Dire","Radiant"),"")</f>
        <v/>
      </c>
    </row>
    <row r="4816" spans="20:21" x14ac:dyDescent="0.3">
      <c r="T4816" t="str">
        <f>IF(ISERROR(MATCH('Analysis backend'!$M$1,E4816:N4816,0)),"",'Analysis backend'!$L$1)</f>
        <v/>
      </c>
      <c r="U4816" t="str">
        <f>IF(T4816='Analysis backend'!$L$1,IF(ISERROR(MATCH('Analysis backend'!$M$1,E4816:I4816,0)),"Dire","Radiant"),"")</f>
        <v/>
      </c>
    </row>
    <row r="4817" spans="20:21" x14ac:dyDescent="0.3">
      <c r="T4817" t="str">
        <f>IF(ISERROR(MATCH('Analysis backend'!$M$1,E4817:N4817,0)),"",'Analysis backend'!$L$1)</f>
        <v/>
      </c>
      <c r="U4817" t="str">
        <f>IF(T4817='Analysis backend'!$L$1,IF(ISERROR(MATCH('Analysis backend'!$M$1,E4817:I4817,0)),"Dire","Radiant"),"")</f>
        <v/>
      </c>
    </row>
    <row r="4818" spans="20:21" x14ac:dyDescent="0.3">
      <c r="T4818" t="str">
        <f>IF(ISERROR(MATCH('Analysis backend'!$M$1,E4818:N4818,0)),"",'Analysis backend'!$L$1)</f>
        <v/>
      </c>
      <c r="U4818" t="str">
        <f>IF(T4818='Analysis backend'!$L$1,IF(ISERROR(MATCH('Analysis backend'!$M$1,E4818:I4818,0)),"Dire","Radiant"),"")</f>
        <v/>
      </c>
    </row>
    <row r="4819" spans="20:21" x14ac:dyDescent="0.3">
      <c r="T4819" t="str">
        <f>IF(ISERROR(MATCH('Analysis backend'!$M$1,E4819:N4819,0)),"",'Analysis backend'!$L$1)</f>
        <v/>
      </c>
      <c r="U4819" t="str">
        <f>IF(T4819='Analysis backend'!$L$1,IF(ISERROR(MATCH('Analysis backend'!$M$1,E4819:I4819,0)),"Dire","Radiant"),"")</f>
        <v/>
      </c>
    </row>
    <row r="4820" spans="20:21" x14ac:dyDescent="0.3">
      <c r="T4820" t="str">
        <f>IF(ISERROR(MATCH('Analysis backend'!$M$1,E4820:N4820,0)),"",'Analysis backend'!$L$1)</f>
        <v/>
      </c>
      <c r="U4820" t="str">
        <f>IF(T4820='Analysis backend'!$L$1,IF(ISERROR(MATCH('Analysis backend'!$M$1,E4820:I4820,0)),"Dire","Radiant"),"")</f>
        <v/>
      </c>
    </row>
    <row r="4821" spans="20:21" x14ac:dyDescent="0.3">
      <c r="T4821" t="str">
        <f>IF(ISERROR(MATCH('Analysis backend'!$M$1,E4821:N4821,0)),"",'Analysis backend'!$L$1)</f>
        <v/>
      </c>
      <c r="U4821" t="str">
        <f>IF(T4821='Analysis backend'!$L$1,IF(ISERROR(MATCH('Analysis backend'!$M$1,E4821:I4821,0)),"Dire","Radiant"),"")</f>
        <v/>
      </c>
    </row>
    <row r="4822" spans="20:21" x14ac:dyDescent="0.3">
      <c r="T4822" t="str">
        <f>IF(ISERROR(MATCH('Analysis backend'!$M$1,E4822:N4822,0)),"",'Analysis backend'!$L$1)</f>
        <v/>
      </c>
      <c r="U4822" t="str">
        <f>IF(T4822='Analysis backend'!$L$1,IF(ISERROR(MATCH('Analysis backend'!$M$1,E4822:I4822,0)),"Dire","Radiant"),"")</f>
        <v/>
      </c>
    </row>
    <row r="4823" spans="20:21" x14ac:dyDescent="0.3">
      <c r="T4823" t="str">
        <f>IF(ISERROR(MATCH('Analysis backend'!$M$1,E4823:N4823,0)),"",'Analysis backend'!$L$1)</f>
        <v/>
      </c>
      <c r="U4823" t="str">
        <f>IF(T4823='Analysis backend'!$L$1,IF(ISERROR(MATCH('Analysis backend'!$M$1,E4823:I4823,0)),"Dire","Radiant"),"")</f>
        <v/>
      </c>
    </row>
    <row r="4824" spans="20:21" x14ac:dyDescent="0.3">
      <c r="T4824" t="str">
        <f>IF(ISERROR(MATCH('Analysis backend'!$M$1,E4824:N4824,0)),"",'Analysis backend'!$L$1)</f>
        <v/>
      </c>
      <c r="U4824" t="str">
        <f>IF(T4824='Analysis backend'!$L$1,IF(ISERROR(MATCH('Analysis backend'!$M$1,E4824:I4824,0)),"Dire","Radiant"),"")</f>
        <v/>
      </c>
    </row>
    <row r="4825" spans="20:21" x14ac:dyDescent="0.3">
      <c r="T4825" t="str">
        <f>IF(ISERROR(MATCH('Analysis backend'!$M$1,E4825:N4825,0)),"",'Analysis backend'!$L$1)</f>
        <v/>
      </c>
      <c r="U4825" t="str">
        <f>IF(T4825='Analysis backend'!$L$1,IF(ISERROR(MATCH('Analysis backend'!$M$1,E4825:I4825,0)),"Dire","Radiant"),"")</f>
        <v/>
      </c>
    </row>
    <row r="4826" spans="20:21" x14ac:dyDescent="0.3">
      <c r="T4826" t="str">
        <f>IF(ISERROR(MATCH('Analysis backend'!$M$1,E4826:N4826,0)),"",'Analysis backend'!$L$1)</f>
        <v/>
      </c>
      <c r="U4826" t="str">
        <f>IF(T4826='Analysis backend'!$L$1,IF(ISERROR(MATCH('Analysis backend'!$M$1,E4826:I4826,0)),"Dire","Radiant"),"")</f>
        <v/>
      </c>
    </row>
    <row r="4827" spans="20:21" x14ac:dyDescent="0.3">
      <c r="T4827" t="str">
        <f>IF(ISERROR(MATCH('Analysis backend'!$M$1,E4827:N4827,0)),"",'Analysis backend'!$L$1)</f>
        <v/>
      </c>
      <c r="U4827" t="str">
        <f>IF(T4827='Analysis backend'!$L$1,IF(ISERROR(MATCH('Analysis backend'!$M$1,E4827:I4827,0)),"Dire","Radiant"),"")</f>
        <v/>
      </c>
    </row>
    <row r="4828" spans="20:21" x14ac:dyDescent="0.3">
      <c r="T4828" t="str">
        <f>IF(ISERROR(MATCH('Analysis backend'!$M$1,E4828:N4828,0)),"",'Analysis backend'!$L$1)</f>
        <v/>
      </c>
      <c r="U4828" t="str">
        <f>IF(T4828='Analysis backend'!$L$1,IF(ISERROR(MATCH('Analysis backend'!$M$1,E4828:I4828,0)),"Dire","Radiant"),"")</f>
        <v/>
      </c>
    </row>
    <row r="4829" spans="20:21" x14ac:dyDescent="0.3">
      <c r="T4829" t="str">
        <f>IF(ISERROR(MATCH('Analysis backend'!$M$1,E4829:N4829,0)),"",'Analysis backend'!$L$1)</f>
        <v/>
      </c>
      <c r="U4829" t="str">
        <f>IF(T4829='Analysis backend'!$L$1,IF(ISERROR(MATCH('Analysis backend'!$M$1,E4829:I4829,0)),"Dire","Radiant"),"")</f>
        <v/>
      </c>
    </row>
    <row r="4830" spans="20:21" x14ac:dyDescent="0.3">
      <c r="T4830" t="str">
        <f>IF(ISERROR(MATCH('Analysis backend'!$M$1,E4830:N4830,0)),"",'Analysis backend'!$L$1)</f>
        <v/>
      </c>
      <c r="U4830" t="str">
        <f>IF(T4830='Analysis backend'!$L$1,IF(ISERROR(MATCH('Analysis backend'!$M$1,E4830:I4830,0)),"Dire","Radiant"),"")</f>
        <v/>
      </c>
    </row>
    <row r="4831" spans="20:21" x14ac:dyDescent="0.3">
      <c r="T4831" t="str">
        <f>IF(ISERROR(MATCH('Analysis backend'!$M$1,E4831:N4831,0)),"",'Analysis backend'!$L$1)</f>
        <v/>
      </c>
      <c r="U4831" t="str">
        <f>IF(T4831='Analysis backend'!$L$1,IF(ISERROR(MATCH('Analysis backend'!$M$1,E4831:I4831,0)),"Dire","Radiant"),"")</f>
        <v/>
      </c>
    </row>
    <row r="4832" spans="20:21" x14ac:dyDescent="0.3">
      <c r="T4832" t="str">
        <f>IF(ISERROR(MATCH('Analysis backend'!$M$1,E4832:N4832,0)),"",'Analysis backend'!$L$1)</f>
        <v/>
      </c>
      <c r="U4832" t="str">
        <f>IF(T4832='Analysis backend'!$L$1,IF(ISERROR(MATCH('Analysis backend'!$M$1,E4832:I4832,0)),"Dire","Radiant"),"")</f>
        <v/>
      </c>
    </row>
    <row r="4833" spans="20:21" x14ac:dyDescent="0.3">
      <c r="T4833" t="str">
        <f>IF(ISERROR(MATCH('Analysis backend'!$M$1,E4833:N4833,0)),"",'Analysis backend'!$L$1)</f>
        <v/>
      </c>
      <c r="U4833" t="str">
        <f>IF(T4833='Analysis backend'!$L$1,IF(ISERROR(MATCH('Analysis backend'!$M$1,E4833:I4833,0)),"Dire","Radiant"),"")</f>
        <v/>
      </c>
    </row>
    <row r="4834" spans="20:21" x14ac:dyDescent="0.3">
      <c r="T4834" t="str">
        <f>IF(ISERROR(MATCH('Analysis backend'!$M$1,E4834:N4834,0)),"",'Analysis backend'!$L$1)</f>
        <v/>
      </c>
      <c r="U4834" t="str">
        <f>IF(T4834='Analysis backend'!$L$1,IF(ISERROR(MATCH('Analysis backend'!$M$1,E4834:I4834,0)),"Dire","Radiant"),"")</f>
        <v/>
      </c>
    </row>
    <row r="4835" spans="20:21" x14ac:dyDescent="0.3">
      <c r="T4835" t="str">
        <f>IF(ISERROR(MATCH('Analysis backend'!$M$1,E4835:N4835,0)),"",'Analysis backend'!$L$1)</f>
        <v/>
      </c>
      <c r="U4835" t="str">
        <f>IF(T4835='Analysis backend'!$L$1,IF(ISERROR(MATCH('Analysis backend'!$M$1,E4835:I4835,0)),"Dire","Radiant"),"")</f>
        <v/>
      </c>
    </row>
    <row r="4836" spans="20:21" x14ac:dyDescent="0.3">
      <c r="T4836" t="str">
        <f>IF(ISERROR(MATCH('Analysis backend'!$M$1,E4836:N4836,0)),"",'Analysis backend'!$L$1)</f>
        <v/>
      </c>
      <c r="U4836" t="str">
        <f>IF(T4836='Analysis backend'!$L$1,IF(ISERROR(MATCH('Analysis backend'!$M$1,E4836:I4836,0)),"Dire","Radiant"),"")</f>
        <v/>
      </c>
    </row>
    <row r="4837" spans="20:21" x14ac:dyDescent="0.3">
      <c r="T4837" t="str">
        <f>IF(ISERROR(MATCH('Analysis backend'!$M$1,E4837:N4837,0)),"",'Analysis backend'!$L$1)</f>
        <v/>
      </c>
      <c r="U4837" t="str">
        <f>IF(T4837='Analysis backend'!$L$1,IF(ISERROR(MATCH('Analysis backend'!$M$1,E4837:I4837,0)),"Dire","Radiant"),"")</f>
        <v/>
      </c>
    </row>
    <row r="4838" spans="20:21" x14ac:dyDescent="0.3">
      <c r="T4838" t="str">
        <f>IF(ISERROR(MATCH('Analysis backend'!$M$1,E4838:N4838,0)),"",'Analysis backend'!$L$1)</f>
        <v/>
      </c>
      <c r="U4838" t="str">
        <f>IF(T4838='Analysis backend'!$L$1,IF(ISERROR(MATCH('Analysis backend'!$M$1,E4838:I4838,0)),"Dire","Radiant"),"")</f>
        <v/>
      </c>
    </row>
    <row r="4839" spans="20:21" x14ac:dyDescent="0.3">
      <c r="T4839" t="str">
        <f>IF(ISERROR(MATCH('Analysis backend'!$M$1,E4839:N4839,0)),"",'Analysis backend'!$L$1)</f>
        <v/>
      </c>
      <c r="U4839" t="str">
        <f>IF(T4839='Analysis backend'!$L$1,IF(ISERROR(MATCH('Analysis backend'!$M$1,E4839:I4839,0)),"Dire","Radiant"),"")</f>
        <v/>
      </c>
    </row>
    <row r="4840" spans="20:21" x14ac:dyDescent="0.3">
      <c r="T4840" t="str">
        <f>IF(ISERROR(MATCH('Analysis backend'!$M$1,E4840:N4840,0)),"",'Analysis backend'!$L$1)</f>
        <v/>
      </c>
      <c r="U4840" t="str">
        <f>IF(T4840='Analysis backend'!$L$1,IF(ISERROR(MATCH('Analysis backend'!$M$1,E4840:I4840,0)),"Dire","Radiant"),"")</f>
        <v/>
      </c>
    </row>
    <row r="4841" spans="20:21" x14ac:dyDescent="0.3">
      <c r="T4841" t="str">
        <f>IF(ISERROR(MATCH('Analysis backend'!$M$1,E4841:N4841,0)),"",'Analysis backend'!$L$1)</f>
        <v/>
      </c>
      <c r="U4841" t="str">
        <f>IF(T4841='Analysis backend'!$L$1,IF(ISERROR(MATCH('Analysis backend'!$M$1,E4841:I4841,0)),"Dire","Radiant"),"")</f>
        <v/>
      </c>
    </row>
    <row r="4842" spans="20:21" x14ac:dyDescent="0.3">
      <c r="T4842" t="str">
        <f>IF(ISERROR(MATCH('Analysis backend'!$M$1,E4842:N4842,0)),"",'Analysis backend'!$L$1)</f>
        <v/>
      </c>
      <c r="U4842" t="str">
        <f>IF(T4842='Analysis backend'!$L$1,IF(ISERROR(MATCH('Analysis backend'!$M$1,E4842:I4842,0)),"Dire","Radiant"),"")</f>
        <v/>
      </c>
    </row>
    <row r="4843" spans="20:21" x14ac:dyDescent="0.3">
      <c r="T4843" t="str">
        <f>IF(ISERROR(MATCH('Analysis backend'!$M$1,E4843:N4843,0)),"",'Analysis backend'!$L$1)</f>
        <v/>
      </c>
      <c r="U4843" t="str">
        <f>IF(T4843='Analysis backend'!$L$1,IF(ISERROR(MATCH('Analysis backend'!$M$1,E4843:I4843,0)),"Dire","Radiant"),"")</f>
        <v/>
      </c>
    </row>
    <row r="4844" spans="20:21" x14ac:dyDescent="0.3">
      <c r="T4844" t="str">
        <f>IF(ISERROR(MATCH('Analysis backend'!$M$1,E4844:N4844,0)),"",'Analysis backend'!$L$1)</f>
        <v/>
      </c>
      <c r="U4844" t="str">
        <f>IF(T4844='Analysis backend'!$L$1,IF(ISERROR(MATCH('Analysis backend'!$M$1,E4844:I4844,0)),"Dire","Radiant"),"")</f>
        <v/>
      </c>
    </row>
    <row r="4845" spans="20:21" x14ac:dyDescent="0.3">
      <c r="T4845" t="str">
        <f>IF(ISERROR(MATCH('Analysis backend'!$M$1,E4845:N4845,0)),"",'Analysis backend'!$L$1)</f>
        <v/>
      </c>
      <c r="U4845" t="str">
        <f>IF(T4845='Analysis backend'!$L$1,IF(ISERROR(MATCH('Analysis backend'!$M$1,E4845:I4845,0)),"Dire","Radiant"),"")</f>
        <v/>
      </c>
    </row>
    <row r="4846" spans="20:21" x14ac:dyDescent="0.3">
      <c r="T4846" t="str">
        <f>IF(ISERROR(MATCH('Analysis backend'!$M$1,E4846:N4846,0)),"",'Analysis backend'!$L$1)</f>
        <v/>
      </c>
      <c r="U4846" t="str">
        <f>IF(T4846='Analysis backend'!$L$1,IF(ISERROR(MATCH('Analysis backend'!$M$1,E4846:I4846,0)),"Dire","Radiant"),"")</f>
        <v/>
      </c>
    </row>
    <row r="4847" spans="20:21" x14ac:dyDescent="0.3">
      <c r="T4847" t="str">
        <f>IF(ISERROR(MATCH('Analysis backend'!$M$1,E4847:N4847,0)),"",'Analysis backend'!$L$1)</f>
        <v/>
      </c>
      <c r="U4847" t="str">
        <f>IF(T4847='Analysis backend'!$L$1,IF(ISERROR(MATCH('Analysis backend'!$M$1,E4847:I4847,0)),"Dire","Radiant"),"")</f>
        <v/>
      </c>
    </row>
    <row r="4848" spans="20:21" x14ac:dyDescent="0.3">
      <c r="T4848" t="str">
        <f>IF(ISERROR(MATCH('Analysis backend'!$M$1,E4848:N4848,0)),"",'Analysis backend'!$L$1)</f>
        <v/>
      </c>
      <c r="U4848" t="str">
        <f>IF(T4848='Analysis backend'!$L$1,IF(ISERROR(MATCH('Analysis backend'!$M$1,E4848:I4848,0)),"Dire","Radiant"),"")</f>
        <v/>
      </c>
    </row>
    <row r="4849" spans="20:21" x14ac:dyDescent="0.3">
      <c r="T4849" t="str">
        <f>IF(ISERROR(MATCH('Analysis backend'!$M$1,E4849:N4849,0)),"",'Analysis backend'!$L$1)</f>
        <v/>
      </c>
      <c r="U4849" t="str">
        <f>IF(T4849='Analysis backend'!$L$1,IF(ISERROR(MATCH('Analysis backend'!$M$1,E4849:I4849,0)),"Dire","Radiant"),"")</f>
        <v/>
      </c>
    </row>
    <row r="4850" spans="20:21" x14ac:dyDescent="0.3">
      <c r="T4850" t="str">
        <f>IF(ISERROR(MATCH('Analysis backend'!$M$1,E4850:N4850,0)),"",'Analysis backend'!$L$1)</f>
        <v/>
      </c>
      <c r="U4850" t="str">
        <f>IF(T4850='Analysis backend'!$L$1,IF(ISERROR(MATCH('Analysis backend'!$M$1,E4850:I4850,0)),"Dire","Radiant"),"")</f>
        <v/>
      </c>
    </row>
    <row r="4851" spans="20:21" x14ac:dyDescent="0.3">
      <c r="T4851" t="str">
        <f>IF(ISERROR(MATCH('Analysis backend'!$M$1,E4851:N4851,0)),"",'Analysis backend'!$L$1)</f>
        <v/>
      </c>
      <c r="U4851" t="str">
        <f>IF(T4851='Analysis backend'!$L$1,IF(ISERROR(MATCH('Analysis backend'!$M$1,E4851:I4851,0)),"Dire","Radiant"),"")</f>
        <v/>
      </c>
    </row>
    <row r="4852" spans="20:21" x14ac:dyDescent="0.3">
      <c r="T4852" t="str">
        <f>IF(ISERROR(MATCH('Analysis backend'!$M$1,E4852:N4852,0)),"",'Analysis backend'!$L$1)</f>
        <v/>
      </c>
      <c r="U4852" t="str">
        <f>IF(T4852='Analysis backend'!$L$1,IF(ISERROR(MATCH('Analysis backend'!$M$1,E4852:I4852,0)),"Dire","Radiant"),"")</f>
        <v/>
      </c>
    </row>
    <row r="4853" spans="20:21" x14ac:dyDescent="0.3">
      <c r="T4853" t="str">
        <f>IF(ISERROR(MATCH('Analysis backend'!$M$1,E4853:N4853,0)),"",'Analysis backend'!$L$1)</f>
        <v/>
      </c>
      <c r="U4853" t="str">
        <f>IF(T4853='Analysis backend'!$L$1,IF(ISERROR(MATCH('Analysis backend'!$M$1,E4853:I4853,0)),"Dire","Radiant"),"")</f>
        <v/>
      </c>
    </row>
    <row r="4854" spans="20:21" x14ac:dyDescent="0.3">
      <c r="T4854" t="str">
        <f>IF(ISERROR(MATCH('Analysis backend'!$M$1,E4854:N4854,0)),"",'Analysis backend'!$L$1)</f>
        <v/>
      </c>
      <c r="U4854" t="str">
        <f>IF(T4854='Analysis backend'!$L$1,IF(ISERROR(MATCH('Analysis backend'!$M$1,E4854:I4854,0)),"Dire","Radiant"),"")</f>
        <v/>
      </c>
    </row>
    <row r="4855" spans="20:21" x14ac:dyDescent="0.3">
      <c r="T4855" t="str">
        <f>IF(ISERROR(MATCH('Analysis backend'!$M$1,E4855:N4855,0)),"",'Analysis backend'!$L$1)</f>
        <v/>
      </c>
      <c r="U4855" t="str">
        <f>IF(T4855='Analysis backend'!$L$1,IF(ISERROR(MATCH('Analysis backend'!$M$1,E4855:I4855,0)),"Dire","Radiant"),"")</f>
        <v/>
      </c>
    </row>
    <row r="4856" spans="20:21" x14ac:dyDescent="0.3">
      <c r="T4856" t="str">
        <f>IF(ISERROR(MATCH('Analysis backend'!$M$1,E4856:N4856,0)),"",'Analysis backend'!$L$1)</f>
        <v/>
      </c>
      <c r="U4856" t="str">
        <f>IF(T4856='Analysis backend'!$L$1,IF(ISERROR(MATCH('Analysis backend'!$M$1,E4856:I4856,0)),"Dire","Radiant"),"")</f>
        <v/>
      </c>
    </row>
    <row r="4857" spans="20:21" x14ac:dyDescent="0.3">
      <c r="T4857" t="str">
        <f>IF(ISERROR(MATCH('Analysis backend'!$M$1,E4857:N4857,0)),"",'Analysis backend'!$L$1)</f>
        <v/>
      </c>
      <c r="U4857" t="str">
        <f>IF(T4857='Analysis backend'!$L$1,IF(ISERROR(MATCH('Analysis backend'!$M$1,E4857:I4857,0)),"Dire","Radiant"),"")</f>
        <v/>
      </c>
    </row>
    <row r="4858" spans="20:21" x14ac:dyDescent="0.3">
      <c r="T4858" t="str">
        <f>IF(ISERROR(MATCH('Analysis backend'!$M$1,E4858:N4858,0)),"",'Analysis backend'!$L$1)</f>
        <v/>
      </c>
      <c r="U4858" t="str">
        <f>IF(T4858='Analysis backend'!$L$1,IF(ISERROR(MATCH('Analysis backend'!$M$1,E4858:I4858,0)),"Dire","Radiant"),"")</f>
        <v/>
      </c>
    </row>
    <row r="4859" spans="20:21" x14ac:dyDescent="0.3">
      <c r="T4859" t="str">
        <f>IF(ISERROR(MATCH('Analysis backend'!$M$1,E4859:N4859,0)),"",'Analysis backend'!$L$1)</f>
        <v/>
      </c>
      <c r="U4859" t="str">
        <f>IF(T4859='Analysis backend'!$L$1,IF(ISERROR(MATCH('Analysis backend'!$M$1,E4859:I4859,0)),"Dire","Radiant"),"")</f>
        <v/>
      </c>
    </row>
    <row r="4860" spans="20:21" x14ac:dyDescent="0.3">
      <c r="T4860" t="str">
        <f>IF(ISERROR(MATCH('Analysis backend'!$M$1,E4860:N4860,0)),"",'Analysis backend'!$L$1)</f>
        <v/>
      </c>
      <c r="U4860" t="str">
        <f>IF(T4860='Analysis backend'!$L$1,IF(ISERROR(MATCH('Analysis backend'!$M$1,E4860:I4860,0)),"Dire","Radiant"),"")</f>
        <v/>
      </c>
    </row>
    <row r="4861" spans="20:21" x14ac:dyDescent="0.3">
      <c r="T4861" t="str">
        <f>IF(ISERROR(MATCH('Analysis backend'!$M$1,E4861:N4861,0)),"",'Analysis backend'!$L$1)</f>
        <v/>
      </c>
      <c r="U4861" t="str">
        <f>IF(T4861='Analysis backend'!$L$1,IF(ISERROR(MATCH('Analysis backend'!$M$1,E4861:I4861,0)),"Dire","Radiant"),"")</f>
        <v/>
      </c>
    </row>
    <row r="4862" spans="20:21" x14ac:dyDescent="0.3">
      <c r="T4862" t="str">
        <f>IF(ISERROR(MATCH('Analysis backend'!$M$1,E4862:N4862,0)),"",'Analysis backend'!$L$1)</f>
        <v/>
      </c>
      <c r="U4862" t="str">
        <f>IF(T4862='Analysis backend'!$L$1,IF(ISERROR(MATCH('Analysis backend'!$M$1,E4862:I4862,0)),"Dire","Radiant"),"")</f>
        <v/>
      </c>
    </row>
    <row r="4863" spans="20:21" x14ac:dyDescent="0.3">
      <c r="T4863" t="str">
        <f>IF(ISERROR(MATCH('Analysis backend'!$M$1,E4863:N4863,0)),"",'Analysis backend'!$L$1)</f>
        <v/>
      </c>
      <c r="U4863" t="str">
        <f>IF(T4863='Analysis backend'!$L$1,IF(ISERROR(MATCH('Analysis backend'!$M$1,E4863:I4863,0)),"Dire","Radiant"),"")</f>
        <v/>
      </c>
    </row>
    <row r="4864" spans="20:21" x14ac:dyDescent="0.3">
      <c r="T4864" t="str">
        <f>IF(ISERROR(MATCH('Analysis backend'!$M$1,E4864:N4864,0)),"",'Analysis backend'!$L$1)</f>
        <v/>
      </c>
      <c r="U4864" t="str">
        <f>IF(T4864='Analysis backend'!$L$1,IF(ISERROR(MATCH('Analysis backend'!$M$1,E4864:I4864,0)),"Dire","Radiant"),"")</f>
        <v/>
      </c>
    </row>
    <row r="4865" spans="20:21" x14ac:dyDescent="0.3">
      <c r="T4865" t="str">
        <f>IF(ISERROR(MATCH('Analysis backend'!$M$1,E4865:N4865,0)),"",'Analysis backend'!$L$1)</f>
        <v/>
      </c>
      <c r="U4865" t="str">
        <f>IF(T4865='Analysis backend'!$L$1,IF(ISERROR(MATCH('Analysis backend'!$M$1,E4865:I4865,0)),"Dire","Radiant"),"")</f>
        <v/>
      </c>
    </row>
    <row r="4866" spans="20:21" x14ac:dyDescent="0.3">
      <c r="T4866" t="str">
        <f>IF(ISERROR(MATCH('Analysis backend'!$M$1,E4866:N4866,0)),"",'Analysis backend'!$L$1)</f>
        <v/>
      </c>
      <c r="U4866" t="str">
        <f>IF(T4866='Analysis backend'!$L$1,IF(ISERROR(MATCH('Analysis backend'!$M$1,E4866:I4866,0)),"Dire","Radiant"),"")</f>
        <v/>
      </c>
    </row>
    <row r="4867" spans="20:21" x14ac:dyDescent="0.3">
      <c r="T4867" t="str">
        <f>IF(ISERROR(MATCH('Analysis backend'!$M$1,E4867:N4867,0)),"",'Analysis backend'!$L$1)</f>
        <v/>
      </c>
      <c r="U4867" t="str">
        <f>IF(T4867='Analysis backend'!$L$1,IF(ISERROR(MATCH('Analysis backend'!$M$1,E4867:I4867,0)),"Dire","Radiant"),"")</f>
        <v/>
      </c>
    </row>
    <row r="4868" spans="20:21" x14ac:dyDescent="0.3">
      <c r="T4868" t="str">
        <f>IF(ISERROR(MATCH('Analysis backend'!$M$1,E4868:N4868,0)),"",'Analysis backend'!$L$1)</f>
        <v/>
      </c>
      <c r="U4868" t="str">
        <f>IF(T4868='Analysis backend'!$L$1,IF(ISERROR(MATCH('Analysis backend'!$M$1,E4868:I4868,0)),"Dire","Radiant"),"")</f>
        <v/>
      </c>
    </row>
    <row r="4869" spans="20:21" x14ac:dyDescent="0.3">
      <c r="T4869" t="str">
        <f>IF(ISERROR(MATCH('Analysis backend'!$M$1,E4869:N4869,0)),"",'Analysis backend'!$L$1)</f>
        <v/>
      </c>
      <c r="U4869" t="str">
        <f>IF(T4869='Analysis backend'!$L$1,IF(ISERROR(MATCH('Analysis backend'!$M$1,E4869:I4869,0)),"Dire","Radiant"),"")</f>
        <v/>
      </c>
    </row>
    <row r="4870" spans="20:21" x14ac:dyDescent="0.3">
      <c r="T4870" t="str">
        <f>IF(ISERROR(MATCH('Analysis backend'!$M$1,E4870:N4870,0)),"",'Analysis backend'!$L$1)</f>
        <v/>
      </c>
      <c r="U4870" t="str">
        <f>IF(T4870='Analysis backend'!$L$1,IF(ISERROR(MATCH('Analysis backend'!$M$1,E4870:I4870,0)),"Dire","Radiant"),"")</f>
        <v/>
      </c>
    </row>
    <row r="4871" spans="20:21" x14ac:dyDescent="0.3">
      <c r="T4871" t="str">
        <f>IF(ISERROR(MATCH('Analysis backend'!$M$1,E4871:N4871,0)),"",'Analysis backend'!$L$1)</f>
        <v/>
      </c>
      <c r="U4871" t="str">
        <f>IF(T4871='Analysis backend'!$L$1,IF(ISERROR(MATCH('Analysis backend'!$M$1,E4871:I4871,0)),"Dire","Radiant"),"")</f>
        <v/>
      </c>
    </row>
    <row r="4872" spans="20:21" x14ac:dyDescent="0.3">
      <c r="T4872" t="str">
        <f>IF(ISERROR(MATCH('Analysis backend'!$M$1,E4872:N4872,0)),"",'Analysis backend'!$L$1)</f>
        <v/>
      </c>
      <c r="U4872" t="str">
        <f>IF(T4872='Analysis backend'!$L$1,IF(ISERROR(MATCH('Analysis backend'!$M$1,E4872:I4872,0)),"Dire","Radiant"),"")</f>
        <v/>
      </c>
    </row>
    <row r="4873" spans="20:21" x14ac:dyDescent="0.3">
      <c r="T4873" t="str">
        <f>IF(ISERROR(MATCH('Analysis backend'!$M$1,E4873:N4873,0)),"",'Analysis backend'!$L$1)</f>
        <v/>
      </c>
      <c r="U4873" t="str">
        <f>IF(T4873='Analysis backend'!$L$1,IF(ISERROR(MATCH('Analysis backend'!$M$1,E4873:I4873,0)),"Dire","Radiant"),"")</f>
        <v/>
      </c>
    </row>
    <row r="4874" spans="20:21" x14ac:dyDescent="0.3">
      <c r="T4874" t="str">
        <f>IF(ISERROR(MATCH('Analysis backend'!$M$1,E4874:N4874,0)),"",'Analysis backend'!$L$1)</f>
        <v/>
      </c>
      <c r="U4874" t="str">
        <f>IF(T4874='Analysis backend'!$L$1,IF(ISERROR(MATCH('Analysis backend'!$M$1,E4874:I4874,0)),"Dire","Radiant"),"")</f>
        <v/>
      </c>
    </row>
    <row r="4875" spans="20:21" x14ac:dyDescent="0.3">
      <c r="T4875" t="str">
        <f>IF(ISERROR(MATCH('Analysis backend'!$M$1,E4875:N4875,0)),"",'Analysis backend'!$L$1)</f>
        <v/>
      </c>
      <c r="U4875" t="str">
        <f>IF(T4875='Analysis backend'!$L$1,IF(ISERROR(MATCH('Analysis backend'!$M$1,E4875:I4875,0)),"Dire","Radiant"),"")</f>
        <v/>
      </c>
    </row>
    <row r="4876" spans="20:21" x14ac:dyDescent="0.3">
      <c r="T4876" t="str">
        <f>IF(ISERROR(MATCH('Analysis backend'!$M$1,E4876:N4876,0)),"",'Analysis backend'!$L$1)</f>
        <v/>
      </c>
      <c r="U4876" t="str">
        <f>IF(T4876='Analysis backend'!$L$1,IF(ISERROR(MATCH('Analysis backend'!$M$1,E4876:I4876,0)),"Dire","Radiant"),"")</f>
        <v/>
      </c>
    </row>
    <row r="4877" spans="20:21" x14ac:dyDescent="0.3">
      <c r="T4877" t="str">
        <f>IF(ISERROR(MATCH('Analysis backend'!$M$1,E4877:N4877,0)),"",'Analysis backend'!$L$1)</f>
        <v/>
      </c>
      <c r="U4877" t="str">
        <f>IF(T4877='Analysis backend'!$L$1,IF(ISERROR(MATCH('Analysis backend'!$M$1,E4877:I4877,0)),"Dire","Radiant"),"")</f>
        <v/>
      </c>
    </row>
    <row r="4878" spans="20:21" x14ac:dyDescent="0.3">
      <c r="T4878" t="str">
        <f>IF(ISERROR(MATCH('Analysis backend'!$M$1,E4878:N4878,0)),"",'Analysis backend'!$L$1)</f>
        <v/>
      </c>
      <c r="U4878" t="str">
        <f>IF(T4878='Analysis backend'!$L$1,IF(ISERROR(MATCH('Analysis backend'!$M$1,E4878:I4878,0)),"Dire","Radiant"),"")</f>
        <v/>
      </c>
    </row>
    <row r="4879" spans="20:21" x14ac:dyDescent="0.3">
      <c r="T4879" t="str">
        <f>IF(ISERROR(MATCH('Analysis backend'!$M$1,E4879:N4879,0)),"",'Analysis backend'!$L$1)</f>
        <v/>
      </c>
      <c r="U4879" t="str">
        <f>IF(T4879='Analysis backend'!$L$1,IF(ISERROR(MATCH('Analysis backend'!$M$1,E4879:I4879,0)),"Dire","Radiant"),"")</f>
        <v/>
      </c>
    </row>
    <row r="4880" spans="20:21" x14ac:dyDescent="0.3">
      <c r="T4880" t="str">
        <f>IF(ISERROR(MATCH('Analysis backend'!$M$1,E4880:N4880,0)),"",'Analysis backend'!$L$1)</f>
        <v/>
      </c>
      <c r="U4880" t="str">
        <f>IF(T4880='Analysis backend'!$L$1,IF(ISERROR(MATCH('Analysis backend'!$M$1,E4880:I4880,0)),"Dire","Radiant"),"")</f>
        <v/>
      </c>
    </row>
    <row r="4881" spans="20:21" x14ac:dyDescent="0.3">
      <c r="T4881" t="str">
        <f>IF(ISERROR(MATCH('Analysis backend'!$M$1,E4881:N4881,0)),"",'Analysis backend'!$L$1)</f>
        <v/>
      </c>
      <c r="U4881" t="str">
        <f>IF(T4881='Analysis backend'!$L$1,IF(ISERROR(MATCH('Analysis backend'!$M$1,E4881:I4881,0)),"Dire","Radiant"),"")</f>
        <v/>
      </c>
    </row>
    <row r="4882" spans="20:21" x14ac:dyDescent="0.3">
      <c r="T4882" t="str">
        <f>IF(ISERROR(MATCH('Analysis backend'!$M$1,E4882:N4882,0)),"",'Analysis backend'!$L$1)</f>
        <v/>
      </c>
      <c r="U4882" t="str">
        <f>IF(T4882='Analysis backend'!$L$1,IF(ISERROR(MATCH('Analysis backend'!$M$1,E4882:I4882,0)),"Dire","Radiant"),"")</f>
        <v/>
      </c>
    </row>
    <row r="4883" spans="20:21" x14ac:dyDescent="0.3">
      <c r="T4883" t="str">
        <f>IF(ISERROR(MATCH('Analysis backend'!$M$1,E4883:N4883,0)),"",'Analysis backend'!$L$1)</f>
        <v/>
      </c>
      <c r="U4883" t="str">
        <f>IF(T4883='Analysis backend'!$L$1,IF(ISERROR(MATCH('Analysis backend'!$M$1,E4883:I4883,0)),"Dire","Radiant"),"")</f>
        <v/>
      </c>
    </row>
    <row r="4884" spans="20:21" x14ac:dyDescent="0.3">
      <c r="T4884" t="str">
        <f>IF(ISERROR(MATCH('Analysis backend'!$M$1,E4884:N4884,0)),"",'Analysis backend'!$L$1)</f>
        <v/>
      </c>
      <c r="U4884" t="str">
        <f>IF(T4884='Analysis backend'!$L$1,IF(ISERROR(MATCH('Analysis backend'!$M$1,E4884:I4884,0)),"Dire","Radiant"),"")</f>
        <v/>
      </c>
    </row>
    <row r="4885" spans="20:21" x14ac:dyDescent="0.3">
      <c r="T4885" t="str">
        <f>IF(ISERROR(MATCH('Analysis backend'!$M$1,E4885:N4885,0)),"",'Analysis backend'!$L$1)</f>
        <v/>
      </c>
      <c r="U4885" t="str">
        <f>IF(T4885='Analysis backend'!$L$1,IF(ISERROR(MATCH('Analysis backend'!$M$1,E4885:I4885,0)),"Dire","Radiant"),"")</f>
        <v/>
      </c>
    </row>
    <row r="4886" spans="20:21" x14ac:dyDescent="0.3">
      <c r="T4886" t="str">
        <f>IF(ISERROR(MATCH('Analysis backend'!$M$1,E4886:N4886,0)),"",'Analysis backend'!$L$1)</f>
        <v/>
      </c>
      <c r="U4886" t="str">
        <f>IF(T4886='Analysis backend'!$L$1,IF(ISERROR(MATCH('Analysis backend'!$M$1,E4886:I4886,0)),"Dire","Radiant"),"")</f>
        <v/>
      </c>
    </row>
    <row r="4887" spans="20:21" x14ac:dyDescent="0.3">
      <c r="T4887" t="str">
        <f>IF(ISERROR(MATCH('Analysis backend'!$M$1,E4887:N4887,0)),"",'Analysis backend'!$L$1)</f>
        <v/>
      </c>
      <c r="U4887" t="str">
        <f>IF(T4887='Analysis backend'!$L$1,IF(ISERROR(MATCH('Analysis backend'!$M$1,E4887:I4887,0)),"Dire","Radiant"),"")</f>
        <v/>
      </c>
    </row>
    <row r="4888" spans="20:21" x14ac:dyDescent="0.3">
      <c r="T4888" t="str">
        <f>IF(ISERROR(MATCH('Analysis backend'!$M$1,E4888:N4888,0)),"",'Analysis backend'!$L$1)</f>
        <v/>
      </c>
      <c r="U4888" t="str">
        <f>IF(T4888='Analysis backend'!$L$1,IF(ISERROR(MATCH('Analysis backend'!$M$1,E4888:I4888,0)),"Dire","Radiant"),"")</f>
        <v/>
      </c>
    </row>
    <row r="4889" spans="20:21" x14ac:dyDescent="0.3">
      <c r="T4889" t="str">
        <f>IF(ISERROR(MATCH('Analysis backend'!$M$1,E4889:N4889,0)),"",'Analysis backend'!$L$1)</f>
        <v/>
      </c>
      <c r="U4889" t="str">
        <f>IF(T4889='Analysis backend'!$L$1,IF(ISERROR(MATCH('Analysis backend'!$M$1,E4889:I4889,0)),"Dire","Radiant"),"")</f>
        <v/>
      </c>
    </row>
    <row r="4890" spans="20:21" x14ac:dyDescent="0.3">
      <c r="T4890" t="str">
        <f>IF(ISERROR(MATCH('Analysis backend'!$M$1,E4890:N4890,0)),"",'Analysis backend'!$L$1)</f>
        <v/>
      </c>
      <c r="U4890" t="str">
        <f>IF(T4890='Analysis backend'!$L$1,IF(ISERROR(MATCH('Analysis backend'!$M$1,E4890:I4890,0)),"Dire","Radiant"),"")</f>
        <v/>
      </c>
    </row>
    <row r="4891" spans="20:21" x14ac:dyDescent="0.3">
      <c r="T4891" t="str">
        <f>IF(ISERROR(MATCH('Analysis backend'!$M$1,E4891:N4891,0)),"",'Analysis backend'!$L$1)</f>
        <v/>
      </c>
      <c r="U4891" t="str">
        <f>IF(T4891='Analysis backend'!$L$1,IF(ISERROR(MATCH('Analysis backend'!$M$1,E4891:I4891,0)),"Dire","Radiant"),"")</f>
        <v/>
      </c>
    </row>
    <row r="4892" spans="20:21" x14ac:dyDescent="0.3">
      <c r="T4892" t="str">
        <f>IF(ISERROR(MATCH('Analysis backend'!$M$1,E4892:N4892,0)),"",'Analysis backend'!$L$1)</f>
        <v/>
      </c>
      <c r="U4892" t="str">
        <f>IF(T4892='Analysis backend'!$L$1,IF(ISERROR(MATCH('Analysis backend'!$M$1,E4892:I4892,0)),"Dire","Radiant"),"")</f>
        <v/>
      </c>
    </row>
    <row r="4893" spans="20:21" x14ac:dyDescent="0.3">
      <c r="T4893" t="str">
        <f>IF(ISERROR(MATCH('Analysis backend'!$M$1,E4893:N4893,0)),"",'Analysis backend'!$L$1)</f>
        <v/>
      </c>
      <c r="U4893" t="str">
        <f>IF(T4893='Analysis backend'!$L$1,IF(ISERROR(MATCH('Analysis backend'!$M$1,E4893:I4893,0)),"Dire","Radiant"),"")</f>
        <v/>
      </c>
    </row>
    <row r="4894" spans="20:21" x14ac:dyDescent="0.3">
      <c r="T4894" t="str">
        <f>IF(ISERROR(MATCH('Analysis backend'!$M$1,E4894:N4894,0)),"",'Analysis backend'!$L$1)</f>
        <v/>
      </c>
      <c r="U4894" t="str">
        <f>IF(T4894='Analysis backend'!$L$1,IF(ISERROR(MATCH('Analysis backend'!$M$1,E4894:I4894,0)),"Dire","Radiant"),"")</f>
        <v/>
      </c>
    </row>
    <row r="4895" spans="20:21" x14ac:dyDescent="0.3">
      <c r="T4895" t="str">
        <f>IF(ISERROR(MATCH('Analysis backend'!$M$1,E4895:N4895,0)),"",'Analysis backend'!$L$1)</f>
        <v/>
      </c>
      <c r="U4895" t="str">
        <f>IF(T4895='Analysis backend'!$L$1,IF(ISERROR(MATCH('Analysis backend'!$M$1,E4895:I4895,0)),"Dire","Radiant"),"")</f>
        <v/>
      </c>
    </row>
    <row r="4896" spans="20:21" x14ac:dyDescent="0.3">
      <c r="T4896" t="str">
        <f>IF(ISERROR(MATCH('Analysis backend'!$M$1,E4896:N4896,0)),"",'Analysis backend'!$L$1)</f>
        <v/>
      </c>
      <c r="U4896" t="str">
        <f>IF(T4896='Analysis backend'!$L$1,IF(ISERROR(MATCH('Analysis backend'!$M$1,E4896:I4896,0)),"Dire","Radiant"),"")</f>
        <v/>
      </c>
    </row>
    <row r="4897" spans="20:21" x14ac:dyDescent="0.3">
      <c r="T4897" t="str">
        <f>IF(ISERROR(MATCH('Analysis backend'!$M$1,E4897:N4897,0)),"",'Analysis backend'!$L$1)</f>
        <v/>
      </c>
      <c r="U4897" t="str">
        <f>IF(T4897='Analysis backend'!$L$1,IF(ISERROR(MATCH('Analysis backend'!$M$1,E4897:I4897,0)),"Dire","Radiant"),"")</f>
        <v/>
      </c>
    </row>
    <row r="4898" spans="20:21" x14ac:dyDescent="0.3">
      <c r="T4898" t="str">
        <f>IF(ISERROR(MATCH('Analysis backend'!$M$1,E4898:N4898,0)),"",'Analysis backend'!$L$1)</f>
        <v/>
      </c>
      <c r="U4898" t="str">
        <f>IF(T4898='Analysis backend'!$L$1,IF(ISERROR(MATCH('Analysis backend'!$M$1,E4898:I4898,0)),"Dire","Radiant"),"")</f>
        <v/>
      </c>
    </row>
    <row r="4899" spans="20:21" x14ac:dyDescent="0.3">
      <c r="T4899" t="str">
        <f>IF(ISERROR(MATCH('Analysis backend'!$M$1,E4899:N4899,0)),"",'Analysis backend'!$L$1)</f>
        <v/>
      </c>
      <c r="U4899" t="str">
        <f>IF(T4899='Analysis backend'!$L$1,IF(ISERROR(MATCH('Analysis backend'!$M$1,E4899:I4899,0)),"Dire","Radiant"),"")</f>
        <v/>
      </c>
    </row>
    <row r="4900" spans="20:21" x14ac:dyDescent="0.3">
      <c r="T4900" t="str">
        <f>IF(ISERROR(MATCH('Analysis backend'!$M$1,E4900:N4900,0)),"",'Analysis backend'!$L$1)</f>
        <v/>
      </c>
      <c r="U4900" t="str">
        <f>IF(T4900='Analysis backend'!$L$1,IF(ISERROR(MATCH('Analysis backend'!$M$1,E4900:I4900,0)),"Dire","Radiant"),"")</f>
        <v/>
      </c>
    </row>
    <row r="4901" spans="20:21" x14ac:dyDescent="0.3">
      <c r="T4901" t="str">
        <f>IF(ISERROR(MATCH('Analysis backend'!$M$1,E4901:N4901,0)),"",'Analysis backend'!$L$1)</f>
        <v/>
      </c>
      <c r="U4901" t="str">
        <f>IF(T4901='Analysis backend'!$L$1,IF(ISERROR(MATCH('Analysis backend'!$M$1,E4901:I4901,0)),"Dire","Radiant"),"")</f>
        <v/>
      </c>
    </row>
    <row r="4902" spans="20:21" x14ac:dyDescent="0.3">
      <c r="T4902" t="str">
        <f>IF(ISERROR(MATCH('Analysis backend'!$M$1,E4902:N4902,0)),"",'Analysis backend'!$L$1)</f>
        <v/>
      </c>
      <c r="U4902" t="str">
        <f>IF(T4902='Analysis backend'!$L$1,IF(ISERROR(MATCH('Analysis backend'!$M$1,E4902:I4902,0)),"Dire","Radiant"),"")</f>
        <v/>
      </c>
    </row>
    <row r="4903" spans="20:21" x14ac:dyDescent="0.3">
      <c r="T4903" t="str">
        <f>IF(ISERROR(MATCH('Analysis backend'!$M$1,E4903:N4903,0)),"",'Analysis backend'!$L$1)</f>
        <v/>
      </c>
      <c r="U4903" t="str">
        <f>IF(T4903='Analysis backend'!$L$1,IF(ISERROR(MATCH('Analysis backend'!$M$1,E4903:I4903,0)),"Dire","Radiant"),"")</f>
        <v/>
      </c>
    </row>
    <row r="4904" spans="20:21" x14ac:dyDescent="0.3">
      <c r="T4904" t="str">
        <f>IF(ISERROR(MATCH('Analysis backend'!$M$1,E4904:N4904,0)),"",'Analysis backend'!$L$1)</f>
        <v/>
      </c>
      <c r="U4904" t="str">
        <f>IF(T4904='Analysis backend'!$L$1,IF(ISERROR(MATCH('Analysis backend'!$M$1,E4904:I4904,0)),"Dire","Radiant"),"")</f>
        <v/>
      </c>
    </row>
    <row r="4905" spans="20:21" x14ac:dyDescent="0.3">
      <c r="T4905" t="str">
        <f>IF(ISERROR(MATCH('Analysis backend'!$M$1,E4905:N4905,0)),"",'Analysis backend'!$L$1)</f>
        <v/>
      </c>
      <c r="U4905" t="str">
        <f>IF(T4905='Analysis backend'!$L$1,IF(ISERROR(MATCH('Analysis backend'!$M$1,E4905:I4905,0)),"Dire","Radiant"),"")</f>
        <v/>
      </c>
    </row>
    <row r="4906" spans="20:21" x14ac:dyDescent="0.3">
      <c r="T4906" t="str">
        <f>IF(ISERROR(MATCH('Analysis backend'!$M$1,E4906:N4906,0)),"",'Analysis backend'!$L$1)</f>
        <v/>
      </c>
      <c r="U4906" t="str">
        <f>IF(T4906='Analysis backend'!$L$1,IF(ISERROR(MATCH('Analysis backend'!$M$1,E4906:I4906,0)),"Dire","Radiant"),"")</f>
        <v/>
      </c>
    </row>
    <row r="4907" spans="20:21" x14ac:dyDescent="0.3">
      <c r="T4907" t="str">
        <f>IF(ISERROR(MATCH('Analysis backend'!$M$1,E4907:N4907,0)),"",'Analysis backend'!$L$1)</f>
        <v/>
      </c>
      <c r="U4907" t="str">
        <f>IF(T4907='Analysis backend'!$L$1,IF(ISERROR(MATCH('Analysis backend'!$M$1,E4907:I4907,0)),"Dire","Radiant"),"")</f>
        <v/>
      </c>
    </row>
    <row r="4908" spans="20:21" x14ac:dyDescent="0.3">
      <c r="T4908" t="str">
        <f>IF(ISERROR(MATCH('Analysis backend'!$M$1,E4908:N4908,0)),"",'Analysis backend'!$L$1)</f>
        <v/>
      </c>
      <c r="U4908" t="str">
        <f>IF(T4908='Analysis backend'!$L$1,IF(ISERROR(MATCH('Analysis backend'!$M$1,E4908:I4908,0)),"Dire","Radiant"),"")</f>
        <v/>
      </c>
    </row>
    <row r="4909" spans="20:21" x14ac:dyDescent="0.3">
      <c r="T4909" t="str">
        <f>IF(ISERROR(MATCH('Analysis backend'!$M$1,E4909:N4909,0)),"",'Analysis backend'!$L$1)</f>
        <v/>
      </c>
      <c r="U4909" t="str">
        <f>IF(T4909='Analysis backend'!$L$1,IF(ISERROR(MATCH('Analysis backend'!$M$1,E4909:I4909,0)),"Dire","Radiant"),"")</f>
        <v/>
      </c>
    </row>
    <row r="4910" spans="20:21" x14ac:dyDescent="0.3">
      <c r="T4910" t="str">
        <f>IF(ISERROR(MATCH('Analysis backend'!$M$1,E4910:N4910,0)),"",'Analysis backend'!$L$1)</f>
        <v/>
      </c>
      <c r="U4910" t="str">
        <f>IF(T4910='Analysis backend'!$L$1,IF(ISERROR(MATCH('Analysis backend'!$M$1,E4910:I4910,0)),"Dire","Radiant"),"")</f>
        <v/>
      </c>
    </row>
    <row r="4911" spans="20:21" x14ac:dyDescent="0.3">
      <c r="T4911" t="str">
        <f>IF(ISERROR(MATCH('Analysis backend'!$M$1,E4911:N4911,0)),"",'Analysis backend'!$L$1)</f>
        <v/>
      </c>
      <c r="U4911" t="str">
        <f>IF(T4911='Analysis backend'!$L$1,IF(ISERROR(MATCH('Analysis backend'!$M$1,E4911:I4911,0)),"Dire","Radiant"),"")</f>
        <v/>
      </c>
    </row>
    <row r="4912" spans="20:21" x14ac:dyDescent="0.3">
      <c r="T4912" t="str">
        <f>IF(ISERROR(MATCH('Analysis backend'!$M$1,E4912:N4912,0)),"",'Analysis backend'!$L$1)</f>
        <v/>
      </c>
      <c r="U4912" t="str">
        <f>IF(T4912='Analysis backend'!$L$1,IF(ISERROR(MATCH('Analysis backend'!$M$1,E4912:I4912,0)),"Dire","Radiant"),"")</f>
        <v/>
      </c>
    </row>
    <row r="4913" spans="20:21" x14ac:dyDescent="0.3">
      <c r="T4913" t="str">
        <f>IF(ISERROR(MATCH('Analysis backend'!$M$1,E4913:N4913,0)),"",'Analysis backend'!$L$1)</f>
        <v/>
      </c>
      <c r="U4913" t="str">
        <f>IF(T4913='Analysis backend'!$L$1,IF(ISERROR(MATCH('Analysis backend'!$M$1,E4913:I4913,0)),"Dire","Radiant"),"")</f>
        <v/>
      </c>
    </row>
    <row r="4914" spans="20:21" x14ac:dyDescent="0.3">
      <c r="T4914" t="str">
        <f>IF(ISERROR(MATCH('Analysis backend'!$M$1,E4914:N4914,0)),"",'Analysis backend'!$L$1)</f>
        <v/>
      </c>
      <c r="U4914" t="str">
        <f>IF(T4914='Analysis backend'!$L$1,IF(ISERROR(MATCH('Analysis backend'!$M$1,E4914:I4914,0)),"Dire","Radiant"),"")</f>
        <v/>
      </c>
    </row>
    <row r="4915" spans="20:21" x14ac:dyDescent="0.3">
      <c r="T4915" t="str">
        <f>IF(ISERROR(MATCH('Analysis backend'!$M$1,E4915:N4915,0)),"",'Analysis backend'!$L$1)</f>
        <v/>
      </c>
      <c r="U4915" t="str">
        <f>IF(T4915='Analysis backend'!$L$1,IF(ISERROR(MATCH('Analysis backend'!$M$1,E4915:I4915,0)),"Dire","Radiant"),"")</f>
        <v/>
      </c>
    </row>
    <row r="4916" spans="20:21" x14ac:dyDescent="0.3">
      <c r="T4916" t="str">
        <f>IF(ISERROR(MATCH('Analysis backend'!$M$1,E4916:N4916,0)),"",'Analysis backend'!$L$1)</f>
        <v/>
      </c>
      <c r="U4916" t="str">
        <f>IF(T4916='Analysis backend'!$L$1,IF(ISERROR(MATCH('Analysis backend'!$M$1,E4916:I4916,0)),"Dire","Radiant"),"")</f>
        <v/>
      </c>
    </row>
    <row r="4917" spans="20:21" x14ac:dyDescent="0.3">
      <c r="T4917" t="str">
        <f>IF(ISERROR(MATCH('Analysis backend'!$M$1,E4917:N4917,0)),"",'Analysis backend'!$L$1)</f>
        <v/>
      </c>
      <c r="U4917" t="str">
        <f>IF(T4917='Analysis backend'!$L$1,IF(ISERROR(MATCH('Analysis backend'!$M$1,E4917:I4917,0)),"Dire","Radiant"),"")</f>
        <v/>
      </c>
    </row>
    <row r="4918" spans="20:21" x14ac:dyDescent="0.3">
      <c r="T4918" t="str">
        <f>IF(ISERROR(MATCH('Analysis backend'!$M$1,E4918:N4918,0)),"",'Analysis backend'!$L$1)</f>
        <v/>
      </c>
      <c r="U4918" t="str">
        <f>IF(T4918='Analysis backend'!$L$1,IF(ISERROR(MATCH('Analysis backend'!$M$1,E4918:I4918,0)),"Dire","Radiant"),"")</f>
        <v/>
      </c>
    </row>
    <row r="4919" spans="20:21" x14ac:dyDescent="0.3">
      <c r="T4919" t="str">
        <f>IF(ISERROR(MATCH('Analysis backend'!$M$1,E4919:N4919,0)),"",'Analysis backend'!$L$1)</f>
        <v/>
      </c>
      <c r="U4919" t="str">
        <f>IF(T4919='Analysis backend'!$L$1,IF(ISERROR(MATCH('Analysis backend'!$M$1,E4919:I4919,0)),"Dire","Radiant"),"")</f>
        <v/>
      </c>
    </row>
    <row r="4920" spans="20:21" x14ac:dyDescent="0.3">
      <c r="T4920" t="str">
        <f>IF(ISERROR(MATCH('Analysis backend'!$M$1,E4920:N4920,0)),"",'Analysis backend'!$L$1)</f>
        <v/>
      </c>
      <c r="U4920" t="str">
        <f>IF(T4920='Analysis backend'!$L$1,IF(ISERROR(MATCH('Analysis backend'!$M$1,E4920:I4920,0)),"Dire","Radiant"),"")</f>
        <v/>
      </c>
    </row>
    <row r="4921" spans="20:21" x14ac:dyDescent="0.3">
      <c r="T4921" t="str">
        <f>IF(ISERROR(MATCH('Analysis backend'!$M$1,E4921:N4921,0)),"",'Analysis backend'!$L$1)</f>
        <v/>
      </c>
      <c r="U4921" t="str">
        <f>IF(T4921='Analysis backend'!$L$1,IF(ISERROR(MATCH('Analysis backend'!$M$1,E4921:I4921,0)),"Dire","Radiant"),"")</f>
        <v/>
      </c>
    </row>
    <row r="4922" spans="20:21" x14ac:dyDescent="0.3">
      <c r="T4922" t="str">
        <f>IF(ISERROR(MATCH('Analysis backend'!$M$1,E4922:N4922,0)),"",'Analysis backend'!$L$1)</f>
        <v/>
      </c>
      <c r="U4922" t="str">
        <f>IF(T4922='Analysis backend'!$L$1,IF(ISERROR(MATCH('Analysis backend'!$M$1,E4922:I4922,0)),"Dire","Radiant"),"")</f>
        <v/>
      </c>
    </row>
    <row r="4923" spans="20:21" x14ac:dyDescent="0.3">
      <c r="T4923" t="str">
        <f>IF(ISERROR(MATCH('Analysis backend'!$M$1,E4923:N4923,0)),"",'Analysis backend'!$L$1)</f>
        <v/>
      </c>
      <c r="U4923" t="str">
        <f>IF(T4923='Analysis backend'!$L$1,IF(ISERROR(MATCH('Analysis backend'!$M$1,E4923:I4923,0)),"Dire","Radiant"),"")</f>
        <v/>
      </c>
    </row>
    <row r="4924" spans="20:21" x14ac:dyDescent="0.3">
      <c r="T4924" t="str">
        <f>IF(ISERROR(MATCH('Analysis backend'!$M$1,E4924:N4924,0)),"",'Analysis backend'!$L$1)</f>
        <v/>
      </c>
      <c r="U4924" t="str">
        <f>IF(T4924='Analysis backend'!$L$1,IF(ISERROR(MATCH('Analysis backend'!$M$1,E4924:I4924,0)),"Dire","Radiant"),"")</f>
        <v/>
      </c>
    </row>
    <row r="4925" spans="20:21" x14ac:dyDescent="0.3">
      <c r="T4925" t="str">
        <f>IF(ISERROR(MATCH('Analysis backend'!$M$1,E4925:N4925,0)),"",'Analysis backend'!$L$1)</f>
        <v/>
      </c>
      <c r="U4925" t="str">
        <f>IF(T4925='Analysis backend'!$L$1,IF(ISERROR(MATCH('Analysis backend'!$M$1,E4925:I4925,0)),"Dire","Radiant"),"")</f>
        <v/>
      </c>
    </row>
    <row r="4926" spans="20:21" x14ac:dyDescent="0.3">
      <c r="T4926" t="str">
        <f>IF(ISERROR(MATCH('Analysis backend'!$M$1,E4926:N4926,0)),"",'Analysis backend'!$L$1)</f>
        <v/>
      </c>
      <c r="U4926" t="str">
        <f>IF(T4926='Analysis backend'!$L$1,IF(ISERROR(MATCH('Analysis backend'!$M$1,E4926:I4926,0)),"Dire","Radiant"),"")</f>
        <v/>
      </c>
    </row>
    <row r="4927" spans="20:21" x14ac:dyDescent="0.3">
      <c r="T4927" t="str">
        <f>IF(ISERROR(MATCH('Analysis backend'!$M$1,E4927:N4927,0)),"",'Analysis backend'!$L$1)</f>
        <v/>
      </c>
      <c r="U4927" t="str">
        <f>IF(T4927='Analysis backend'!$L$1,IF(ISERROR(MATCH('Analysis backend'!$M$1,E4927:I4927,0)),"Dire","Radiant"),"")</f>
        <v/>
      </c>
    </row>
    <row r="4928" spans="20:21" x14ac:dyDescent="0.3">
      <c r="T4928" t="str">
        <f>IF(ISERROR(MATCH('Analysis backend'!$M$1,E4928:N4928,0)),"",'Analysis backend'!$L$1)</f>
        <v/>
      </c>
      <c r="U4928" t="str">
        <f>IF(T4928='Analysis backend'!$L$1,IF(ISERROR(MATCH('Analysis backend'!$M$1,E4928:I4928,0)),"Dire","Radiant"),"")</f>
        <v/>
      </c>
    </row>
    <row r="4929" spans="20:21" x14ac:dyDescent="0.3">
      <c r="T4929" t="str">
        <f>IF(ISERROR(MATCH('Analysis backend'!$M$1,E4929:N4929,0)),"",'Analysis backend'!$L$1)</f>
        <v/>
      </c>
      <c r="U4929" t="str">
        <f>IF(T4929='Analysis backend'!$L$1,IF(ISERROR(MATCH('Analysis backend'!$M$1,E4929:I4929,0)),"Dire","Radiant"),"")</f>
        <v/>
      </c>
    </row>
    <row r="4930" spans="20:21" x14ac:dyDescent="0.3">
      <c r="T4930" t="str">
        <f>IF(ISERROR(MATCH('Analysis backend'!$M$1,E4930:N4930,0)),"",'Analysis backend'!$L$1)</f>
        <v/>
      </c>
      <c r="U4930" t="str">
        <f>IF(T4930='Analysis backend'!$L$1,IF(ISERROR(MATCH('Analysis backend'!$M$1,E4930:I4930,0)),"Dire","Radiant"),"")</f>
        <v/>
      </c>
    </row>
    <row r="4931" spans="20:21" x14ac:dyDescent="0.3">
      <c r="T4931" t="str">
        <f>IF(ISERROR(MATCH('Analysis backend'!$M$1,E4931:N4931,0)),"",'Analysis backend'!$L$1)</f>
        <v/>
      </c>
      <c r="U4931" t="str">
        <f>IF(T4931='Analysis backend'!$L$1,IF(ISERROR(MATCH('Analysis backend'!$M$1,E4931:I4931,0)),"Dire","Radiant"),"")</f>
        <v/>
      </c>
    </row>
    <row r="4932" spans="20:21" x14ac:dyDescent="0.3">
      <c r="T4932" t="str">
        <f>IF(ISERROR(MATCH('Analysis backend'!$M$1,E4932:N4932,0)),"",'Analysis backend'!$L$1)</f>
        <v/>
      </c>
      <c r="U4932" t="str">
        <f>IF(T4932='Analysis backend'!$L$1,IF(ISERROR(MATCH('Analysis backend'!$M$1,E4932:I4932,0)),"Dire","Radiant"),"")</f>
        <v/>
      </c>
    </row>
    <row r="4933" spans="20:21" x14ac:dyDescent="0.3">
      <c r="T4933" t="str">
        <f>IF(ISERROR(MATCH('Analysis backend'!$M$1,E4933:N4933,0)),"",'Analysis backend'!$L$1)</f>
        <v/>
      </c>
      <c r="U4933" t="str">
        <f>IF(T4933='Analysis backend'!$L$1,IF(ISERROR(MATCH('Analysis backend'!$M$1,E4933:I4933,0)),"Dire","Radiant"),"")</f>
        <v/>
      </c>
    </row>
    <row r="4934" spans="20:21" x14ac:dyDescent="0.3">
      <c r="T4934" t="str">
        <f>IF(ISERROR(MATCH('Analysis backend'!$M$1,E4934:N4934,0)),"",'Analysis backend'!$L$1)</f>
        <v/>
      </c>
      <c r="U4934" t="str">
        <f>IF(T4934='Analysis backend'!$L$1,IF(ISERROR(MATCH('Analysis backend'!$M$1,E4934:I4934,0)),"Dire","Radiant"),"")</f>
        <v/>
      </c>
    </row>
    <row r="4935" spans="20:21" x14ac:dyDescent="0.3">
      <c r="T4935" t="str">
        <f>IF(ISERROR(MATCH('Analysis backend'!$M$1,E4935:N4935,0)),"",'Analysis backend'!$L$1)</f>
        <v/>
      </c>
      <c r="U4935" t="str">
        <f>IF(T4935='Analysis backend'!$L$1,IF(ISERROR(MATCH('Analysis backend'!$M$1,E4935:I4935,0)),"Dire","Radiant"),"")</f>
        <v/>
      </c>
    </row>
    <row r="4936" spans="20:21" x14ac:dyDescent="0.3">
      <c r="T4936" t="str">
        <f>IF(ISERROR(MATCH('Analysis backend'!$M$1,E4936:N4936,0)),"",'Analysis backend'!$L$1)</f>
        <v/>
      </c>
      <c r="U4936" t="str">
        <f>IF(T4936='Analysis backend'!$L$1,IF(ISERROR(MATCH('Analysis backend'!$M$1,E4936:I4936,0)),"Dire","Radiant"),"")</f>
        <v/>
      </c>
    </row>
    <row r="4937" spans="20:21" x14ac:dyDescent="0.3">
      <c r="T4937" t="str">
        <f>IF(ISERROR(MATCH('Analysis backend'!$M$1,E4937:N4937,0)),"",'Analysis backend'!$L$1)</f>
        <v/>
      </c>
      <c r="U4937" t="str">
        <f>IF(T4937='Analysis backend'!$L$1,IF(ISERROR(MATCH('Analysis backend'!$M$1,E4937:I4937,0)),"Dire","Radiant"),"")</f>
        <v/>
      </c>
    </row>
    <row r="4938" spans="20:21" x14ac:dyDescent="0.3">
      <c r="T4938" t="str">
        <f>IF(ISERROR(MATCH('Analysis backend'!$M$1,E4938:N4938,0)),"",'Analysis backend'!$L$1)</f>
        <v/>
      </c>
      <c r="U4938" t="str">
        <f>IF(T4938='Analysis backend'!$L$1,IF(ISERROR(MATCH('Analysis backend'!$M$1,E4938:I4938,0)),"Dire","Radiant"),"")</f>
        <v/>
      </c>
    </row>
    <row r="4939" spans="20:21" x14ac:dyDescent="0.3">
      <c r="T4939" t="str">
        <f>IF(ISERROR(MATCH('Analysis backend'!$M$1,E4939:N4939,0)),"",'Analysis backend'!$L$1)</f>
        <v/>
      </c>
      <c r="U4939" t="str">
        <f>IF(T4939='Analysis backend'!$L$1,IF(ISERROR(MATCH('Analysis backend'!$M$1,E4939:I4939,0)),"Dire","Radiant"),"")</f>
        <v/>
      </c>
    </row>
    <row r="4940" spans="20:21" x14ac:dyDescent="0.3">
      <c r="T4940" t="str">
        <f>IF(ISERROR(MATCH('Analysis backend'!$M$1,E4940:N4940,0)),"",'Analysis backend'!$L$1)</f>
        <v/>
      </c>
      <c r="U4940" t="str">
        <f>IF(T4940='Analysis backend'!$L$1,IF(ISERROR(MATCH('Analysis backend'!$M$1,E4940:I4940,0)),"Dire","Radiant"),"")</f>
        <v/>
      </c>
    </row>
    <row r="4941" spans="20:21" x14ac:dyDescent="0.3">
      <c r="T4941" t="str">
        <f>IF(ISERROR(MATCH('Analysis backend'!$M$1,E4941:N4941,0)),"",'Analysis backend'!$L$1)</f>
        <v/>
      </c>
      <c r="U4941" t="str">
        <f>IF(T4941='Analysis backend'!$L$1,IF(ISERROR(MATCH('Analysis backend'!$M$1,E4941:I4941,0)),"Dire","Radiant"),"")</f>
        <v/>
      </c>
    </row>
    <row r="4942" spans="20:21" x14ac:dyDescent="0.3">
      <c r="T4942" t="str">
        <f>IF(ISERROR(MATCH('Analysis backend'!$M$1,E4942:N4942,0)),"",'Analysis backend'!$L$1)</f>
        <v/>
      </c>
      <c r="U4942" t="str">
        <f>IF(T4942='Analysis backend'!$L$1,IF(ISERROR(MATCH('Analysis backend'!$M$1,E4942:I4942,0)),"Dire","Radiant"),"")</f>
        <v/>
      </c>
    </row>
    <row r="4943" spans="20:21" x14ac:dyDescent="0.3">
      <c r="T4943" t="str">
        <f>IF(ISERROR(MATCH('Analysis backend'!$M$1,E4943:N4943,0)),"",'Analysis backend'!$L$1)</f>
        <v/>
      </c>
      <c r="U4943" t="str">
        <f>IF(T4943='Analysis backend'!$L$1,IF(ISERROR(MATCH('Analysis backend'!$M$1,E4943:I4943,0)),"Dire","Radiant"),"")</f>
        <v/>
      </c>
    </row>
    <row r="4944" spans="20:21" x14ac:dyDescent="0.3">
      <c r="T4944" t="str">
        <f>IF(ISERROR(MATCH('Analysis backend'!$M$1,E4944:N4944,0)),"",'Analysis backend'!$L$1)</f>
        <v/>
      </c>
      <c r="U4944" t="str">
        <f>IF(T4944='Analysis backend'!$L$1,IF(ISERROR(MATCH('Analysis backend'!$M$1,E4944:I4944,0)),"Dire","Radiant"),"")</f>
        <v/>
      </c>
    </row>
    <row r="4945" spans="20:21" x14ac:dyDescent="0.3">
      <c r="T4945" t="str">
        <f>IF(ISERROR(MATCH('Analysis backend'!$M$1,E4945:N4945,0)),"",'Analysis backend'!$L$1)</f>
        <v/>
      </c>
      <c r="U4945" t="str">
        <f>IF(T4945='Analysis backend'!$L$1,IF(ISERROR(MATCH('Analysis backend'!$M$1,E4945:I4945,0)),"Dire","Radiant"),"")</f>
        <v/>
      </c>
    </row>
    <row r="4946" spans="20:21" x14ac:dyDescent="0.3">
      <c r="T4946" t="str">
        <f>IF(ISERROR(MATCH('Analysis backend'!$M$1,E4946:N4946,0)),"",'Analysis backend'!$L$1)</f>
        <v/>
      </c>
      <c r="U4946" t="str">
        <f>IF(T4946='Analysis backend'!$L$1,IF(ISERROR(MATCH('Analysis backend'!$M$1,E4946:I4946,0)),"Dire","Radiant"),"")</f>
        <v/>
      </c>
    </row>
    <row r="4947" spans="20:21" x14ac:dyDescent="0.3">
      <c r="T4947" t="str">
        <f>IF(ISERROR(MATCH('Analysis backend'!$M$1,E4947:N4947,0)),"",'Analysis backend'!$L$1)</f>
        <v/>
      </c>
      <c r="U4947" t="str">
        <f>IF(T4947='Analysis backend'!$L$1,IF(ISERROR(MATCH('Analysis backend'!$M$1,E4947:I4947,0)),"Dire","Radiant"),"")</f>
        <v/>
      </c>
    </row>
    <row r="4948" spans="20:21" x14ac:dyDescent="0.3">
      <c r="T4948" t="str">
        <f>IF(ISERROR(MATCH('Analysis backend'!$M$1,E4948:N4948,0)),"",'Analysis backend'!$L$1)</f>
        <v/>
      </c>
      <c r="U4948" t="str">
        <f>IF(T4948='Analysis backend'!$L$1,IF(ISERROR(MATCH('Analysis backend'!$M$1,E4948:I4948,0)),"Dire","Radiant"),"")</f>
        <v/>
      </c>
    </row>
    <row r="4949" spans="20:21" x14ac:dyDescent="0.3">
      <c r="T4949" t="str">
        <f>IF(ISERROR(MATCH('Analysis backend'!$M$1,E4949:N4949,0)),"",'Analysis backend'!$L$1)</f>
        <v/>
      </c>
      <c r="U4949" t="str">
        <f>IF(T4949='Analysis backend'!$L$1,IF(ISERROR(MATCH('Analysis backend'!$M$1,E4949:I4949,0)),"Dire","Radiant"),"")</f>
        <v/>
      </c>
    </row>
    <row r="4950" spans="20:21" x14ac:dyDescent="0.3">
      <c r="T4950" t="str">
        <f>IF(ISERROR(MATCH('Analysis backend'!$M$1,E4950:N4950,0)),"",'Analysis backend'!$L$1)</f>
        <v/>
      </c>
      <c r="U4950" t="str">
        <f>IF(T4950='Analysis backend'!$L$1,IF(ISERROR(MATCH('Analysis backend'!$M$1,E4950:I4950,0)),"Dire","Radiant"),"")</f>
        <v/>
      </c>
    </row>
    <row r="4951" spans="20:21" x14ac:dyDescent="0.3">
      <c r="T4951" t="str">
        <f>IF(ISERROR(MATCH('Analysis backend'!$M$1,E4951:N4951,0)),"",'Analysis backend'!$L$1)</f>
        <v/>
      </c>
      <c r="U4951" t="str">
        <f>IF(T4951='Analysis backend'!$L$1,IF(ISERROR(MATCH('Analysis backend'!$M$1,E4951:I4951,0)),"Dire","Radiant"),"")</f>
        <v/>
      </c>
    </row>
    <row r="4952" spans="20:21" x14ac:dyDescent="0.3">
      <c r="T4952" t="str">
        <f>IF(ISERROR(MATCH('Analysis backend'!$M$1,E4952:N4952,0)),"",'Analysis backend'!$L$1)</f>
        <v/>
      </c>
      <c r="U4952" t="str">
        <f>IF(T4952='Analysis backend'!$L$1,IF(ISERROR(MATCH('Analysis backend'!$M$1,E4952:I4952,0)),"Dire","Radiant"),"")</f>
        <v/>
      </c>
    </row>
    <row r="4953" spans="20:21" x14ac:dyDescent="0.3">
      <c r="T4953" t="str">
        <f>IF(ISERROR(MATCH('Analysis backend'!$M$1,E4953:N4953,0)),"",'Analysis backend'!$L$1)</f>
        <v/>
      </c>
      <c r="U4953" t="str">
        <f>IF(T4953='Analysis backend'!$L$1,IF(ISERROR(MATCH('Analysis backend'!$M$1,E4953:I4953,0)),"Dire","Radiant"),"")</f>
        <v/>
      </c>
    </row>
    <row r="4954" spans="20:21" x14ac:dyDescent="0.3">
      <c r="T4954" t="str">
        <f>IF(ISERROR(MATCH('Analysis backend'!$M$1,E4954:N4954,0)),"",'Analysis backend'!$L$1)</f>
        <v/>
      </c>
      <c r="U4954" t="str">
        <f>IF(T4954='Analysis backend'!$L$1,IF(ISERROR(MATCH('Analysis backend'!$M$1,E4954:I4954,0)),"Dire","Radiant"),"")</f>
        <v/>
      </c>
    </row>
    <row r="4955" spans="20:21" x14ac:dyDescent="0.3">
      <c r="T4955" t="str">
        <f>IF(ISERROR(MATCH('Analysis backend'!$M$1,E4955:N4955,0)),"",'Analysis backend'!$L$1)</f>
        <v/>
      </c>
      <c r="U4955" t="str">
        <f>IF(T4955='Analysis backend'!$L$1,IF(ISERROR(MATCH('Analysis backend'!$M$1,E4955:I4955,0)),"Dire","Radiant"),"")</f>
        <v/>
      </c>
    </row>
    <row r="4956" spans="20:21" x14ac:dyDescent="0.3">
      <c r="T4956" t="str">
        <f>IF(ISERROR(MATCH('Analysis backend'!$M$1,E4956:N4956,0)),"",'Analysis backend'!$L$1)</f>
        <v/>
      </c>
      <c r="U4956" t="str">
        <f>IF(T4956='Analysis backend'!$L$1,IF(ISERROR(MATCH('Analysis backend'!$M$1,E4956:I4956,0)),"Dire","Radiant"),"")</f>
        <v/>
      </c>
    </row>
    <row r="4957" spans="20:21" x14ac:dyDescent="0.3">
      <c r="T4957" t="str">
        <f>IF(ISERROR(MATCH('Analysis backend'!$M$1,E4957:N4957,0)),"",'Analysis backend'!$L$1)</f>
        <v/>
      </c>
      <c r="U4957" t="str">
        <f>IF(T4957='Analysis backend'!$L$1,IF(ISERROR(MATCH('Analysis backend'!$M$1,E4957:I4957,0)),"Dire","Radiant"),"")</f>
        <v/>
      </c>
    </row>
    <row r="4958" spans="20:21" x14ac:dyDescent="0.3">
      <c r="T4958" t="str">
        <f>IF(ISERROR(MATCH('Analysis backend'!$M$1,E4958:N4958,0)),"",'Analysis backend'!$L$1)</f>
        <v/>
      </c>
      <c r="U4958" t="str">
        <f>IF(T4958='Analysis backend'!$L$1,IF(ISERROR(MATCH('Analysis backend'!$M$1,E4958:I4958,0)),"Dire","Radiant"),"")</f>
        <v/>
      </c>
    </row>
    <row r="4959" spans="20:21" x14ac:dyDescent="0.3">
      <c r="T4959" t="str">
        <f>IF(ISERROR(MATCH('Analysis backend'!$M$1,E4959:N4959,0)),"",'Analysis backend'!$L$1)</f>
        <v/>
      </c>
      <c r="U4959" t="str">
        <f>IF(T4959='Analysis backend'!$L$1,IF(ISERROR(MATCH('Analysis backend'!$M$1,E4959:I4959,0)),"Dire","Radiant"),"")</f>
        <v/>
      </c>
    </row>
    <row r="4960" spans="20:21" x14ac:dyDescent="0.3">
      <c r="T4960" t="str">
        <f>IF(ISERROR(MATCH('Analysis backend'!$M$1,E4960:N4960,0)),"",'Analysis backend'!$L$1)</f>
        <v/>
      </c>
      <c r="U4960" t="str">
        <f>IF(T4960='Analysis backend'!$L$1,IF(ISERROR(MATCH('Analysis backend'!$M$1,E4960:I4960,0)),"Dire","Radiant"),"")</f>
        <v/>
      </c>
    </row>
    <row r="4961" spans="20:21" x14ac:dyDescent="0.3">
      <c r="T4961" t="str">
        <f>IF(ISERROR(MATCH('Analysis backend'!$M$1,E4961:N4961,0)),"",'Analysis backend'!$L$1)</f>
        <v/>
      </c>
      <c r="U4961" t="str">
        <f>IF(T4961='Analysis backend'!$L$1,IF(ISERROR(MATCH('Analysis backend'!$M$1,E4961:I4961,0)),"Dire","Radiant"),"")</f>
        <v/>
      </c>
    </row>
    <row r="4962" spans="20:21" x14ac:dyDescent="0.3">
      <c r="T4962" t="str">
        <f>IF(ISERROR(MATCH('Analysis backend'!$M$1,E4962:N4962,0)),"",'Analysis backend'!$L$1)</f>
        <v/>
      </c>
      <c r="U4962" t="str">
        <f>IF(T4962='Analysis backend'!$L$1,IF(ISERROR(MATCH('Analysis backend'!$M$1,E4962:I4962,0)),"Dire","Radiant"),"")</f>
        <v/>
      </c>
    </row>
    <row r="4963" spans="20:21" x14ac:dyDescent="0.3">
      <c r="T4963" t="str">
        <f>IF(ISERROR(MATCH('Analysis backend'!$M$1,E4963:N4963,0)),"",'Analysis backend'!$L$1)</f>
        <v/>
      </c>
      <c r="U4963" t="str">
        <f>IF(T4963='Analysis backend'!$L$1,IF(ISERROR(MATCH('Analysis backend'!$M$1,E4963:I4963,0)),"Dire","Radiant"),"")</f>
        <v/>
      </c>
    </row>
    <row r="4964" spans="20:21" x14ac:dyDescent="0.3">
      <c r="T4964" t="str">
        <f>IF(ISERROR(MATCH('Analysis backend'!$M$1,E4964:N4964,0)),"",'Analysis backend'!$L$1)</f>
        <v/>
      </c>
      <c r="U4964" t="str">
        <f>IF(T4964='Analysis backend'!$L$1,IF(ISERROR(MATCH('Analysis backend'!$M$1,E4964:I4964,0)),"Dire","Radiant"),"")</f>
        <v/>
      </c>
    </row>
    <row r="4965" spans="20:21" x14ac:dyDescent="0.3">
      <c r="T4965" t="str">
        <f>IF(ISERROR(MATCH('Analysis backend'!$M$1,E4965:N4965,0)),"",'Analysis backend'!$L$1)</f>
        <v/>
      </c>
      <c r="U4965" t="str">
        <f>IF(T4965='Analysis backend'!$L$1,IF(ISERROR(MATCH('Analysis backend'!$M$1,E4965:I4965,0)),"Dire","Radiant"),"")</f>
        <v/>
      </c>
    </row>
    <row r="4966" spans="20:21" x14ac:dyDescent="0.3">
      <c r="T4966" t="str">
        <f>IF(ISERROR(MATCH('Analysis backend'!$M$1,E4966:N4966,0)),"",'Analysis backend'!$L$1)</f>
        <v/>
      </c>
      <c r="U4966" t="str">
        <f>IF(T4966='Analysis backend'!$L$1,IF(ISERROR(MATCH('Analysis backend'!$M$1,E4966:I4966,0)),"Dire","Radiant"),"")</f>
        <v/>
      </c>
    </row>
    <row r="4967" spans="20:21" x14ac:dyDescent="0.3">
      <c r="T4967" t="str">
        <f>IF(ISERROR(MATCH('Analysis backend'!$M$1,E4967:N4967,0)),"",'Analysis backend'!$L$1)</f>
        <v/>
      </c>
      <c r="U4967" t="str">
        <f>IF(T4967='Analysis backend'!$L$1,IF(ISERROR(MATCH('Analysis backend'!$M$1,E4967:I4967,0)),"Dire","Radiant"),"")</f>
        <v/>
      </c>
    </row>
    <row r="4968" spans="20:21" x14ac:dyDescent="0.3">
      <c r="T4968" t="str">
        <f>IF(ISERROR(MATCH('Analysis backend'!$M$1,E4968:N4968,0)),"",'Analysis backend'!$L$1)</f>
        <v/>
      </c>
      <c r="U4968" t="str">
        <f>IF(T4968='Analysis backend'!$L$1,IF(ISERROR(MATCH('Analysis backend'!$M$1,E4968:I4968,0)),"Dire","Radiant"),"")</f>
        <v/>
      </c>
    </row>
    <row r="4969" spans="20:21" x14ac:dyDescent="0.3">
      <c r="T4969" t="str">
        <f>IF(ISERROR(MATCH('Analysis backend'!$M$1,E4969:N4969,0)),"",'Analysis backend'!$L$1)</f>
        <v/>
      </c>
      <c r="U4969" t="str">
        <f>IF(T4969='Analysis backend'!$L$1,IF(ISERROR(MATCH('Analysis backend'!$M$1,E4969:I4969,0)),"Dire","Radiant"),"")</f>
        <v/>
      </c>
    </row>
    <row r="4970" spans="20:21" x14ac:dyDescent="0.3">
      <c r="T4970" t="str">
        <f>IF(ISERROR(MATCH('Analysis backend'!$M$1,E4970:N4970,0)),"",'Analysis backend'!$L$1)</f>
        <v/>
      </c>
      <c r="U4970" t="str">
        <f>IF(T4970='Analysis backend'!$L$1,IF(ISERROR(MATCH('Analysis backend'!$M$1,E4970:I4970,0)),"Dire","Radiant"),"")</f>
        <v/>
      </c>
    </row>
    <row r="4971" spans="20:21" x14ac:dyDescent="0.3">
      <c r="T4971" t="str">
        <f>IF(ISERROR(MATCH('Analysis backend'!$M$1,E4971:N4971,0)),"",'Analysis backend'!$L$1)</f>
        <v/>
      </c>
      <c r="U4971" t="str">
        <f>IF(T4971='Analysis backend'!$L$1,IF(ISERROR(MATCH('Analysis backend'!$M$1,E4971:I4971,0)),"Dire","Radiant"),"")</f>
        <v/>
      </c>
    </row>
    <row r="4972" spans="20:21" x14ac:dyDescent="0.3">
      <c r="T4972" t="str">
        <f>IF(ISERROR(MATCH('Analysis backend'!$M$1,E4972:N4972,0)),"",'Analysis backend'!$L$1)</f>
        <v/>
      </c>
      <c r="U4972" t="str">
        <f>IF(T4972='Analysis backend'!$L$1,IF(ISERROR(MATCH('Analysis backend'!$M$1,E4972:I4972,0)),"Dire","Radiant"),"")</f>
        <v/>
      </c>
    </row>
    <row r="4973" spans="20:21" x14ac:dyDescent="0.3">
      <c r="T4973" t="str">
        <f>IF(ISERROR(MATCH('Analysis backend'!$M$1,E4973:N4973,0)),"",'Analysis backend'!$L$1)</f>
        <v/>
      </c>
      <c r="U4973" t="str">
        <f>IF(T4973='Analysis backend'!$L$1,IF(ISERROR(MATCH('Analysis backend'!$M$1,E4973:I4973,0)),"Dire","Radiant"),"")</f>
        <v/>
      </c>
    </row>
    <row r="4974" spans="20:21" x14ac:dyDescent="0.3">
      <c r="T4974" t="str">
        <f>IF(ISERROR(MATCH('Analysis backend'!$M$1,E4974:N4974,0)),"",'Analysis backend'!$L$1)</f>
        <v/>
      </c>
      <c r="U4974" t="str">
        <f>IF(T4974='Analysis backend'!$L$1,IF(ISERROR(MATCH('Analysis backend'!$M$1,E4974:I4974,0)),"Dire","Radiant"),"")</f>
        <v/>
      </c>
    </row>
    <row r="4975" spans="20:21" x14ac:dyDescent="0.3">
      <c r="T4975" t="str">
        <f>IF(ISERROR(MATCH('Analysis backend'!$M$1,E4975:N4975,0)),"",'Analysis backend'!$L$1)</f>
        <v/>
      </c>
      <c r="U4975" t="str">
        <f>IF(T4975='Analysis backend'!$L$1,IF(ISERROR(MATCH('Analysis backend'!$M$1,E4975:I4975,0)),"Dire","Radiant"),"")</f>
        <v/>
      </c>
    </row>
    <row r="4976" spans="20:21" x14ac:dyDescent="0.3">
      <c r="T4976" t="str">
        <f>IF(ISERROR(MATCH('Analysis backend'!$M$1,E4976:N4976,0)),"",'Analysis backend'!$L$1)</f>
        <v/>
      </c>
      <c r="U4976" t="str">
        <f>IF(T4976='Analysis backend'!$L$1,IF(ISERROR(MATCH('Analysis backend'!$M$1,E4976:I4976,0)),"Dire","Radiant"),"")</f>
        <v/>
      </c>
    </row>
    <row r="4977" spans="20:21" x14ac:dyDescent="0.3">
      <c r="T4977" t="str">
        <f>IF(ISERROR(MATCH('Analysis backend'!$M$1,E4977:N4977,0)),"",'Analysis backend'!$L$1)</f>
        <v/>
      </c>
      <c r="U4977" t="str">
        <f>IF(T4977='Analysis backend'!$L$1,IF(ISERROR(MATCH('Analysis backend'!$M$1,E4977:I4977,0)),"Dire","Radiant"),"")</f>
        <v/>
      </c>
    </row>
    <row r="4978" spans="20:21" x14ac:dyDescent="0.3">
      <c r="T4978" t="str">
        <f>IF(ISERROR(MATCH('Analysis backend'!$M$1,E4978:N4978,0)),"",'Analysis backend'!$L$1)</f>
        <v/>
      </c>
      <c r="U4978" t="str">
        <f>IF(T4978='Analysis backend'!$L$1,IF(ISERROR(MATCH('Analysis backend'!$M$1,E4978:I4978,0)),"Dire","Radiant"),"")</f>
        <v/>
      </c>
    </row>
    <row r="4979" spans="20:21" x14ac:dyDescent="0.3">
      <c r="T4979" t="str">
        <f>IF(ISERROR(MATCH('Analysis backend'!$M$1,E4979:N4979,0)),"",'Analysis backend'!$L$1)</f>
        <v/>
      </c>
      <c r="U4979" t="str">
        <f>IF(T4979='Analysis backend'!$L$1,IF(ISERROR(MATCH('Analysis backend'!$M$1,E4979:I4979,0)),"Dire","Radiant"),"")</f>
        <v/>
      </c>
    </row>
    <row r="4980" spans="20:21" x14ac:dyDescent="0.3">
      <c r="T4980" t="str">
        <f>IF(ISERROR(MATCH('Analysis backend'!$M$1,E4980:N4980,0)),"",'Analysis backend'!$L$1)</f>
        <v/>
      </c>
      <c r="U4980" t="str">
        <f>IF(T4980='Analysis backend'!$L$1,IF(ISERROR(MATCH('Analysis backend'!$M$1,E4980:I4980,0)),"Dire","Radiant"),"")</f>
        <v/>
      </c>
    </row>
    <row r="4981" spans="20:21" x14ac:dyDescent="0.3">
      <c r="T4981" t="str">
        <f>IF(ISERROR(MATCH('Analysis backend'!$M$1,E4981:N4981,0)),"",'Analysis backend'!$L$1)</f>
        <v/>
      </c>
      <c r="U4981" t="str">
        <f>IF(T4981='Analysis backend'!$L$1,IF(ISERROR(MATCH('Analysis backend'!$M$1,E4981:I4981,0)),"Dire","Radiant"),"")</f>
        <v/>
      </c>
    </row>
    <row r="4982" spans="20:21" x14ac:dyDescent="0.3">
      <c r="T4982" t="str">
        <f>IF(ISERROR(MATCH('Analysis backend'!$M$1,E4982:N4982,0)),"",'Analysis backend'!$L$1)</f>
        <v/>
      </c>
      <c r="U4982" t="str">
        <f>IF(T4982='Analysis backend'!$L$1,IF(ISERROR(MATCH('Analysis backend'!$M$1,E4982:I4982,0)),"Dire","Radiant"),"")</f>
        <v/>
      </c>
    </row>
    <row r="4983" spans="20:21" x14ac:dyDescent="0.3">
      <c r="T4983" t="str">
        <f>IF(ISERROR(MATCH('Analysis backend'!$M$1,E4983:N4983,0)),"",'Analysis backend'!$L$1)</f>
        <v/>
      </c>
      <c r="U4983" t="str">
        <f>IF(T4983='Analysis backend'!$L$1,IF(ISERROR(MATCH('Analysis backend'!$M$1,E4983:I4983,0)),"Dire","Radiant"),"")</f>
        <v/>
      </c>
    </row>
    <row r="4984" spans="20:21" x14ac:dyDescent="0.3">
      <c r="T4984" t="str">
        <f>IF(ISERROR(MATCH('Analysis backend'!$M$1,E4984:N4984,0)),"",'Analysis backend'!$L$1)</f>
        <v/>
      </c>
      <c r="U4984" t="str">
        <f>IF(T4984='Analysis backend'!$L$1,IF(ISERROR(MATCH('Analysis backend'!$M$1,E4984:I4984,0)),"Dire","Radiant"),"")</f>
        <v/>
      </c>
    </row>
    <row r="4985" spans="20:21" x14ac:dyDescent="0.3">
      <c r="T4985" t="str">
        <f>IF(ISERROR(MATCH('Analysis backend'!$M$1,E4985:N4985,0)),"",'Analysis backend'!$L$1)</f>
        <v/>
      </c>
      <c r="U4985" t="str">
        <f>IF(T4985='Analysis backend'!$L$1,IF(ISERROR(MATCH('Analysis backend'!$M$1,E4985:I4985,0)),"Dire","Radiant"),"")</f>
        <v/>
      </c>
    </row>
    <row r="4986" spans="20:21" x14ac:dyDescent="0.3">
      <c r="T4986" t="str">
        <f>IF(ISERROR(MATCH('Analysis backend'!$M$1,E4986:N4986,0)),"",'Analysis backend'!$L$1)</f>
        <v/>
      </c>
      <c r="U4986" t="str">
        <f>IF(T4986='Analysis backend'!$L$1,IF(ISERROR(MATCH('Analysis backend'!$M$1,E4986:I4986,0)),"Dire","Radiant"),"")</f>
        <v/>
      </c>
    </row>
    <row r="4987" spans="20:21" x14ac:dyDescent="0.3">
      <c r="T4987" t="str">
        <f>IF(ISERROR(MATCH('Analysis backend'!$M$1,E4987:N4987,0)),"",'Analysis backend'!$L$1)</f>
        <v/>
      </c>
      <c r="U4987" t="str">
        <f>IF(T4987='Analysis backend'!$L$1,IF(ISERROR(MATCH('Analysis backend'!$M$1,E4987:I4987,0)),"Dire","Radiant"),"")</f>
        <v/>
      </c>
    </row>
    <row r="4988" spans="20:21" x14ac:dyDescent="0.3">
      <c r="T4988" t="str">
        <f>IF(ISERROR(MATCH('Analysis backend'!$M$1,E4988:N4988,0)),"",'Analysis backend'!$L$1)</f>
        <v/>
      </c>
      <c r="U4988" t="str">
        <f>IF(T4988='Analysis backend'!$L$1,IF(ISERROR(MATCH('Analysis backend'!$M$1,E4988:I4988,0)),"Dire","Radiant"),"")</f>
        <v/>
      </c>
    </row>
    <row r="4989" spans="20:21" x14ac:dyDescent="0.3">
      <c r="T4989" t="str">
        <f>IF(ISERROR(MATCH('Analysis backend'!$M$1,E4989:N4989,0)),"",'Analysis backend'!$L$1)</f>
        <v/>
      </c>
      <c r="U4989" t="str">
        <f>IF(T4989='Analysis backend'!$L$1,IF(ISERROR(MATCH('Analysis backend'!$M$1,E4989:I4989,0)),"Dire","Radiant"),"")</f>
        <v/>
      </c>
    </row>
    <row r="4990" spans="20:21" x14ac:dyDescent="0.3">
      <c r="T4990" t="str">
        <f>IF(ISERROR(MATCH('Analysis backend'!$M$1,E4990:N4990,0)),"",'Analysis backend'!$L$1)</f>
        <v/>
      </c>
      <c r="U4990" t="str">
        <f>IF(T4990='Analysis backend'!$L$1,IF(ISERROR(MATCH('Analysis backend'!$M$1,E4990:I4990,0)),"Dire","Radiant"),"")</f>
        <v/>
      </c>
    </row>
    <row r="4991" spans="20:21" x14ac:dyDescent="0.3">
      <c r="T4991" t="str">
        <f>IF(ISERROR(MATCH('Analysis backend'!$M$1,E4991:N4991,0)),"",'Analysis backend'!$L$1)</f>
        <v/>
      </c>
      <c r="U4991" t="str">
        <f>IF(T4991='Analysis backend'!$L$1,IF(ISERROR(MATCH('Analysis backend'!$M$1,E4991:I4991,0)),"Dire","Radiant"),"")</f>
        <v/>
      </c>
    </row>
    <row r="4992" spans="20:21" x14ac:dyDescent="0.3">
      <c r="T4992" t="str">
        <f>IF(ISERROR(MATCH('Analysis backend'!$M$1,E4992:N4992,0)),"",'Analysis backend'!$L$1)</f>
        <v/>
      </c>
      <c r="U4992" t="str">
        <f>IF(T4992='Analysis backend'!$L$1,IF(ISERROR(MATCH('Analysis backend'!$M$1,E4992:I4992,0)),"Dire","Radiant"),"")</f>
        <v/>
      </c>
    </row>
    <row r="4993" spans="20:21" x14ac:dyDescent="0.3">
      <c r="T4993" t="str">
        <f>IF(ISERROR(MATCH('Analysis backend'!$M$1,E4993:N4993,0)),"",'Analysis backend'!$L$1)</f>
        <v/>
      </c>
      <c r="U4993" t="str">
        <f>IF(T4993='Analysis backend'!$L$1,IF(ISERROR(MATCH('Analysis backend'!$M$1,E4993:I4993,0)),"Dire","Radiant"),"")</f>
        <v/>
      </c>
    </row>
    <row r="4994" spans="20:21" x14ac:dyDescent="0.3">
      <c r="T4994" t="str">
        <f>IF(ISERROR(MATCH('Analysis backend'!$M$1,E4994:N4994,0)),"",'Analysis backend'!$L$1)</f>
        <v/>
      </c>
      <c r="U4994" t="str">
        <f>IF(T4994='Analysis backend'!$L$1,IF(ISERROR(MATCH('Analysis backend'!$M$1,E4994:I4994,0)),"Dire","Radiant"),"")</f>
        <v/>
      </c>
    </row>
    <row r="4995" spans="20:21" x14ac:dyDescent="0.3">
      <c r="T4995" t="str">
        <f>IF(ISERROR(MATCH('Analysis backend'!$M$1,E4995:N4995,0)),"",'Analysis backend'!$L$1)</f>
        <v/>
      </c>
      <c r="U4995" t="str">
        <f>IF(T4995='Analysis backend'!$L$1,IF(ISERROR(MATCH('Analysis backend'!$M$1,E4995:I4995,0)),"Dire","Radiant"),"")</f>
        <v/>
      </c>
    </row>
    <row r="4996" spans="20:21" x14ac:dyDescent="0.3">
      <c r="T4996" t="str">
        <f>IF(ISERROR(MATCH('Analysis backend'!$M$1,E4996:N4996,0)),"",'Analysis backend'!$L$1)</f>
        <v/>
      </c>
      <c r="U4996" t="str">
        <f>IF(T4996='Analysis backend'!$L$1,IF(ISERROR(MATCH('Analysis backend'!$M$1,E4996:I4996,0)),"Dire","Radiant"),"")</f>
        <v/>
      </c>
    </row>
    <row r="4997" spans="20:21" x14ac:dyDescent="0.3">
      <c r="T4997" t="str">
        <f>IF(ISERROR(MATCH('Analysis backend'!$M$1,E4997:N4997,0)),"",'Analysis backend'!$L$1)</f>
        <v/>
      </c>
      <c r="U4997" t="str">
        <f>IF(T4997='Analysis backend'!$L$1,IF(ISERROR(MATCH('Analysis backend'!$M$1,E4997:I4997,0)),"Dire","Radiant"),"")</f>
        <v/>
      </c>
    </row>
    <row r="4998" spans="20:21" x14ac:dyDescent="0.3">
      <c r="T4998" t="str">
        <f>IF(ISERROR(MATCH('Analysis backend'!$M$1,E4998:N4998,0)),"",'Analysis backend'!$L$1)</f>
        <v/>
      </c>
      <c r="U4998" t="str">
        <f>IF(T4998='Analysis backend'!$L$1,IF(ISERROR(MATCH('Analysis backend'!$M$1,E4998:I4998,0)),"Dire","Radiant"),"")</f>
        <v/>
      </c>
    </row>
    <row r="4999" spans="20:21" x14ac:dyDescent="0.3">
      <c r="T4999" t="str">
        <f>IF(ISERROR(MATCH('Analysis backend'!$M$1,E4999:N4999,0)),"",'Analysis backend'!$L$1)</f>
        <v/>
      </c>
      <c r="U4999" t="str">
        <f>IF(T4999='Analysis backend'!$L$1,IF(ISERROR(MATCH('Analysis backend'!$M$1,E4999:I4999,0)),"Dire","Radiant"),"")</f>
        <v/>
      </c>
    </row>
    <row r="5000" spans="20:21" x14ac:dyDescent="0.3">
      <c r="T5000" t="str">
        <f>IF(ISERROR(MATCH('Analysis backend'!$M$1,E5000:N5000,0)),"",'Analysis backend'!$L$1)</f>
        <v/>
      </c>
      <c r="U5000" t="str">
        <f>IF(T5000='Analysis backend'!$L$1,IF(ISERROR(MATCH('Analysis backend'!$M$1,E5000:I5000,0)),"Dire","Radiant"),"")</f>
        <v/>
      </c>
    </row>
    <row r="5001" spans="20:21" x14ac:dyDescent="0.3">
      <c r="T5001" t="str">
        <f>IF(ISERROR(MATCH('Analysis backend'!$M$1,E5001:N5001,0)),"",'Analysis backend'!$L$1)</f>
        <v/>
      </c>
      <c r="U5001" t="str">
        <f>IF(T5001='Analysis backend'!$L$1,IF(ISERROR(MATCH('Analysis backend'!$M$1,E5001:I5001,0)),"Dire","Radiant"),"")</f>
        <v/>
      </c>
    </row>
    <row r="5002" spans="20:21" x14ac:dyDescent="0.3">
      <c r="T5002" t="str">
        <f>IF(ISERROR(MATCH('Analysis backend'!$M$1,E5002:N5002,0)),"",'Analysis backend'!$L$1)</f>
        <v/>
      </c>
      <c r="U5002" t="str">
        <f>IF(T5002='Analysis backend'!$L$1,IF(ISERROR(MATCH('Analysis backend'!$M$1,E5002:I5002,0)),"Dire","Radiant"),"")</f>
        <v/>
      </c>
    </row>
    <row r="5003" spans="20:21" x14ac:dyDescent="0.3">
      <c r="T5003" t="str">
        <f>IF(ISERROR(MATCH('Analysis backend'!$M$1,E5003:N5003,0)),"",'Analysis backend'!$L$1)</f>
        <v/>
      </c>
      <c r="U5003" t="str">
        <f>IF(T5003='Analysis backend'!$L$1,IF(ISERROR(MATCH('Analysis backend'!$M$1,E5003:I5003,0)),"Dire","Radiant"),"")</f>
        <v/>
      </c>
    </row>
    <row r="5004" spans="20:21" x14ac:dyDescent="0.3">
      <c r="T5004" t="str">
        <f>IF(ISERROR(MATCH('Analysis backend'!$M$1,E5004:N5004,0)),"",'Analysis backend'!$L$1)</f>
        <v/>
      </c>
      <c r="U5004" t="str">
        <f>IF(T5004='Analysis backend'!$L$1,IF(ISERROR(MATCH('Analysis backend'!$M$1,E5004:I5004,0)),"Dire","Radiant"),"")</f>
        <v/>
      </c>
    </row>
    <row r="5005" spans="20:21" x14ac:dyDescent="0.3">
      <c r="T5005" t="str">
        <f>IF(ISERROR(MATCH('Analysis backend'!$M$1,E5005:N5005,0)),"",'Analysis backend'!$L$1)</f>
        <v/>
      </c>
      <c r="U5005" t="str">
        <f>IF(T5005='Analysis backend'!$L$1,IF(ISERROR(MATCH('Analysis backend'!$M$1,E5005:I5005,0)),"Dire","Radiant"),"")</f>
        <v/>
      </c>
    </row>
    <row r="5006" spans="20:21" x14ac:dyDescent="0.3">
      <c r="T5006" t="str">
        <f>IF(ISERROR(MATCH('Analysis backend'!$M$1,E5006:N5006,0)),"",'Analysis backend'!$L$1)</f>
        <v/>
      </c>
      <c r="U5006" t="str">
        <f>IF(T5006='Analysis backend'!$L$1,IF(ISERROR(MATCH('Analysis backend'!$M$1,E5006:I5006,0)),"Dire","Radiant"),"")</f>
        <v/>
      </c>
    </row>
    <row r="5007" spans="20:21" x14ac:dyDescent="0.3">
      <c r="T5007" t="str">
        <f>IF(ISERROR(MATCH('Analysis backend'!$M$1,E5007:N5007,0)),"",'Analysis backend'!$L$1)</f>
        <v/>
      </c>
      <c r="U5007" t="str">
        <f>IF(T5007='Analysis backend'!$L$1,IF(ISERROR(MATCH('Analysis backend'!$M$1,E5007:I5007,0)),"Dire","Radiant"),"")</f>
        <v/>
      </c>
    </row>
    <row r="5008" spans="20:21" x14ac:dyDescent="0.3">
      <c r="T5008" t="str">
        <f>IF(ISERROR(MATCH('Analysis backend'!$M$1,E5008:N5008,0)),"",'Analysis backend'!$L$1)</f>
        <v/>
      </c>
      <c r="U5008" t="str">
        <f>IF(T5008='Analysis backend'!$L$1,IF(ISERROR(MATCH('Analysis backend'!$M$1,E5008:I5008,0)),"Dire","Radiant"),"")</f>
        <v/>
      </c>
    </row>
    <row r="5009" spans="20:21" x14ac:dyDescent="0.3">
      <c r="T5009" t="str">
        <f>IF(ISERROR(MATCH('Analysis backend'!$M$1,E5009:N5009,0)),"",'Analysis backend'!$L$1)</f>
        <v/>
      </c>
      <c r="U5009" t="str">
        <f>IF(T5009='Analysis backend'!$L$1,IF(ISERROR(MATCH('Analysis backend'!$M$1,E5009:I5009,0)),"Dire","Radiant"),"")</f>
        <v/>
      </c>
    </row>
    <row r="5010" spans="20:21" x14ac:dyDescent="0.3">
      <c r="T5010" t="str">
        <f>IF(ISERROR(MATCH('Analysis backend'!$M$1,E5010:N5010,0)),"",'Analysis backend'!$L$1)</f>
        <v/>
      </c>
      <c r="U5010" t="str">
        <f>IF(T5010='Analysis backend'!$L$1,IF(ISERROR(MATCH('Analysis backend'!$M$1,E5010:I5010,0)),"Dire","Radiant"),"")</f>
        <v/>
      </c>
    </row>
    <row r="5011" spans="20:21" x14ac:dyDescent="0.3">
      <c r="T5011" t="str">
        <f>IF(ISERROR(MATCH('Analysis backend'!$M$1,E5011:N5011,0)),"",'Analysis backend'!$L$1)</f>
        <v/>
      </c>
      <c r="U5011" t="str">
        <f>IF(T5011='Analysis backend'!$L$1,IF(ISERROR(MATCH('Analysis backend'!$M$1,E5011:I5011,0)),"Dire","Radiant"),"")</f>
        <v/>
      </c>
    </row>
    <row r="5012" spans="20:21" x14ac:dyDescent="0.3">
      <c r="T5012" t="str">
        <f>IF(ISERROR(MATCH('Analysis backend'!$M$1,E5012:N5012,0)),"",'Analysis backend'!$L$1)</f>
        <v/>
      </c>
      <c r="U5012" t="str">
        <f>IF(T5012='Analysis backend'!$L$1,IF(ISERROR(MATCH('Analysis backend'!$M$1,E5012:I5012,0)),"Dire","Radiant"),"")</f>
        <v/>
      </c>
    </row>
    <row r="5013" spans="20:21" x14ac:dyDescent="0.3">
      <c r="T5013" t="str">
        <f>IF(ISERROR(MATCH('Analysis backend'!$M$1,E5013:N5013,0)),"",'Analysis backend'!$L$1)</f>
        <v/>
      </c>
      <c r="U5013" t="str">
        <f>IF(T5013='Analysis backend'!$L$1,IF(ISERROR(MATCH('Analysis backend'!$M$1,E5013:I5013,0)),"Dire","Radiant"),"")</f>
        <v/>
      </c>
    </row>
    <row r="5014" spans="20:21" x14ac:dyDescent="0.3">
      <c r="T5014" t="str">
        <f>IF(ISERROR(MATCH('Analysis backend'!$M$1,E5014:N5014,0)),"",'Analysis backend'!$L$1)</f>
        <v/>
      </c>
      <c r="U5014" t="str">
        <f>IF(T5014='Analysis backend'!$L$1,IF(ISERROR(MATCH('Analysis backend'!$M$1,E5014:I5014,0)),"Dire","Radiant"),"")</f>
        <v/>
      </c>
    </row>
    <row r="5015" spans="20:21" x14ac:dyDescent="0.3">
      <c r="T5015" t="str">
        <f>IF(ISERROR(MATCH('Analysis backend'!$M$1,E5015:N5015,0)),"",'Analysis backend'!$L$1)</f>
        <v/>
      </c>
      <c r="U5015" t="str">
        <f>IF(T5015='Analysis backend'!$L$1,IF(ISERROR(MATCH('Analysis backend'!$M$1,E5015:I5015,0)),"Dire","Radiant"),"")</f>
        <v/>
      </c>
    </row>
    <row r="5016" spans="20:21" x14ac:dyDescent="0.3">
      <c r="T5016" t="str">
        <f>IF(ISERROR(MATCH('Analysis backend'!$M$1,E5016:N5016,0)),"",'Analysis backend'!$L$1)</f>
        <v/>
      </c>
      <c r="U5016" t="str">
        <f>IF(T5016='Analysis backend'!$L$1,IF(ISERROR(MATCH('Analysis backend'!$M$1,E5016:I5016,0)),"Dire","Radiant"),"")</f>
        <v/>
      </c>
    </row>
    <row r="5017" spans="20:21" x14ac:dyDescent="0.3">
      <c r="T5017" t="str">
        <f>IF(ISERROR(MATCH('Analysis backend'!$M$1,E5017:N5017,0)),"",'Analysis backend'!$L$1)</f>
        <v/>
      </c>
      <c r="U5017" t="str">
        <f>IF(T5017='Analysis backend'!$L$1,IF(ISERROR(MATCH('Analysis backend'!$M$1,E5017:I5017,0)),"Dire","Radiant"),"")</f>
        <v/>
      </c>
    </row>
    <row r="5018" spans="20:21" x14ac:dyDescent="0.3">
      <c r="T5018" t="str">
        <f>IF(ISERROR(MATCH('Analysis backend'!$M$1,E5018:N5018,0)),"",'Analysis backend'!$L$1)</f>
        <v/>
      </c>
      <c r="U5018" t="str">
        <f>IF(T5018='Analysis backend'!$L$1,IF(ISERROR(MATCH('Analysis backend'!$M$1,E5018:I5018,0)),"Dire","Radiant"),"")</f>
        <v/>
      </c>
    </row>
    <row r="5019" spans="20:21" x14ac:dyDescent="0.3">
      <c r="T5019" t="str">
        <f>IF(ISERROR(MATCH('Analysis backend'!$M$1,E5019:N5019,0)),"",'Analysis backend'!$L$1)</f>
        <v/>
      </c>
      <c r="U5019" t="str">
        <f>IF(T5019='Analysis backend'!$L$1,IF(ISERROR(MATCH('Analysis backend'!$M$1,E5019:I5019,0)),"Dire","Radiant"),"")</f>
        <v/>
      </c>
    </row>
    <row r="5020" spans="20:21" x14ac:dyDescent="0.3">
      <c r="T5020" t="str">
        <f>IF(ISERROR(MATCH('Analysis backend'!$M$1,E5020:N5020,0)),"",'Analysis backend'!$L$1)</f>
        <v/>
      </c>
      <c r="U5020" t="str">
        <f>IF(T5020='Analysis backend'!$L$1,IF(ISERROR(MATCH('Analysis backend'!$M$1,E5020:I5020,0)),"Dire","Radiant"),"")</f>
        <v/>
      </c>
    </row>
    <row r="5021" spans="20:21" x14ac:dyDescent="0.3">
      <c r="T5021" t="str">
        <f>IF(ISERROR(MATCH('Analysis backend'!$M$1,E5021:N5021,0)),"",'Analysis backend'!$L$1)</f>
        <v/>
      </c>
      <c r="U5021" t="str">
        <f>IF(T5021='Analysis backend'!$L$1,IF(ISERROR(MATCH('Analysis backend'!$M$1,E5021:I5021,0)),"Dire","Radiant"),"")</f>
        <v/>
      </c>
    </row>
    <row r="5022" spans="20:21" x14ac:dyDescent="0.3">
      <c r="T5022" t="str">
        <f>IF(ISERROR(MATCH('Analysis backend'!$M$1,E5022:N5022,0)),"",'Analysis backend'!$L$1)</f>
        <v/>
      </c>
      <c r="U5022" t="str">
        <f>IF(T5022='Analysis backend'!$L$1,IF(ISERROR(MATCH('Analysis backend'!$M$1,E5022:I5022,0)),"Dire","Radiant"),"")</f>
        <v/>
      </c>
    </row>
    <row r="5023" spans="20:21" x14ac:dyDescent="0.3">
      <c r="T5023" t="str">
        <f>IF(ISERROR(MATCH('Analysis backend'!$M$1,E5023:N5023,0)),"",'Analysis backend'!$L$1)</f>
        <v/>
      </c>
      <c r="U5023" t="str">
        <f>IF(T5023='Analysis backend'!$L$1,IF(ISERROR(MATCH('Analysis backend'!$M$1,E5023:I5023,0)),"Dire","Radiant"),"")</f>
        <v/>
      </c>
    </row>
    <row r="5024" spans="20:21" x14ac:dyDescent="0.3">
      <c r="T5024" t="str">
        <f>IF(ISERROR(MATCH('Analysis backend'!$M$1,E5024:N5024,0)),"",'Analysis backend'!$L$1)</f>
        <v/>
      </c>
      <c r="U5024" t="str">
        <f>IF(T5024='Analysis backend'!$L$1,IF(ISERROR(MATCH('Analysis backend'!$M$1,E5024:I5024,0)),"Dire","Radiant"),"")</f>
        <v/>
      </c>
    </row>
    <row r="5025" spans="20:21" x14ac:dyDescent="0.3">
      <c r="T5025" t="str">
        <f>IF(ISERROR(MATCH('Analysis backend'!$M$1,E5025:N5025,0)),"",'Analysis backend'!$L$1)</f>
        <v/>
      </c>
      <c r="U5025" t="str">
        <f>IF(T5025='Analysis backend'!$L$1,IF(ISERROR(MATCH('Analysis backend'!$M$1,E5025:I5025,0)),"Dire","Radiant"),"")</f>
        <v/>
      </c>
    </row>
    <row r="5026" spans="20:21" x14ac:dyDescent="0.3">
      <c r="T5026" t="str">
        <f>IF(ISERROR(MATCH('Analysis backend'!$M$1,E5026:N5026,0)),"",'Analysis backend'!$L$1)</f>
        <v/>
      </c>
      <c r="U5026" t="str">
        <f>IF(T5026='Analysis backend'!$L$1,IF(ISERROR(MATCH('Analysis backend'!$M$1,E5026:I5026,0)),"Dire","Radiant"),"")</f>
        <v/>
      </c>
    </row>
    <row r="5027" spans="20:21" x14ac:dyDescent="0.3">
      <c r="T5027" t="str">
        <f>IF(ISERROR(MATCH('Analysis backend'!$M$1,E5027:N5027,0)),"",'Analysis backend'!$L$1)</f>
        <v/>
      </c>
      <c r="U5027" t="str">
        <f>IF(T5027='Analysis backend'!$L$1,IF(ISERROR(MATCH('Analysis backend'!$M$1,E5027:I5027,0)),"Dire","Radiant"),"")</f>
        <v/>
      </c>
    </row>
    <row r="5028" spans="20:21" x14ac:dyDescent="0.3">
      <c r="T5028" t="str">
        <f>IF(ISERROR(MATCH('Analysis backend'!$M$1,E5028:N5028,0)),"",'Analysis backend'!$L$1)</f>
        <v/>
      </c>
      <c r="U5028" t="str">
        <f>IF(T5028='Analysis backend'!$L$1,IF(ISERROR(MATCH('Analysis backend'!$M$1,E5028:I5028,0)),"Dire","Radiant"),"")</f>
        <v/>
      </c>
    </row>
    <row r="5029" spans="20:21" x14ac:dyDescent="0.3">
      <c r="T5029" t="str">
        <f>IF(ISERROR(MATCH('Analysis backend'!$M$1,E5029:N5029,0)),"",'Analysis backend'!$L$1)</f>
        <v/>
      </c>
      <c r="U5029" t="str">
        <f>IF(T5029='Analysis backend'!$L$1,IF(ISERROR(MATCH('Analysis backend'!$M$1,E5029:I5029,0)),"Dire","Radiant"),"")</f>
        <v/>
      </c>
    </row>
    <row r="5030" spans="20:21" x14ac:dyDescent="0.3">
      <c r="T5030" t="str">
        <f>IF(ISERROR(MATCH('Analysis backend'!$M$1,E5030:N5030,0)),"",'Analysis backend'!$L$1)</f>
        <v/>
      </c>
      <c r="U5030" t="str">
        <f>IF(T5030='Analysis backend'!$L$1,IF(ISERROR(MATCH('Analysis backend'!$M$1,E5030:I5030,0)),"Dire","Radiant"),"")</f>
        <v/>
      </c>
    </row>
    <row r="5031" spans="20:21" x14ac:dyDescent="0.3">
      <c r="T5031" t="str">
        <f>IF(ISERROR(MATCH('Analysis backend'!$M$1,E5031:N5031,0)),"",'Analysis backend'!$L$1)</f>
        <v/>
      </c>
      <c r="U5031" t="str">
        <f>IF(T5031='Analysis backend'!$L$1,IF(ISERROR(MATCH('Analysis backend'!$M$1,E5031:I5031,0)),"Dire","Radiant"),"")</f>
        <v/>
      </c>
    </row>
    <row r="5032" spans="20:21" x14ac:dyDescent="0.3">
      <c r="T5032" t="str">
        <f>IF(ISERROR(MATCH('Analysis backend'!$M$1,E5032:N5032,0)),"",'Analysis backend'!$L$1)</f>
        <v/>
      </c>
      <c r="U5032" t="str">
        <f>IF(T5032='Analysis backend'!$L$1,IF(ISERROR(MATCH('Analysis backend'!$M$1,E5032:I5032,0)),"Dire","Radiant"),"")</f>
        <v/>
      </c>
    </row>
    <row r="5033" spans="20:21" x14ac:dyDescent="0.3">
      <c r="T5033" t="str">
        <f>IF(ISERROR(MATCH('Analysis backend'!$M$1,E5033:N5033,0)),"",'Analysis backend'!$L$1)</f>
        <v/>
      </c>
      <c r="U5033" t="str">
        <f>IF(T5033='Analysis backend'!$L$1,IF(ISERROR(MATCH('Analysis backend'!$M$1,E5033:I5033,0)),"Dire","Radiant"),"")</f>
        <v/>
      </c>
    </row>
    <row r="5034" spans="20:21" x14ac:dyDescent="0.3">
      <c r="T5034" t="str">
        <f>IF(ISERROR(MATCH('Analysis backend'!$M$1,E5034:N5034,0)),"",'Analysis backend'!$L$1)</f>
        <v/>
      </c>
      <c r="U5034" t="str">
        <f>IF(T5034='Analysis backend'!$L$1,IF(ISERROR(MATCH('Analysis backend'!$M$1,E5034:I5034,0)),"Dire","Radiant"),"")</f>
        <v/>
      </c>
    </row>
    <row r="5035" spans="20:21" x14ac:dyDescent="0.3">
      <c r="T5035" t="str">
        <f>IF(ISERROR(MATCH('Analysis backend'!$M$1,E5035:N5035,0)),"",'Analysis backend'!$L$1)</f>
        <v/>
      </c>
      <c r="U5035" t="str">
        <f>IF(T5035='Analysis backend'!$L$1,IF(ISERROR(MATCH('Analysis backend'!$M$1,E5035:I5035,0)),"Dire","Radiant"),"")</f>
        <v/>
      </c>
    </row>
    <row r="5036" spans="20:21" x14ac:dyDescent="0.3">
      <c r="T5036" t="str">
        <f>IF(ISERROR(MATCH('Analysis backend'!$M$1,E5036:N5036,0)),"",'Analysis backend'!$L$1)</f>
        <v/>
      </c>
      <c r="U5036" t="str">
        <f>IF(T5036='Analysis backend'!$L$1,IF(ISERROR(MATCH('Analysis backend'!$M$1,E5036:I5036,0)),"Dire","Radiant"),"")</f>
        <v/>
      </c>
    </row>
    <row r="5037" spans="20:21" x14ac:dyDescent="0.3">
      <c r="T5037" t="str">
        <f>IF(ISERROR(MATCH('Analysis backend'!$M$1,E5037:N5037,0)),"",'Analysis backend'!$L$1)</f>
        <v/>
      </c>
      <c r="U5037" t="str">
        <f>IF(T5037='Analysis backend'!$L$1,IF(ISERROR(MATCH('Analysis backend'!$M$1,E5037:I5037,0)),"Dire","Radiant"),"")</f>
        <v/>
      </c>
    </row>
    <row r="5038" spans="20:21" x14ac:dyDescent="0.3">
      <c r="T5038" t="str">
        <f>IF(ISERROR(MATCH('Analysis backend'!$M$1,E5038:N5038,0)),"",'Analysis backend'!$L$1)</f>
        <v/>
      </c>
      <c r="U5038" t="str">
        <f>IF(T5038='Analysis backend'!$L$1,IF(ISERROR(MATCH('Analysis backend'!$M$1,E5038:I5038,0)),"Dire","Radiant"),"")</f>
        <v/>
      </c>
    </row>
    <row r="5039" spans="20:21" x14ac:dyDescent="0.3">
      <c r="T5039" t="str">
        <f>IF(ISERROR(MATCH('Analysis backend'!$M$1,E5039:N5039,0)),"",'Analysis backend'!$L$1)</f>
        <v/>
      </c>
      <c r="U5039" t="str">
        <f>IF(T5039='Analysis backend'!$L$1,IF(ISERROR(MATCH('Analysis backend'!$M$1,E5039:I5039,0)),"Dire","Radiant"),"")</f>
        <v/>
      </c>
    </row>
    <row r="5040" spans="20:21" x14ac:dyDescent="0.3">
      <c r="T5040" t="str">
        <f>IF(ISERROR(MATCH('Analysis backend'!$M$1,E5040:N5040,0)),"",'Analysis backend'!$L$1)</f>
        <v/>
      </c>
      <c r="U5040" t="str">
        <f>IF(T5040='Analysis backend'!$L$1,IF(ISERROR(MATCH('Analysis backend'!$M$1,E5040:I5040,0)),"Dire","Radiant"),"")</f>
        <v/>
      </c>
    </row>
    <row r="5041" spans="20:21" x14ac:dyDescent="0.3">
      <c r="T5041" t="str">
        <f>IF(ISERROR(MATCH('Analysis backend'!$M$1,E5041:N5041,0)),"",'Analysis backend'!$L$1)</f>
        <v/>
      </c>
      <c r="U5041" t="str">
        <f>IF(T5041='Analysis backend'!$L$1,IF(ISERROR(MATCH('Analysis backend'!$M$1,E5041:I5041,0)),"Dire","Radiant"),"")</f>
        <v/>
      </c>
    </row>
    <row r="5042" spans="20:21" x14ac:dyDescent="0.3">
      <c r="T5042" t="str">
        <f>IF(ISERROR(MATCH('Analysis backend'!$M$1,E5042:N5042,0)),"",'Analysis backend'!$L$1)</f>
        <v/>
      </c>
      <c r="U5042" t="str">
        <f>IF(T5042='Analysis backend'!$L$1,IF(ISERROR(MATCH('Analysis backend'!$M$1,E5042:I5042,0)),"Dire","Radiant"),"")</f>
        <v/>
      </c>
    </row>
    <row r="5043" spans="20:21" x14ac:dyDescent="0.3">
      <c r="T5043" t="str">
        <f>IF(ISERROR(MATCH('Analysis backend'!$M$1,E5043:N5043,0)),"",'Analysis backend'!$L$1)</f>
        <v/>
      </c>
      <c r="U5043" t="str">
        <f>IF(T5043='Analysis backend'!$L$1,IF(ISERROR(MATCH('Analysis backend'!$M$1,E5043:I5043,0)),"Dire","Radiant"),"")</f>
        <v/>
      </c>
    </row>
    <row r="5044" spans="20:21" x14ac:dyDescent="0.3">
      <c r="T5044" t="str">
        <f>IF(ISERROR(MATCH('Analysis backend'!$M$1,E5044:N5044,0)),"",'Analysis backend'!$L$1)</f>
        <v/>
      </c>
      <c r="U5044" t="str">
        <f>IF(T5044='Analysis backend'!$L$1,IF(ISERROR(MATCH('Analysis backend'!$M$1,E5044:I5044,0)),"Dire","Radiant"),"")</f>
        <v/>
      </c>
    </row>
    <row r="5045" spans="20:21" x14ac:dyDescent="0.3">
      <c r="T5045" t="str">
        <f>IF(ISERROR(MATCH('Analysis backend'!$M$1,E5045:N5045,0)),"",'Analysis backend'!$L$1)</f>
        <v/>
      </c>
      <c r="U5045" t="str">
        <f>IF(T5045='Analysis backend'!$L$1,IF(ISERROR(MATCH('Analysis backend'!$M$1,E5045:I5045,0)),"Dire","Radiant"),"")</f>
        <v/>
      </c>
    </row>
    <row r="5046" spans="20:21" x14ac:dyDescent="0.3">
      <c r="T5046" t="str">
        <f>IF(ISERROR(MATCH('Analysis backend'!$M$1,E5046:N5046,0)),"",'Analysis backend'!$L$1)</f>
        <v/>
      </c>
      <c r="U5046" t="str">
        <f>IF(T5046='Analysis backend'!$L$1,IF(ISERROR(MATCH('Analysis backend'!$M$1,E5046:I5046,0)),"Dire","Radiant"),"")</f>
        <v/>
      </c>
    </row>
    <row r="5047" spans="20:21" x14ac:dyDescent="0.3">
      <c r="T5047" t="str">
        <f>IF(ISERROR(MATCH('Analysis backend'!$M$1,E5047:N5047,0)),"",'Analysis backend'!$L$1)</f>
        <v/>
      </c>
      <c r="U5047" t="str">
        <f>IF(T5047='Analysis backend'!$L$1,IF(ISERROR(MATCH('Analysis backend'!$M$1,E5047:I5047,0)),"Dire","Radiant"),"")</f>
        <v/>
      </c>
    </row>
    <row r="5048" spans="20:21" x14ac:dyDescent="0.3">
      <c r="T5048" t="str">
        <f>IF(ISERROR(MATCH('Analysis backend'!$M$1,E5048:N5048,0)),"",'Analysis backend'!$L$1)</f>
        <v/>
      </c>
      <c r="U5048" t="str">
        <f>IF(T5048='Analysis backend'!$L$1,IF(ISERROR(MATCH('Analysis backend'!$M$1,E5048:I5048,0)),"Dire","Radiant"),"")</f>
        <v/>
      </c>
    </row>
    <row r="5049" spans="20:21" x14ac:dyDescent="0.3">
      <c r="T5049" t="str">
        <f>IF(ISERROR(MATCH('Analysis backend'!$M$1,E5049:N5049,0)),"",'Analysis backend'!$L$1)</f>
        <v/>
      </c>
      <c r="U5049" t="str">
        <f>IF(T5049='Analysis backend'!$L$1,IF(ISERROR(MATCH('Analysis backend'!$M$1,E5049:I5049,0)),"Dire","Radiant"),"")</f>
        <v/>
      </c>
    </row>
    <row r="5050" spans="20:21" x14ac:dyDescent="0.3">
      <c r="T5050" t="str">
        <f>IF(ISERROR(MATCH('Analysis backend'!$M$1,E5050:N5050,0)),"",'Analysis backend'!$L$1)</f>
        <v/>
      </c>
      <c r="U5050" t="str">
        <f>IF(T5050='Analysis backend'!$L$1,IF(ISERROR(MATCH('Analysis backend'!$M$1,E5050:I5050,0)),"Dire","Radiant"),"")</f>
        <v/>
      </c>
    </row>
    <row r="5051" spans="20:21" x14ac:dyDescent="0.3">
      <c r="T5051" t="str">
        <f>IF(ISERROR(MATCH('Analysis backend'!$M$1,E5051:N5051,0)),"",'Analysis backend'!$L$1)</f>
        <v/>
      </c>
      <c r="U5051" t="str">
        <f>IF(T5051='Analysis backend'!$L$1,IF(ISERROR(MATCH('Analysis backend'!$M$1,E5051:I5051,0)),"Dire","Radiant"),"")</f>
        <v/>
      </c>
    </row>
    <row r="5052" spans="20:21" x14ac:dyDescent="0.3">
      <c r="T5052" t="str">
        <f>IF(ISERROR(MATCH('Analysis backend'!$M$1,E5052:N5052,0)),"",'Analysis backend'!$L$1)</f>
        <v/>
      </c>
      <c r="U5052" t="str">
        <f>IF(T5052='Analysis backend'!$L$1,IF(ISERROR(MATCH('Analysis backend'!$M$1,E5052:I5052,0)),"Dire","Radiant"),"")</f>
        <v/>
      </c>
    </row>
    <row r="5053" spans="20:21" x14ac:dyDescent="0.3">
      <c r="T5053" t="str">
        <f>IF(ISERROR(MATCH('Analysis backend'!$M$1,E5053:N5053,0)),"",'Analysis backend'!$L$1)</f>
        <v/>
      </c>
      <c r="U5053" t="str">
        <f>IF(T5053='Analysis backend'!$L$1,IF(ISERROR(MATCH('Analysis backend'!$M$1,E5053:I5053,0)),"Dire","Radiant"),"")</f>
        <v/>
      </c>
    </row>
    <row r="5054" spans="20:21" x14ac:dyDescent="0.3">
      <c r="T5054" t="str">
        <f>IF(ISERROR(MATCH('Analysis backend'!$M$1,E5054:N5054,0)),"",'Analysis backend'!$L$1)</f>
        <v/>
      </c>
      <c r="U5054" t="str">
        <f>IF(T5054='Analysis backend'!$L$1,IF(ISERROR(MATCH('Analysis backend'!$M$1,E5054:I5054,0)),"Dire","Radiant"),"")</f>
        <v/>
      </c>
    </row>
    <row r="5055" spans="20:21" x14ac:dyDescent="0.3">
      <c r="T5055" t="str">
        <f>IF(ISERROR(MATCH('Analysis backend'!$M$1,E5055:N5055,0)),"",'Analysis backend'!$L$1)</f>
        <v/>
      </c>
      <c r="U5055" t="str">
        <f>IF(T5055='Analysis backend'!$L$1,IF(ISERROR(MATCH('Analysis backend'!$M$1,E5055:I5055,0)),"Dire","Radiant"),"")</f>
        <v/>
      </c>
    </row>
    <row r="5056" spans="20:21" x14ac:dyDescent="0.3">
      <c r="T5056" t="str">
        <f>IF(ISERROR(MATCH('Analysis backend'!$M$1,E5056:N5056,0)),"",'Analysis backend'!$L$1)</f>
        <v/>
      </c>
      <c r="U5056" t="str">
        <f>IF(T5056='Analysis backend'!$L$1,IF(ISERROR(MATCH('Analysis backend'!$M$1,E5056:I5056,0)),"Dire","Radiant"),"")</f>
        <v/>
      </c>
    </row>
    <row r="5057" spans="20:21" x14ac:dyDescent="0.3">
      <c r="T5057" t="str">
        <f>IF(ISERROR(MATCH('Analysis backend'!$M$1,E5057:N5057,0)),"",'Analysis backend'!$L$1)</f>
        <v/>
      </c>
      <c r="U5057" t="str">
        <f>IF(T5057='Analysis backend'!$L$1,IF(ISERROR(MATCH('Analysis backend'!$M$1,E5057:I5057,0)),"Dire","Radiant"),"")</f>
        <v/>
      </c>
    </row>
    <row r="5058" spans="20:21" x14ac:dyDescent="0.3">
      <c r="T5058" t="str">
        <f>IF(ISERROR(MATCH('Analysis backend'!$M$1,E5058:N5058,0)),"",'Analysis backend'!$L$1)</f>
        <v/>
      </c>
      <c r="U5058" t="str">
        <f>IF(T5058='Analysis backend'!$L$1,IF(ISERROR(MATCH('Analysis backend'!$M$1,E5058:I5058,0)),"Dire","Radiant"),"")</f>
        <v/>
      </c>
    </row>
    <row r="5059" spans="20:21" x14ac:dyDescent="0.3">
      <c r="T5059" t="str">
        <f>IF(ISERROR(MATCH('Analysis backend'!$M$1,E5059:N5059,0)),"",'Analysis backend'!$L$1)</f>
        <v/>
      </c>
      <c r="U5059" t="str">
        <f>IF(T5059='Analysis backend'!$L$1,IF(ISERROR(MATCH('Analysis backend'!$M$1,E5059:I5059,0)),"Dire","Radiant"),"")</f>
        <v/>
      </c>
    </row>
    <row r="5060" spans="20:21" x14ac:dyDescent="0.3">
      <c r="T5060" t="str">
        <f>IF(ISERROR(MATCH('Analysis backend'!$M$1,E5060:N5060,0)),"",'Analysis backend'!$L$1)</f>
        <v/>
      </c>
      <c r="U5060" t="str">
        <f>IF(T5060='Analysis backend'!$L$1,IF(ISERROR(MATCH('Analysis backend'!$M$1,E5060:I5060,0)),"Dire","Radiant"),"")</f>
        <v/>
      </c>
    </row>
    <row r="5061" spans="20:21" x14ac:dyDescent="0.3">
      <c r="T5061" t="str">
        <f>IF(ISERROR(MATCH('Analysis backend'!$M$1,E5061:N5061,0)),"",'Analysis backend'!$L$1)</f>
        <v/>
      </c>
      <c r="U5061" t="str">
        <f>IF(T5061='Analysis backend'!$L$1,IF(ISERROR(MATCH('Analysis backend'!$M$1,E5061:I5061,0)),"Dire","Radiant"),"")</f>
        <v/>
      </c>
    </row>
    <row r="5062" spans="20:21" x14ac:dyDescent="0.3">
      <c r="T5062" t="str">
        <f>IF(ISERROR(MATCH('Analysis backend'!$M$1,E5062:N5062,0)),"",'Analysis backend'!$L$1)</f>
        <v/>
      </c>
      <c r="U5062" t="str">
        <f>IF(T5062='Analysis backend'!$L$1,IF(ISERROR(MATCH('Analysis backend'!$M$1,E5062:I5062,0)),"Dire","Radiant"),"")</f>
        <v/>
      </c>
    </row>
    <row r="5063" spans="20:21" x14ac:dyDescent="0.3">
      <c r="T5063" t="str">
        <f>IF(ISERROR(MATCH('Analysis backend'!$M$1,E5063:N5063,0)),"",'Analysis backend'!$L$1)</f>
        <v/>
      </c>
      <c r="U5063" t="str">
        <f>IF(T5063='Analysis backend'!$L$1,IF(ISERROR(MATCH('Analysis backend'!$M$1,E5063:I5063,0)),"Dire","Radiant"),"")</f>
        <v/>
      </c>
    </row>
    <row r="5064" spans="20:21" x14ac:dyDescent="0.3">
      <c r="T5064" t="str">
        <f>IF(ISERROR(MATCH('Analysis backend'!$M$1,E5064:N5064,0)),"",'Analysis backend'!$L$1)</f>
        <v/>
      </c>
      <c r="U5064" t="str">
        <f>IF(T5064='Analysis backend'!$L$1,IF(ISERROR(MATCH('Analysis backend'!$M$1,E5064:I5064,0)),"Dire","Radiant"),"")</f>
        <v/>
      </c>
    </row>
    <row r="5065" spans="20:21" x14ac:dyDescent="0.3">
      <c r="T5065" t="str">
        <f>IF(ISERROR(MATCH('Analysis backend'!$M$1,E5065:N5065,0)),"",'Analysis backend'!$L$1)</f>
        <v/>
      </c>
      <c r="U5065" t="str">
        <f>IF(T5065='Analysis backend'!$L$1,IF(ISERROR(MATCH('Analysis backend'!$M$1,E5065:I5065,0)),"Dire","Radiant"),"")</f>
        <v/>
      </c>
    </row>
    <row r="5066" spans="20:21" x14ac:dyDescent="0.3">
      <c r="T5066" t="str">
        <f>IF(ISERROR(MATCH('Analysis backend'!$M$1,E5066:N5066,0)),"",'Analysis backend'!$L$1)</f>
        <v/>
      </c>
      <c r="U5066" t="str">
        <f>IF(T5066='Analysis backend'!$L$1,IF(ISERROR(MATCH('Analysis backend'!$M$1,E5066:I5066,0)),"Dire","Radiant"),"")</f>
        <v/>
      </c>
    </row>
    <row r="5067" spans="20:21" x14ac:dyDescent="0.3">
      <c r="T5067" t="str">
        <f>IF(ISERROR(MATCH('Analysis backend'!$M$1,E5067:N5067,0)),"",'Analysis backend'!$L$1)</f>
        <v/>
      </c>
      <c r="U5067" t="str">
        <f>IF(T5067='Analysis backend'!$L$1,IF(ISERROR(MATCH('Analysis backend'!$M$1,E5067:I5067,0)),"Dire","Radiant"),"")</f>
        <v/>
      </c>
    </row>
    <row r="5068" spans="20:21" x14ac:dyDescent="0.3">
      <c r="T5068" t="str">
        <f>IF(ISERROR(MATCH('Analysis backend'!$M$1,E5068:N5068,0)),"",'Analysis backend'!$L$1)</f>
        <v/>
      </c>
      <c r="U5068" t="str">
        <f>IF(T5068='Analysis backend'!$L$1,IF(ISERROR(MATCH('Analysis backend'!$M$1,E5068:I5068,0)),"Dire","Radiant"),"")</f>
        <v/>
      </c>
    </row>
    <row r="5069" spans="20:21" x14ac:dyDescent="0.3">
      <c r="T5069" t="str">
        <f>IF(ISERROR(MATCH('Analysis backend'!$M$1,E5069:N5069,0)),"",'Analysis backend'!$L$1)</f>
        <v/>
      </c>
      <c r="U5069" t="str">
        <f>IF(T5069='Analysis backend'!$L$1,IF(ISERROR(MATCH('Analysis backend'!$M$1,E5069:I5069,0)),"Dire","Radiant"),"")</f>
        <v/>
      </c>
    </row>
    <row r="5070" spans="20:21" x14ac:dyDescent="0.3">
      <c r="T5070" t="str">
        <f>IF(ISERROR(MATCH('Analysis backend'!$M$1,E5070:N5070,0)),"",'Analysis backend'!$L$1)</f>
        <v/>
      </c>
      <c r="U5070" t="str">
        <f>IF(T5070='Analysis backend'!$L$1,IF(ISERROR(MATCH('Analysis backend'!$M$1,E5070:I5070,0)),"Dire","Radiant"),"")</f>
        <v/>
      </c>
    </row>
    <row r="5071" spans="20:21" x14ac:dyDescent="0.3">
      <c r="T5071" t="str">
        <f>IF(ISERROR(MATCH('Analysis backend'!$M$1,E5071:N5071,0)),"",'Analysis backend'!$L$1)</f>
        <v/>
      </c>
      <c r="U5071" t="str">
        <f>IF(T5071='Analysis backend'!$L$1,IF(ISERROR(MATCH('Analysis backend'!$M$1,E5071:I5071,0)),"Dire","Radiant"),"")</f>
        <v/>
      </c>
    </row>
    <row r="5072" spans="20:21" x14ac:dyDescent="0.3">
      <c r="T5072" t="str">
        <f>IF(ISERROR(MATCH('Analysis backend'!$M$1,E5072:N5072,0)),"",'Analysis backend'!$L$1)</f>
        <v/>
      </c>
      <c r="U5072" t="str">
        <f>IF(T5072='Analysis backend'!$L$1,IF(ISERROR(MATCH('Analysis backend'!$M$1,E5072:I5072,0)),"Dire","Radiant"),"")</f>
        <v/>
      </c>
    </row>
    <row r="5073" spans="20:21" x14ac:dyDescent="0.3">
      <c r="T5073" t="str">
        <f>IF(ISERROR(MATCH('Analysis backend'!$M$1,E5073:N5073,0)),"",'Analysis backend'!$L$1)</f>
        <v/>
      </c>
      <c r="U5073" t="str">
        <f>IF(T5073='Analysis backend'!$L$1,IF(ISERROR(MATCH('Analysis backend'!$M$1,E5073:I5073,0)),"Dire","Radiant"),"")</f>
        <v/>
      </c>
    </row>
    <row r="5074" spans="20:21" x14ac:dyDescent="0.3">
      <c r="T5074" t="str">
        <f>IF(ISERROR(MATCH('Analysis backend'!$M$1,E5074:N5074,0)),"",'Analysis backend'!$L$1)</f>
        <v/>
      </c>
      <c r="U5074" t="str">
        <f>IF(T5074='Analysis backend'!$L$1,IF(ISERROR(MATCH('Analysis backend'!$M$1,E5074:I5074,0)),"Dire","Radiant"),"")</f>
        <v/>
      </c>
    </row>
    <row r="5075" spans="20:21" x14ac:dyDescent="0.3">
      <c r="T5075" t="str">
        <f>IF(ISERROR(MATCH('Analysis backend'!$M$1,E5075:N5075,0)),"",'Analysis backend'!$L$1)</f>
        <v/>
      </c>
      <c r="U5075" t="str">
        <f>IF(T5075='Analysis backend'!$L$1,IF(ISERROR(MATCH('Analysis backend'!$M$1,E5075:I5075,0)),"Dire","Radiant"),"")</f>
        <v/>
      </c>
    </row>
    <row r="5076" spans="20:21" x14ac:dyDescent="0.3">
      <c r="T5076" t="str">
        <f>IF(ISERROR(MATCH('Analysis backend'!$M$1,E5076:N5076,0)),"",'Analysis backend'!$L$1)</f>
        <v/>
      </c>
      <c r="U5076" t="str">
        <f>IF(T5076='Analysis backend'!$L$1,IF(ISERROR(MATCH('Analysis backend'!$M$1,E5076:I5076,0)),"Dire","Radiant"),"")</f>
        <v/>
      </c>
    </row>
    <row r="5077" spans="20:21" x14ac:dyDescent="0.3">
      <c r="T5077" t="str">
        <f>IF(ISERROR(MATCH('Analysis backend'!$M$1,E5077:N5077,0)),"",'Analysis backend'!$L$1)</f>
        <v/>
      </c>
      <c r="U5077" t="str">
        <f>IF(T5077='Analysis backend'!$L$1,IF(ISERROR(MATCH('Analysis backend'!$M$1,E5077:I5077,0)),"Dire","Radiant"),"")</f>
        <v/>
      </c>
    </row>
    <row r="5078" spans="20:21" x14ac:dyDescent="0.3">
      <c r="T5078" t="str">
        <f>IF(ISERROR(MATCH('Analysis backend'!$M$1,E5078:N5078,0)),"",'Analysis backend'!$L$1)</f>
        <v/>
      </c>
      <c r="U5078" t="str">
        <f>IF(T5078='Analysis backend'!$L$1,IF(ISERROR(MATCH('Analysis backend'!$M$1,E5078:I5078,0)),"Dire","Radiant"),"")</f>
        <v/>
      </c>
    </row>
    <row r="5079" spans="20:21" x14ac:dyDescent="0.3">
      <c r="T5079" t="str">
        <f>IF(ISERROR(MATCH('Analysis backend'!$M$1,E5079:N5079,0)),"",'Analysis backend'!$L$1)</f>
        <v/>
      </c>
      <c r="U5079" t="str">
        <f>IF(T5079='Analysis backend'!$L$1,IF(ISERROR(MATCH('Analysis backend'!$M$1,E5079:I5079,0)),"Dire","Radiant"),"")</f>
        <v/>
      </c>
    </row>
    <row r="5080" spans="20:21" x14ac:dyDescent="0.3">
      <c r="T5080" t="str">
        <f>IF(ISERROR(MATCH('Analysis backend'!$M$1,E5080:N5080,0)),"",'Analysis backend'!$L$1)</f>
        <v/>
      </c>
      <c r="U5080" t="str">
        <f>IF(T5080='Analysis backend'!$L$1,IF(ISERROR(MATCH('Analysis backend'!$M$1,E5080:I5080,0)),"Dire","Radiant"),"")</f>
        <v/>
      </c>
    </row>
    <row r="5081" spans="20:21" x14ac:dyDescent="0.3">
      <c r="T5081" t="str">
        <f>IF(ISERROR(MATCH('Analysis backend'!$M$1,E5081:N5081,0)),"",'Analysis backend'!$L$1)</f>
        <v/>
      </c>
      <c r="U5081" t="str">
        <f>IF(T5081='Analysis backend'!$L$1,IF(ISERROR(MATCH('Analysis backend'!$M$1,E5081:I5081,0)),"Dire","Radiant"),"")</f>
        <v/>
      </c>
    </row>
    <row r="5082" spans="20:21" x14ac:dyDescent="0.3">
      <c r="T5082" t="str">
        <f>IF(ISERROR(MATCH('Analysis backend'!$M$1,E5082:N5082,0)),"",'Analysis backend'!$L$1)</f>
        <v/>
      </c>
      <c r="U5082" t="str">
        <f>IF(T5082='Analysis backend'!$L$1,IF(ISERROR(MATCH('Analysis backend'!$M$1,E5082:I5082,0)),"Dire","Radiant"),"")</f>
        <v/>
      </c>
    </row>
    <row r="5083" spans="20:21" x14ac:dyDescent="0.3">
      <c r="T5083" t="str">
        <f>IF(ISERROR(MATCH('Analysis backend'!$M$1,E5083:N5083,0)),"",'Analysis backend'!$L$1)</f>
        <v/>
      </c>
      <c r="U5083" t="str">
        <f>IF(T5083='Analysis backend'!$L$1,IF(ISERROR(MATCH('Analysis backend'!$M$1,E5083:I5083,0)),"Dire","Radiant"),"")</f>
        <v/>
      </c>
    </row>
    <row r="5084" spans="20:21" x14ac:dyDescent="0.3">
      <c r="T5084" t="str">
        <f>IF(ISERROR(MATCH('Analysis backend'!$M$1,E5084:N5084,0)),"",'Analysis backend'!$L$1)</f>
        <v/>
      </c>
      <c r="U5084" t="str">
        <f>IF(T5084='Analysis backend'!$L$1,IF(ISERROR(MATCH('Analysis backend'!$M$1,E5084:I5084,0)),"Dire","Radiant"),"")</f>
        <v/>
      </c>
    </row>
    <row r="5085" spans="20:21" x14ac:dyDescent="0.3">
      <c r="T5085" t="str">
        <f>IF(ISERROR(MATCH('Analysis backend'!$M$1,E5085:N5085,0)),"",'Analysis backend'!$L$1)</f>
        <v/>
      </c>
      <c r="U5085" t="str">
        <f>IF(T5085='Analysis backend'!$L$1,IF(ISERROR(MATCH('Analysis backend'!$M$1,E5085:I5085,0)),"Dire","Radiant"),"")</f>
        <v/>
      </c>
    </row>
    <row r="5086" spans="20:21" x14ac:dyDescent="0.3">
      <c r="T5086" t="str">
        <f>IF(ISERROR(MATCH('Analysis backend'!$M$1,E5086:N5086,0)),"",'Analysis backend'!$L$1)</f>
        <v/>
      </c>
      <c r="U5086" t="str">
        <f>IF(T5086='Analysis backend'!$L$1,IF(ISERROR(MATCH('Analysis backend'!$M$1,E5086:I5086,0)),"Dire","Radiant"),"")</f>
        <v/>
      </c>
    </row>
    <row r="5087" spans="20:21" x14ac:dyDescent="0.3">
      <c r="T5087" t="str">
        <f>IF(ISERROR(MATCH('Analysis backend'!$M$1,E5087:N5087,0)),"",'Analysis backend'!$L$1)</f>
        <v/>
      </c>
      <c r="U5087" t="str">
        <f>IF(T5087='Analysis backend'!$L$1,IF(ISERROR(MATCH('Analysis backend'!$M$1,E5087:I5087,0)),"Dire","Radiant"),"")</f>
        <v/>
      </c>
    </row>
    <row r="5088" spans="20:21" x14ac:dyDescent="0.3">
      <c r="T5088" t="str">
        <f>IF(ISERROR(MATCH('Analysis backend'!$M$1,E5088:N5088,0)),"",'Analysis backend'!$L$1)</f>
        <v/>
      </c>
      <c r="U5088" t="str">
        <f>IF(T5088='Analysis backend'!$L$1,IF(ISERROR(MATCH('Analysis backend'!$M$1,E5088:I5088,0)),"Dire","Radiant"),"")</f>
        <v/>
      </c>
    </row>
    <row r="5089" spans="20:21" x14ac:dyDescent="0.3">
      <c r="T5089" t="str">
        <f>IF(ISERROR(MATCH('Analysis backend'!$M$1,E5089:N5089,0)),"",'Analysis backend'!$L$1)</f>
        <v/>
      </c>
      <c r="U5089" t="str">
        <f>IF(T5089='Analysis backend'!$L$1,IF(ISERROR(MATCH('Analysis backend'!$M$1,E5089:I5089,0)),"Dire","Radiant"),"")</f>
        <v/>
      </c>
    </row>
    <row r="5090" spans="20:21" x14ac:dyDescent="0.3">
      <c r="T5090" t="str">
        <f>IF(ISERROR(MATCH('Analysis backend'!$M$1,E5090:N5090,0)),"",'Analysis backend'!$L$1)</f>
        <v/>
      </c>
      <c r="U5090" t="str">
        <f>IF(T5090='Analysis backend'!$L$1,IF(ISERROR(MATCH('Analysis backend'!$M$1,E5090:I5090,0)),"Dire","Radiant"),"")</f>
        <v/>
      </c>
    </row>
    <row r="5091" spans="20:21" x14ac:dyDescent="0.3">
      <c r="T5091" t="str">
        <f>IF(ISERROR(MATCH('Analysis backend'!$M$1,E5091:N5091,0)),"",'Analysis backend'!$L$1)</f>
        <v/>
      </c>
      <c r="U5091" t="str">
        <f>IF(T5091='Analysis backend'!$L$1,IF(ISERROR(MATCH('Analysis backend'!$M$1,E5091:I5091,0)),"Dire","Radiant"),"")</f>
        <v/>
      </c>
    </row>
    <row r="5092" spans="20:21" x14ac:dyDescent="0.3">
      <c r="T5092" t="str">
        <f>IF(ISERROR(MATCH('Analysis backend'!$M$1,E5092:N5092,0)),"",'Analysis backend'!$L$1)</f>
        <v/>
      </c>
      <c r="U5092" t="str">
        <f>IF(T5092='Analysis backend'!$L$1,IF(ISERROR(MATCH('Analysis backend'!$M$1,E5092:I5092,0)),"Dire","Radiant"),"")</f>
        <v/>
      </c>
    </row>
    <row r="5093" spans="20:21" x14ac:dyDescent="0.3">
      <c r="T5093" t="str">
        <f>IF(ISERROR(MATCH('Analysis backend'!$M$1,E5093:N5093,0)),"",'Analysis backend'!$L$1)</f>
        <v/>
      </c>
      <c r="U5093" t="str">
        <f>IF(T5093='Analysis backend'!$L$1,IF(ISERROR(MATCH('Analysis backend'!$M$1,E5093:I5093,0)),"Dire","Radiant"),"")</f>
        <v/>
      </c>
    </row>
    <row r="5094" spans="20:21" x14ac:dyDescent="0.3">
      <c r="T5094" t="str">
        <f>IF(ISERROR(MATCH('Analysis backend'!$M$1,E5094:N5094,0)),"",'Analysis backend'!$L$1)</f>
        <v/>
      </c>
      <c r="U5094" t="str">
        <f>IF(T5094='Analysis backend'!$L$1,IF(ISERROR(MATCH('Analysis backend'!$M$1,E5094:I5094,0)),"Dire","Radiant"),"")</f>
        <v/>
      </c>
    </row>
    <row r="5095" spans="20:21" x14ac:dyDescent="0.3">
      <c r="T5095" t="str">
        <f>IF(ISERROR(MATCH('Analysis backend'!$M$1,E5095:N5095,0)),"",'Analysis backend'!$L$1)</f>
        <v/>
      </c>
      <c r="U5095" t="str">
        <f>IF(T5095='Analysis backend'!$L$1,IF(ISERROR(MATCH('Analysis backend'!$M$1,E5095:I5095,0)),"Dire","Radiant"),"")</f>
        <v/>
      </c>
    </row>
    <row r="5096" spans="20:21" x14ac:dyDescent="0.3">
      <c r="T5096" t="str">
        <f>IF(ISERROR(MATCH('Analysis backend'!$M$1,E5096:N5096,0)),"",'Analysis backend'!$L$1)</f>
        <v/>
      </c>
      <c r="U5096" t="str">
        <f>IF(T5096='Analysis backend'!$L$1,IF(ISERROR(MATCH('Analysis backend'!$M$1,E5096:I5096,0)),"Dire","Radiant"),"")</f>
        <v/>
      </c>
    </row>
    <row r="5097" spans="20:21" x14ac:dyDescent="0.3">
      <c r="T5097" t="str">
        <f>IF(ISERROR(MATCH('Analysis backend'!$M$1,E5097:N5097,0)),"",'Analysis backend'!$L$1)</f>
        <v/>
      </c>
      <c r="U5097" t="str">
        <f>IF(T5097='Analysis backend'!$L$1,IF(ISERROR(MATCH('Analysis backend'!$M$1,E5097:I5097,0)),"Dire","Radiant"),"")</f>
        <v/>
      </c>
    </row>
    <row r="5098" spans="20:21" x14ac:dyDescent="0.3">
      <c r="T5098" t="str">
        <f>IF(ISERROR(MATCH('Analysis backend'!$M$1,E5098:N5098,0)),"",'Analysis backend'!$L$1)</f>
        <v/>
      </c>
      <c r="U5098" t="str">
        <f>IF(T5098='Analysis backend'!$L$1,IF(ISERROR(MATCH('Analysis backend'!$M$1,E5098:I5098,0)),"Dire","Radiant"),"")</f>
        <v/>
      </c>
    </row>
    <row r="5099" spans="20:21" x14ac:dyDescent="0.3">
      <c r="T5099" t="str">
        <f>IF(ISERROR(MATCH('Analysis backend'!$M$1,E5099:N5099,0)),"",'Analysis backend'!$L$1)</f>
        <v/>
      </c>
      <c r="U5099" t="str">
        <f>IF(T5099='Analysis backend'!$L$1,IF(ISERROR(MATCH('Analysis backend'!$M$1,E5099:I5099,0)),"Dire","Radiant"),"")</f>
        <v/>
      </c>
    </row>
    <row r="5100" spans="20:21" x14ac:dyDescent="0.3">
      <c r="T5100" t="str">
        <f>IF(ISERROR(MATCH('Analysis backend'!$M$1,E5100:N5100,0)),"",'Analysis backend'!$L$1)</f>
        <v/>
      </c>
      <c r="U5100" t="str">
        <f>IF(T5100='Analysis backend'!$L$1,IF(ISERROR(MATCH('Analysis backend'!$M$1,E5100:I5100,0)),"Dire","Radiant"),"")</f>
        <v/>
      </c>
    </row>
    <row r="5101" spans="20:21" x14ac:dyDescent="0.3">
      <c r="T5101" t="str">
        <f>IF(ISERROR(MATCH('Analysis backend'!$M$1,E5101:N5101,0)),"",'Analysis backend'!$L$1)</f>
        <v/>
      </c>
      <c r="U5101" t="str">
        <f>IF(T5101='Analysis backend'!$L$1,IF(ISERROR(MATCH('Analysis backend'!$M$1,E5101:I5101,0)),"Dire","Radiant"),"")</f>
        <v/>
      </c>
    </row>
    <row r="5102" spans="20:21" x14ac:dyDescent="0.3">
      <c r="T5102" t="str">
        <f>IF(ISERROR(MATCH('Analysis backend'!$M$1,E5102:N5102,0)),"",'Analysis backend'!$L$1)</f>
        <v/>
      </c>
      <c r="U5102" t="str">
        <f>IF(T5102='Analysis backend'!$L$1,IF(ISERROR(MATCH('Analysis backend'!$M$1,E5102:I5102,0)),"Dire","Radiant"),"")</f>
        <v/>
      </c>
    </row>
    <row r="5103" spans="20:21" x14ac:dyDescent="0.3">
      <c r="T5103" t="str">
        <f>IF(ISERROR(MATCH('Analysis backend'!$M$1,E5103:N5103,0)),"",'Analysis backend'!$L$1)</f>
        <v/>
      </c>
      <c r="U5103" t="str">
        <f>IF(T5103='Analysis backend'!$L$1,IF(ISERROR(MATCH('Analysis backend'!$M$1,E5103:I5103,0)),"Dire","Radiant"),"")</f>
        <v/>
      </c>
    </row>
    <row r="5104" spans="20:21" x14ac:dyDescent="0.3">
      <c r="T5104" t="str">
        <f>IF(ISERROR(MATCH('Analysis backend'!$M$1,E5104:N5104,0)),"",'Analysis backend'!$L$1)</f>
        <v/>
      </c>
      <c r="U5104" t="str">
        <f>IF(T5104='Analysis backend'!$L$1,IF(ISERROR(MATCH('Analysis backend'!$M$1,E5104:I5104,0)),"Dire","Radiant"),"")</f>
        <v/>
      </c>
    </row>
    <row r="5105" spans="20:21" x14ac:dyDescent="0.3">
      <c r="T5105" t="str">
        <f>IF(ISERROR(MATCH('Analysis backend'!$M$1,E5105:N5105,0)),"",'Analysis backend'!$L$1)</f>
        <v/>
      </c>
      <c r="U5105" t="str">
        <f>IF(T5105='Analysis backend'!$L$1,IF(ISERROR(MATCH('Analysis backend'!$M$1,E5105:I5105,0)),"Dire","Radiant"),"")</f>
        <v/>
      </c>
    </row>
    <row r="5106" spans="20:21" x14ac:dyDescent="0.3">
      <c r="T5106" t="str">
        <f>IF(ISERROR(MATCH('Analysis backend'!$M$1,E5106:N5106,0)),"",'Analysis backend'!$L$1)</f>
        <v/>
      </c>
      <c r="U5106" t="str">
        <f>IF(T5106='Analysis backend'!$L$1,IF(ISERROR(MATCH('Analysis backend'!$M$1,E5106:I5106,0)),"Dire","Radiant"),"")</f>
        <v/>
      </c>
    </row>
    <row r="5107" spans="20:21" x14ac:dyDescent="0.3">
      <c r="T5107" t="str">
        <f>IF(ISERROR(MATCH('Analysis backend'!$M$1,E5107:N5107,0)),"",'Analysis backend'!$L$1)</f>
        <v/>
      </c>
      <c r="U5107" t="str">
        <f>IF(T5107='Analysis backend'!$L$1,IF(ISERROR(MATCH('Analysis backend'!$M$1,E5107:I5107,0)),"Dire","Radiant"),"")</f>
        <v/>
      </c>
    </row>
    <row r="5108" spans="20:21" x14ac:dyDescent="0.3">
      <c r="T5108" t="str">
        <f>IF(ISERROR(MATCH('Analysis backend'!$M$1,E5108:N5108,0)),"",'Analysis backend'!$L$1)</f>
        <v/>
      </c>
      <c r="U5108" t="str">
        <f>IF(T5108='Analysis backend'!$L$1,IF(ISERROR(MATCH('Analysis backend'!$M$1,E5108:I5108,0)),"Dire","Radiant"),"")</f>
        <v/>
      </c>
    </row>
    <row r="5109" spans="20:21" x14ac:dyDescent="0.3">
      <c r="T5109" t="str">
        <f>IF(ISERROR(MATCH('Analysis backend'!$M$1,E5109:N5109,0)),"",'Analysis backend'!$L$1)</f>
        <v/>
      </c>
      <c r="U5109" t="str">
        <f>IF(T5109='Analysis backend'!$L$1,IF(ISERROR(MATCH('Analysis backend'!$M$1,E5109:I5109,0)),"Dire","Radiant"),"")</f>
        <v/>
      </c>
    </row>
    <row r="5110" spans="20:21" x14ac:dyDescent="0.3">
      <c r="T5110" t="str">
        <f>IF(ISERROR(MATCH('Analysis backend'!$M$1,E5110:N5110,0)),"",'Analysis backend'!$L$1)</f>
        <v/>
      </c>
      <c r="U5110" t="str">
        <f>IF(T5110='Analysis backend'!$L$1,IF(ISERROR(MATCH('Analysis backend'!$M$1,E5110:I5110,0)),"Dire","Radiant"),"")</f>
        <v/>
      </c>
    </row>
    <row r="5111" spans="20:21" x14ac:dyDescent="0.3">
      <c r="T5111" t="str">
        <f>IF(ISERROR(MATCH('Analysis backend'!$M$1,E5111:N5111,0)),"",'Analysis backend'!$L$1)</f>
        <v/>
      </c>
      <c r="U5111" t="str">
        <f>IF(T5111='Analysis backend'!$L$1,IF(ISERROR(MATCH('Analysis backend'!$M$1,E5111:I5111,0)),"Dire","Radiant"),"")</f>
        <v/>
      </c>
    </row>
    <row r="5112" spans="20:21" x14ac:dyDescent="0.3">
      <c r="T5112" t="str">
        <f>IF(ISERROR(MATCH('Analysis backend'!$M$1,E5112:N5112,0)),"",'Analysis backend'!$L$1)</f>
        <v/>
      </c>
      <c r="U5112" t="str">
        <f>IF(T5112='Analysis backend'!$L$1,IF(ISERROR(MATCH('Analysis backend'!$M$1,E5112:I5112,0)),"Dire","Radiant"),"")</f>
        <v/>
      </c>
    </row>
    <row r="5113" spans="20:21" x14ac:dyDescent="0.3">
      <c r="T5113" t="str">
        <f>IF(ISERROR(MATCH('Analysis backend'!$M$1,E5113:N5113,0)),"",'Analysis backend'!$L$1)</f>
        <v/>
      </c>
      <c r="U5113" t="str">
        <f>IF(T5113='Analysis backend'!$L$1,IF(ISERROR(MATCH('Analysis backend'!$M$1,E5113:I5113,0)),"Dire","Radiant"),"")</f>
        <v/>
      </c>
    </row>
    <row r="5114" spans="20:21" x14ac:dyDescent="0.3">
      <c r="T5114" t="str">
        <f>IF(ISERROR(MATCH('Analysis backend'!$M$1,E5114:N5114,0)),"",'Analysis backend'!$L$1)</f>
        <v/>
      </c>
      <c r="U5114" t="str">
        <f>IF(T5114='Analysis backend'!$L$1,IF(ISERROR(MATCH('Analysis backend'!$M$1,E5114:I5114,0)),"Dire","Radiant"),"")</f>
        <v/>
      </c>
    </row>
    <row r="5115" spans="20:21" x14ac:dyDescent="0.3">
      <c r="T5115" t="str">
        <f>IF(ISERROR(MATCH('Analysis backend'!$M$1,E5115:N5115,0)),"",'Analysis backend'!$L$1)</f>
        <v/>
      </c>
      <c r="U5115" t="str">
        <f>IF(T5115='Analysis backend'!$L$1,IF(ISERROR(MATCH('Analysis backend'!$M$1,E5115:I5115,0)),"Dire","Radiant"),"")</f>
        <v/>
      </c>
    </row>
    <row r="5116" spans="20:21" x14ac:dyDescent="0.3">
      <c r="T5116" t="str">
        <f>IF(ISERROR(MATCH('Analysis backend'!$M$1,E5116:N5116,0)),"",'Analysis backend'!$L$1)</f>
        <v/>
      </c>
      <c r="U5116" t="str">
        <f>IF(T5116='Analysis backend'!$L$1,IF(ISERROR(MATCH('Analysis backend'!$M$1,E5116:I5116,0)),"Dire","Radiant"),"")</f>
        <v/>
      </c>
    </row>
    <row r="5117" spans="20:21" x14ac:dyDescent="0.3">
      <c r="T5117" t="str">
        <f>IF(ISERROR(MATCH('Analysis backend'!$M$1,E5117:N5117,0)),"",'Analysis backend'!$L$1)</f>
        <v/>
      </c>
      <c r="U5117" t="str">
        <f>IF(T5117='Analysis backend'!$L$1,IF(ISERROR(MATCH('Analysis backend'!$M$1,E5117:I5117,0)),"Dire","Radiant"),"")</f>
        <v/>
      </c>
    </row>
    <row r="5118" spans="20:21" x14ac:dyDescent="0.3">
      <c r="T5118" t="str">
        <f>IF(ISERROR(MATCH('Analysis backend'!$M$1,E5118:N5118,0)),"",'Analysis backend'!$L$1)</f>
        <v/>
      </c>
      <c r="U5118" t="str">
        <f>IF(T5118='Analysis backend'!$L$1,IF(ISERROR(MATCH('Analysis backend'!$M$1,E5118:I5118,0)),"Dire","Radiant"),"")</f>
        <v/>
      </c>
    </row>
    <row r="5119" spans="20:21" x14ac:dyDescent="0.3">
      <c r="T5119" t="str">
        <f>IF(ISERROR(MATCH('Analysis backend'!$M$1,E5119:N5119,0)),"",'Analysis backend'!$L$1)</f>
        <v/>
      </c>
      <c r="U5119" t="str">
        <f>IF(T5119='Analysis backend'!$L$1,IF(ISERROR(MATCH('Analysis backend'!$M$1,E5119:I5119,0)),"Dire","Radiant"),"")</f>
        <v/>
      </c>
    </row>
    <row r="5120" spans="20:21" x14ac:dyDescent="0.3">
      <c r="T5120" t="str">
        <f>IF(ISERROR(MATCH('Analysis backend'!$M$1,E5120:N5120,0)),"",'Analysis backend'!$L$1)</f>
        <v/>
      </c>
      <c r="U5120" t="str">
        <f>IF(T5120='Analysis backend'!$L$1,IF(ISERROR(MATCH('Analysis backend'!$M$1,E5120:I5120,0)),"Dire","Radiant"),"")</f>
        <v/>
      </c>
    </row>
    <row r="5121" spans="20:21" x14ac:dyDescent="0.3">
      <c r="T5121" t="str">
        <f>IF(ISERROR(MATCH('Analysis backend'!$M$1,E5121:N5121,0)),"",'Analysis backend'!$L$1)</f>
        <v/>
      </c>
      <c r="U5121" t="str">
        <f>IF(T5121='Analysis backend'!$L$1,IF(ISERROR(MATCH('Analysis backend'!$M$1,E5121:I5121,0)),"Dire","Radiant"),"")</f>
        <v/>
      </c>
    </row>
    <row r="5122" spans="20:21" x14ac:dyDescent="0.3">
      <c r="T5122" t="str">
        <f>IF(ISERROR(MATCH('Analysis backend'!$M$1,E5122:N5122,0)),"",'Analysis backend'!$L$1)</f>
        <v/>
      </c>
      <c r="U5122" t="str">
        <f>IF(T5122='Analysis backend'!$L$1,IF(ISERROR(MATCH('Analysis backend'!$M$1,E5122:I5122,0)),"Dire","Radiant"),"")</f>
        <v/>
      </c>
    </row>
    <row r="5123" spans="20:21" x14ac:dyDescent="0.3">
      <c r="T5123" t="str">
        <f>IF(ISERROR(MATCH('Analysis backend'!$M$1,E5123:N5123,0)),"",'Analysis backend'!$L$1)</f>
        <v/>
      </c>
      <c r="U5123" t="str">
        <f>IF(T5123='Analysis backend'!$L$1,IF(ISERROR(MATCH('Analysis backend'!$M$1,E5123:I5123,0)),"Dire","Radiant"),"")</f>
        <v/>
      </c>
    </row>
    <row r="5124" spans="20:21" x14ac:dyDescent="0.3">
      <c r="T5124" t="str">
        <f>IF(ISERROR(MATCH('Analysis backend'!$M$1,E5124:N5124,0)),"",'Analysis backend'!$L$1)</f>
        <v/>
      </c>
      <c r="U5124" t="str">
        <f>IF(T5124='Analysis backend'!$L$1,IF(ISERROR(MATCH('Analysis backend'!$M$1,E5124:I5124,0)),"Dire","Radiant"),"")</f>
        <v/>
      </c>
    </row>
    <row r="5125" spans="20:21" x14ac:dyDescent="0.3">
      <c r="T5125" t="str">
        <f>IF(ISERROR(MATCH('Analysis backend'!$M$1,E5125:N5125,0)),"",'Analysis backend'!$L$1)</f>
        <v/>
      </c>
      <c r="U5125" t="str">
        <f>IF(T5125='Analysis backend'!$L$1,IF(ISERROR(MATCH('Analysis backend'!$M$1,E5125:I5125,0)),"Dire","Radiant"),"")</f>
        <v/>
      </c>
    </row>
    <row r="5126" spans="20:21" x14ac:dyDescent="0.3">
      <c r="T5126" t="str">
        <f>IF(ISERROR(MATCH('Analysis backend'!$M$1,E5126:N5126,0)),"",'Analysis backend'!$L$1)</f>
        <v/>
      </c>
      <c r="U5126" t="str">
        <f>IF(T5126='Analysis backend'!$L$1,IF(ISERROR(MATCH('Analysis backend'!$M$1,E5126:I5126,0)),"Dire","Radiant"),"")</f>
        <v/>
      </c>
    </row>
    <row r="5127" spans="20:21" x14ac:dyDescent="0.3">
      <c r="T5127" t="str">
        <f>IF(ISERROR(MATCH('Analysis backend'!$M$1,E5127:N5127,0)),"",'Analysis backend'!$L$1)</f>
        <v/>
      </c>
      <c r="U5127" t="str">
        <f>IF(T5127='Analysis backend'!$L$1,IF(ISERROR(MATCH('Analysis backend'!$M$1,E5127:I5127,0)),"Dire","Radiant"),"")</f>
        <v/>
      </c>
    </row>
    <row r="5128" spans="20:21" x14ac:dyDescent="0.3">
      <c r="T5128" t="str">
        <f>IF(ISERROR(MATCH('Analysis backend'!$M$1,E5128:N5128,0)),"",'Analysis backend'!$L$1)</f>
        <v/>
      </c>
      <c r="U5128" t="str">
        <f>IF(T5128='Analysis backend'!$L$1,IF(ISERROR(MATCH('Analysis backend'!$M$1,E5128:I5128,0)),"Dire","Radiant"),"")</f>
        <v/>
      </c>
    </row>
    <row r="5129" spans="20:21" x14ac:dyDescent="0.3">
      <c r="T5129" t="str">
        <f>IF(ISERROR(MATCH('Analysis backend'!$M$1,E5129:N5129,0)),"",'Analysis backend'!$L$1)</f>
        <v/>
      </c>
      <c r="U5129" t="str">
        <f>IF(T5129='Analysis backend'!$L$1,IF(ISERROR(MATCH('Analysis backend'!$M$1,E5129:I5129,0)),"Dire","Radiant"),"")</f>
        <v/>
      </c>
    </row>
    <row r="5130" spans="20:21" x14ac:dyDescent="0.3">
      <c r="T5130" t="str">
        <f>IF(ISERROR(MATCH('Analysis backend'!$M$1,E5130:N5130,0)),"",'Analysis backend'!$L$1)</f>
        <v/>
      </c>
      <c r="U5130" t="str">
        <f>IF(T5130='Analysis backend'!$L$1,IF(ISERROR(MATCH('Analysis backend'!$M$1,E5130:I5130,0)),"Dire","Radiant"),"")</f>
        <v/>
      </c>
    </row>
    <row r="5131" spans="20:21" x14ac:dyDescent="0.3">
      <c r="T5131" t="str">
        <f>IF(ISERROR(MATCH('Analysis backend'!$M$1,E5131:N5131,0)),"",'Analysis backend'!$L$1)</f>
        <v/>
      </c>
      <c r="U5131" t="str">
        <f>IF(T5131='Analysis backend'!$L$1,IF(ISERROR(MATCH('Analysis backend'!$M$1,E5131:I5131,0)),"Dire","Radiant"),"")</f>
        <v/>
      </c>
    </row>
    <row r="5132" spans="20:21" x14ac:dyDescent="0.3">
      <c r="T5132" t="str">
        <f>IF(ISERROR(MATCH('Analysis backend'!$M$1,E5132:N5132,0)),"",'Analysis backend'!$L$1)</f>
        <v/>
      </c>
      <c r="U5132" t="str">
        <f>IF(T5132='Analysis backend'!$L$1,IF(ISERROR(MATCH('Analysis backend'!$M$1,E5132:I5132,0)),"Dire","Radiant"),"")</f>
        <v/>
      </c>
    </row>
    <row r="5133" spans="20:21" x14ac:dyDescent="0.3">
      <c r="T5133" t="str">
        <f>IF(ISERROR(MATCH('Analysis backend'!$M$1,E5133:N5133,0)),"",'Analysis backend'!$L$1)</f>
        <v/>
      </c>
      <c r="U5133" t="str">
        <f>IF(T5133='Analysis backend'!$L$1,IF(ISERROR(MATCH('Analysis backend'!$M$1,E5133:I5133,0)),"Dire","Radiant"),"")</f>
        <v/>
      </c>
    </row>
    <row r="5134" spans="20:21" x14ac:dyDescent="0.3">
      <c r="T5134" t="str">
        <f>IF(ISERROR(MATCH('Analysis backend'!$M$1,E5134:N5134,0)),"",'Analysis backend'!$L$1)</f>
        <v/>
      </c>
      <c r="U5134" t="str">
        <f>IF(T5134='Analysis backend'!$L$1,IF(ISERROR(MATCH('Analysis backend'!$M$1,E5134:I5134,0)),"Dire","Radiant"),"")</f>
        <v/>
      </c>
    </row>
    <row r="5135" spans="20:21" x14ac:dyDescent="0.3">
      <c r="T5135" t="str">
        <f>IF(ISERROR(MATCH('Analysis backend'!$M$1,E5135:N5135,0)),"",'Analysis backend'!$L$1)</f>
        <v/>
      </c>
      <c r="U5135" t="str">
        <f>IF(T5135='Analysis backend'!$L$1,IF(ISERROR(MATCH('Analysis backend'!$M$1,E5135:I5135,0)),"Dire","Radiant"),"")</f>
        <v/>
      </c>
    </row>
    <row r="5136" spans="20:21" x14ac:dyDescent="0.3">
      <c r="T5136" t="str">
        <f>IF(ISERROR(MATCH('Analysis backend'!$M$1,E5136:N5136,0)),"",'Analysis backend'!$L$1)</f>
        <v/>
      </c>
      <c r="U5136" t="str">
        <f>IF(T5136='Analysis backend'!$L$1,IF(ISERROR(MATCH('Analysis backend'!$M$1,E5136:I5136,0)),"Dire","Radiant"),"")</f>
        <v/>
      </c>
    </row>
    <row r="5137" spans="20:21" x14ac:dyDescent="0.3">
      <c r="T5137" t="str">
        <f>IF(ISERROR(MATCH('Analysis backend'!$M$1,E5137:N5137,0)),"",'Analysis backend'!$L$1)</f>
        <v/>
      </c>
      <c r="U5137" t="str">
        <f>IF(T5137='Analysis backend'!$L$1,IF(ISERROR(MATCH('Analysis backend'!$M$1,E5137:I5137,0)),"Dire","Radiant"),"")</f>
        <v/>
      </c>
    </row>
    <row r="5138" spans="20:21" x14ac:dyDescent="0.3">
      <c r="T5138" t="str">
        <f>IF(ISERROR(MATCH('Analysis backend'!$M$1,E5138:N5138,0)),"",'Analysis backend'!$L$1)</f>
        <v/>
      </c>
      <c r="U5138" t="str">
        <f>IF(T5138='Analysis backend'!$L$1,IF(ISERROR(MATCH('Analysis backend'!$M$1,E5138:I5138,0)),"Dire","Radiant"),"")</f>
        <v/>
      </c>
    </row>
    <row r="5139" spans="20:21" x14ac:dyDescent="0.3">
      <c r="T5139" t="str">
        <f>IF(ISERROR(MATCH('Analysis backend'!$M$1,E5139:N5139,0)),"",'Analysis backend'!$L$1)</f>
        <v/>
      </c>
      <c r="U5139" t="str">
        <f>IF(T5139='Analysis backend'!$L$1,IF(ISERROR(MATCH('Analysis backend'!$M$1,E5139:I5139,0)),"Dire","Radiant"),"")</f>
        <v/>
      </c>
    </row>
    <row r="5140" spans="20:21" x14ac:dyDescent="0.3">
      <c r="T5140" t="str">
        <f>IF(ISERROR(MATCH('Analysis backend'!$M$1,E5140:N5140,0)),"",'Analysis backend'!$L$1)</f>
        <v/>
      </c>
      <c r="U5140" t="str">
        <f>IF(T5140='Analysis backend'!$L$1,IF(ISERROR(MATCH('Analysis backend'!$M$1,E5140:I5140,0)),"Dire","Radiant"),"")</f>
        <v/>
      </c>
    </row>
    <row r="5141" spans="20:21" x14ac:dyDescent="0.3">
      <c r="T5141" t="str">
        <f>IF(ISERROR(MATCH('Analysis backend'!$M$1,E5141:N5141,0)),"",'Analysis backend'!$L$1)</f>
        <v/>
      </c>
      <c r="U5141" t="str">
        <f>IF(T5141='Analysis backend'!$L$1,IF(ISERROR(MATCH('Analysis backend'!$M$1,E5141:I5141,0)),"Dire","Radiant"),"")</f>
        <v/>
      </c>
    </row>
    <row r="5142" spans="20:21" x14ac:dyDescent="0.3">
      <c r="T5142" t="str">
        <f>IF(ISERROR(MATCH('Analysis backend'!$M$1,E5142:N5142,0)),"",'Analysis backend'!$L$1)</f>
        <v/>
      </c>
      <c r="U5142" t="str">
        <f>IF(T5142='Analysis backend'!$L$1,IF(ISERROR(MATCH('Analysis backend'!$M$1,E5142:I5142,0)),"Dire","Radiant"),"")</f>
        <v/>
      </c>
    </row>
    <row r="5143" spans="20:21" x14ac:dyDescent="0.3">
      <c r="T5143" t="str">
        <f>IF(ISERROR(MATCH('Analysis backend'!$M$1,E5143:N5143,0)),"",'Analysis backend'!$L$1)</f>
        <v/>
      </c>
      <c r="U5143" t="str">
        <f>IF(T5143='Analysis backend'!$L$1,IF(ISERROR(MATCH('Analysis backend'!$M$1,E5143:I5143,0)),"Dire","Radiant"),"")</f>
        <v/>
      </c>
    </row>
    <row r="5144" spans="20:21" x14ac:dyDescent="0.3">
      <c r="T5144" t="str">
        <f>IF(ISERROR(MATCH('Analysis backend'!$M$1,E5144:N5144,0)),"",'Analysis backend'!$L$1)</f>
        <v/>
      </c>
      <c r="U5144" t="str">
        <f>IF(T5144='Analysis backend'!$L$1,IF(ISERROR(MATCH('Analysis backend'!$M$1,E5144:I5144,0)),"Dire","Radiant"),"")</f>
        <v/>
      </c>
    </row>
    <row r="5145" spans="20:21" x14ac:dyDescent="0.3">
      <c r="T5145" t="str">
        <f>IF(ISERROR(MATCH('Analysis backend'!$M$1,E5145:N5145,0)),"",'Analysis backend'!$L$1)</f>
        <v/>
      </c>
      <c r="U5145" t="str">
        <f>IF(T5145='Analysis backend'!$L$1,IF(ISERROR(MATCH('Analysis backend'!$M$1,E5145:I5145,0)),"Dire","Radiant"),"")</f>
        <v/>
      </c>
    </row>
    <row r="5146" spans="20:21" x14ac:dyDescent="0.3">
      <c r="T5146" t="str">
        <f>IF(ISERROR(MATCH('Analysis backend'!$M$1,E5146:N5146,0)),"",'Analysis backend'!$L$1)</f>
        <v/>
      </c>
      <c r="U5146" t="str">
        <f>IF(T5146='Analysis backend'!$L$1,IF(ISERROR(MATCH('Analysis backend'!$M$1,E5146:I5146,0)),"Dire","Radiant"),"")</f>
        <v/>
      </c>
    </row>
    <row r="5147" spans="20:21" x14ac:dyDescent="0.3">
      <c r="T5147" t="str">
        <f>IF(ISERROR(MATCH('Analysis backend'!$M$1,E5147:N5147,0)),"",'Analysis backend'!$L$1)</f>
        <v/>
      </c>
      <c r="U5147" t="str">
        <f>IF(T5147='Analysis backend'!$L$1,IF(ISERROR(MATCH('Analysis backend'!$M$1,E5147:I5147,0)),"Dire","Radiant"),"")</f>
        <v/>
      </c>
    </row>
    <row r="5148" spans="20:21" x14ac:dyDescent="0.3">
      <c r="T5148" t="str">
        <f>IF(ISERROR(MATCH('Analysis backend'!$M$1,E5148:N5148,0)),"",'Analysis backend'!$L$1)</f>
        <v/>
      </c>
      <c r="U5148" t="str">
        <f>IF(T5148='Analysis backend'!$L$1,IF(ISERROR(MATCH('Analysis backend'!$M$1,E5148:I5148,0)),"Dire","Radiant"),"")</f>
        <v/>
      </c>
    </row>
    <row r="5149" spans="20:21" x14ac:dyDescent="0.3">
      <c r="T5149" t="str">
        <f>IF(ISERROR(MATCH('Analysis backend'!$M$1,E5149:N5149,0)),"",'Analysis backend'!$L$1)</f>
        <v/>
      </c>
      <c r="U5149" t="str">
        <f>IF(T5149='Analysis backend'!$L$1,IF(ISERROR(MATCH('Analysis backend'!$M$1,E5149:I5149,0)),"Dire","Radiant"),"")</f>
        <v/>
      </c>
    </row>
    <row r="5150" spans="20:21" x14ac:dyDescent="0.3">
      <c r="T5150" t="str">
        <f>IF(ISERROR(MATCH('Analysis backend'!$M$1,E5150:N5150,0)),"",'Analysis backend'!$L$1)</f>
        <v/>
      </c>
      <c r="U5150" t="str">
        <f>IF(T5150='Analysis backend'!$L$1,IF(ISERROR(MATCH('Analysis backend'!$M$1,E5150:I5150,0)),"Dire","Radiant"),"")</f>
        <v/>
      </c>
    </row>
    <row r="5151" spans="20:21" x14ac:dyDescent="0.3">
      <c r="T5151" t="str">
        <f>IF(ISERROR(MATCH('Analysis backend'!$M$1,E5151:N5151,0)),"",'Analysis backend'!$L$1)</f>
        <v/>
      </c>
      <c r="U5151" t="str">
        <f>IF(T5151='Analysis backend'!$L$1,IF(ISERROR(MATCH('Analysis backend'!$M$1,E5151:I5151,0)),"Dire","Radiant"),"")</f>
        <v/>
      </c>
    </row>
    <row r="5152" spans="20:21" x14ac:dyDescent="0.3">
      <c r="T5152" t="str">
        <f>IF(ISERROR(MATCH('Analysis backend'!$M$1,E5152:N5152,0)),"",'Analysis backend'!$L$1)</f>
        <v/>
      </c>
      <c r="U5152" t="str">
        <f>IF(T5152='Analysis backend'!$L$1,IF(ISERROR(MATCH('Analysis backend'!$M$1,E5152:I5152,0)),"Dire","Radiant"),"")</f>
        <v/>
      </c>
    </row>
    <row r="5153" spans="20:21" x14ac:dyDescent="0.3">
      <c r="T5153" t="str">
        <f>IF(ISERROR(MATCH('Analysis backend'!$M$1,E5153:N5153,0)),"",'Analysis backend'!$L$1)</f>
        <v/>
      </c>
      <c r="U5153" t="str">
        <f>IF(T5153='Analysis backend'!$L$1,IF(ISERROR(MATCH('Analysis backend'!$M$1,E5153:I5153,0)),"Dire","Radiant"),"")</f>
        <v/>
      </c>
    </row>
    <row r="5154" spans="20:21" x14ac:dyDescent="0.3">
      <c r="T5154" t="str">
        <f>IF(ISERROR(MATCH('Analysis backend'!$M$1,E5154:N5154,0)),"",'Analysis backend'!$L$1)</f>
        <v/>
      </c>
      <c r="U5154" t="str">
        <f>IF(T5154='Analysis backend'!$L$1,IF(ISERROR(MATCH('Analysis backend'!$M$1,E5154:I5154,0)),"Dire","Radiant"),"")</f>
        <v/>
      </c>
    </row>
    <row r="5155" spans="20:21" x14ac:dyDescent="0.3">
      <c r="T5155" t="str">
        <f>IF(ISERROR(MATCH('Analysis backend'!$M$1,E5155:N5155,0)),"",'Analysis backend'!$L$1)</f>
        <v/>
      </c>
      <c r="U5155" t="str">
        <f>IF(T5155='Analysis backend'!$L$1,IF(ISERROR(MATCH('Analysis backend'!$M$1,E5155:I5155,0)),"Dire","Radiant"),"")</f>
        <v/>
      </c>
    </row>
    <row r="5156" spans="20:21" x14ac:dyDescent="0.3">
      <c r="T5156" t="str">
        <f>IF(ISERROR(MATCH('Analysis backend'!$M$1,E5156:N5156,0)),"",'Analysis backend'!$L$1)</f>
        <v/>
      </c>
      <c r="U5156" t="str">
        <f>IF(T5156='Analysis backend'!$L$1,IF(ISERROR(MATCH('Analysis backend'!$M$1,E5156:I5156,0)),"Dire","Radiant"),"")</f>
        <v/>
      </c>
    </row>
    <row r="5157" spans="20:21" x14ac:dyDescent="0.3">
      <c r="T5157" t="str">
        <f>IF(ISERROR(MATCH('Analysis backend'!$M$1,E5157:N5157,0)),"",'Analysis backend'!$L$1)</f>
        <v/>
      </c>
      <c r="U5157" t="str">
        <f>IF(T5157='Analysis backend'!$L$1,IF(ISERROR(MATCH('Analysis backend'!$M$1,E5157:I5157,0)),"Dire","Radiant"),"")</f>
        <v/>
      </c>
    </row>
    <row r="5158" spans="20:21" x14ac:dyDescent="0.3">
      <c r="T5158" t="str">
        <f>IF(ISERROR(MATCH('Analysis backend'!$M$1,E5158:N5158,0)),"",'Analysis backend'!$L$1)</f>
        <v/>
      </c>
      <c r="U5158" t="str">
        <f>IF(T5158='Analysis backend'!$L$1,IF(ISERROR(MATCH('Analysis backend'!$M$1,E5158:I5158,0)),"Dire","Radiant"),"")</f>
        <v/>
      </c>
    </row>
    <row r="5159" spans="20:21" x14ac:dyDescent="0.3">
      <c r="T5159" t="str">
        <f>IF(ISERROR(MATCH('Analysis backend'!$M$1,E5159:N5159,0)),"",'Analysis backend'!$L$1)</f>
        <v/>
      </c>
      <c r="U5159" t="str">
        <f>IF(T5159='Analysis backend'!$L$1,IF(ISERROR(MATCH('Analysis backend'!$M$1,E5159:I5159,0)),"Dire","Radiant"),"")</f>
        <v/>
      </c>
    </row>
    <row r="5160" spans="20:21" x14ac:dyDescent="0.3">
      <c r="T5160" t="str">
        <f>IF(ISERROR(MATCH('Analysis backend'!$M$1,E5160:N5160,0)),"",'Analysis backend'!$L$1)</f>
        <v/>
      </c>
      <c r="U5160" t="str">
        <f>IF(T5160='Analysis backend'!$L$1,IF(ISERROR(MATCH('Analysis backend'!$M$1,E5160:I5160,0)),"Dire","Radiant"),"")</f>
        <v/>
      </c>
    </row>
    <row r="5161" spans="20:21" x14ac:dyDescent="0.3">
      <c r="T5161" t="str">
        <f>IF(ISERROR(MATCH('Analysis backend'!$M$1,E5161:N5161,0)),"",'Analysis backend'!$L$1)</f>
        <v/>
      </c>
      <c r="U5161" t="str">
        <f>IF(T5161='Analysis backend'!$L$1,IF(ISERROR(MATCH('Analysis backend'!$M$1,E5161:I5161,0)),"Dire","Radiant"),"")</f>
        <v/>
      </c>
    </row>
    <row r="5162" spans="20:21" x14ac:dyDescent="0.3">
      <c r="T5162" t="str">
        <f>IF(ISERROR(MATCH('Analysis backend'!$M$1,E5162:N5162,0)),"",'Analysis backend'!$L$1)</f>
        <v/>
      </c>
      <c r="U5162" t="str">
        <f>IF(T5162='Analysis backend'!$L$1,IF(ISERROR(MATCH('Analysis backend'!$M$1,E5162:I5162,0)),"Dire","Radiant"),"")</f>
        <v/>
      </c>
    </row>
    <row r="5163" spans="20:21" x14ac:dyDescent="0.3">
      <c r="T5163" t="str">
        <f>IF(ISERROR(MATCH('Analysis backend'!$M$1,E5163:N5163,0)),"",'Analysis backend'!$L$1)</f>
        <v/>
      </c>
      <c r="U5163" t="str">
        <f>IF(T5163='Analysis backend'!$L$1,IF(ISERROR(MATCH('Analysis backend'!$M$1,E5163:I5163,0)),"Dire","Radiant"),"")</f>
        <v/>
      </c>
    </row>
    <row r="5164" spans="20:21" x14ac:dyDescent="0.3">
      <c r="T5164" t="str">
        <f>IF(ISERROR(MATCH('Analysis backend'!$M$1,E5164:N5164,0)),"",'Analysis backend'!$L$1)</f>
        <v/>
      </c>
      <c r="U5164" t="str">
        <f>IF(T5164='Analysis backend'!$L$1,IF(ISERROR(MATCH('Analysis backend'!$M$1,E5164:I5164,0)),"Dire","Radiant"),"")</f>
        <v/>
      </c>
    </row>
    <row r="5165" spans="20:21" x14ac:dyDescent="0.3">
      <c r="T5165" t="str">
        <f>IF(ISERROR(MATCH('Analysis backend'!$M$1,E5165:N5165,0)),"",'Analysis backend'!$L$1)</f>
        <v/>
      </c>
      <c r="U5165" t="str">
        <f>IF(T5165='Analysis backend'!$L$1,IF(ISERROR(MATCH('Analysis backend'!$M$1,E5165:I5165,0)),"Dire","Radiant"),"")</f>
        <v/>
      </c>
    </row>
    <row r="5166" spans="20:21" x14ac:dyDescent="0.3">
      <c r="T5166" t="str">
        <f>IF(ISERROR(MATCH('Analysis backend'!$M$1,E5166:N5166,0)),"",'Analysis backend'!$L$1)</f>
        <v/>
      </c>
      <c r="U5166" t="str">
        <f>IF(T5166='Analysis backend'!$L$1,IF(ISERROR(MATCH('Analysis backend'!$M$1,E5166:I5166,0)),"Dire","Radiant"),"")</f>
        <v/>
      </c>
    </row>
    <row r="5167" spans="20:21" x14ac:dyDescent="0.3">
      <c r="T5167" t="str">
        <f>IF(ISERROR(MATCH('Analysis backend'!$M$1,E5167:N5167,0)),"",'Analysis backend'!$L$1)</f>
        <v/>
      </c>
      <c r="U5167" t="str">
        <f>IF(T5167='Analysis backend'!$L$1,IF(ISERROR(MATCH('Analysis backend'!$M$1,E5167:I5167,0)),"Dire","Radiant"),"")</f>
        <v/>
      </c>
    </row>
    <row r="5168" spans="20:21" x14ac:dyDescent="0.3">
      <c r="T5168" t="str">
        <f>IF(ISERROR(MATCH('Analysis backend'!$M$1,E5168:N5168,0)),"",'Analysis backend'!$L$1)</f>
        <v/>
      </c>
      <c r="U5168" t="str">
        <f>IF(T5168='Analysis backend'!$L$1,IF(ISERROR(MATCH('Analysis backend'!$M$1,E5168:I5168,0)),"Dire","Radiant"),"")</f>
        <v/>
      </c>
    </row>
    <row r="5169" spans="20:21" x14ac:dyDescent="0.3">
      <c r="T5169" t="str">
        <f>IF(ISERROR(MATCH('Analysis backend'!$M$1,E5169:N5169,0)),"",'Analysis backend'!$L$1)</f>
        <v/>
      </c>
      <c r="U5169" t="str">
        <f>IF(T5169='Analysis backend'!$L$1,IF(ISERROR(MATCH('Analysis backend'!$M$1,E5169:I5169,0)),"Dire","Radiant"),"")</f>
        <v/>
      </c>
    </row>
    <row r="5170" spans="20:21" x14ac:dyDescent="0.3">
      <c r="T5170" t="str">
        <f>IF(ISERROR(MATCH('Analysis backend'!$M$1,E5170:N5170,0)),"",'Analysis backend'!$L$1)</f>
        <v/>
      </c>
      <c r="U5170" t="str">
        <f>IF(T5170='Analysis backend'!$L$1,IF(ISERROR(MATCH('Analysis backend'!$M$1,E5170:I5170,0)),"Dire","Radiant"),"")</f>
        <v/>
      </c>
    </row>
    <row r="5171" spans="20:21" x14ac:dyDescent="0.3">
      <c r="T5171" t="str">
        <f>IF(ISERROR(MATCH('Analysis backend'!$M$1,E5171:N5171,0)),"",'Analysis backend'!$L$1)</f>
        <v/>
      </c>
      <c r="U5171" t="str">
        <f>IF(T5171='Analysis backend'!$L$1,IF(ISERROR(MATCH('Analysis backend'!$M$1,E5171:I5171,0)),"Dire","Radiant"),"")</f>
        <v/>
      </c>
    </row>
    <row r="5172" spans="20:21" x14ac:dyDescent="0.3">
      <c r="T5172" t="str">
        <f>IF(ISERROR(MATCH('Analysis backend'!$M$1,E5172:N5172,0)),"",'Analysis backend'!$L$1)</f>
        <v/>
      </c>
      <c r="U5172" t="str">
        <f>IF(T5172='Analysis backend'!$L$1,IF(ISERROR(MATCH('Analysis backend'!$M$1,E5172:I5172,0)),"Dire","Radiant"),"")</f>
        <v/>
      </c>
    </row>
    <row r="5173" spans="20:21" x14ac:dyDescent="0.3">
      <c r="T5173" t="str">
        <f>IF(ISERROR(MATCH('Analysis backend'!$M$1,E5173:N5173,0)),"",'Analysis backend'!$L$1)</f>
        <v/>
      </c>
      <c r="U5173" t="str">
        <f>IF(T5173='Analysis backend'!$L$1,IF(ISERROR(MATCH('Analysis backend'!$M$1,E5173:I5173,0)),"Dire","Radiant"),"")</f>
        <v/>
      </c>
    </row>
    <row r="5174" spans="20:21" x14ac:dyDescent="0.3">
      <c r="T5174" t="str">
        <f>IF(ISERROR(MATCH('Analysis backend'!$M$1,E5174:N5174,0)),"",'Analysis backend'!$L$1)</f>
        <v/>
      </c>
      <c r="U5174" t="str">
        <f>IF(T5174='Analysis backend'!$L$1,IF(ISERROR(MATCH('Analysis backend'!$M$1,E5174:I5174,0)),"Dire","Radiant"),"")</f>
        <v/>
      </c>
    </row>
    <row r="5175" spans="20:21" x14ac:dyDescent="0.3">
      <c r="T5175" t="str">
        <f>IF(ISERROR(MATCH('Analysis backend'!$M$1,E5175:N5175,0)),"",'Analysis backend'!$L$1)</f>
        <v/>
      </c>
      <c r="U5175" t="str">
        <f>IF(T5175='Analysis backend'!$L$1,IF(ISERROR(MATCH('Analysis backend'!$M$1,E5175:I5175,0)),"Dire","Radiant"),"")</f>
        <v/>
      </c>
    </row>
    <row r="5176" spans="20:21" x14ac:dyDescent="0.3">
      <c r="T5176" t="str">
        <f>IF(ISERROR(MATCH('Analysis backend'!$M$1,E5176:N5176,0)),"",'Analysis backend'!$L$1)</f>
        <v/>
      </c>
      <c r="U5176" t="str">
        <f>IF(T5176='Analysis backend'!$L$1,IF(ISERROR(MATCH('Analysis backend'!$M$1,E5176:I5176,0)),"Dire","Radiant"),"")</f>
        <v/>
      </c>
    </row>
    <row r="5177" spans="20:21" x14ac:dyDescent="0.3">
      <c r="T5177" t="str">
        <f>IF(ISERROR(MATCH('Analysis backend'!$M$1,E5177:N5177,0)),"",'Analysis backend'!$L$1)</f>
        <v/>
      </c>
      <c r="U5177" t="str">
        <f>IF(T5177='Analysis backend'!$L$1,IF(ISERROR(MATCH('Analysis backend'!$M$1,E5177:I5177,0)),"Dire","Radiant"),"")</f>
        <v/>
      </c>
    </row>
    <row r="5178" spans="20:21" x14ac:dyDescent="0.3">
      <c r="T5178" t="str">
        <f>IF(ISERROR(MATCH('Analysis backend'!$M$1,E5178:N5178,0)),"",'Analysis backend'!$L$1)</f>
        <v/>
      </c>
      <c r="U5178" t="str">
        <f>IF(T5178='Analysis backend'!$L$1,IF(ISERROR(MATCH('Analysis backend'!$M$1,E5178:I5178,0)),"Dire","Radiant"),"")</f>
        <v/>
      </c>
    </row>
    <row r="5179" spans="20:21" x14ac:dyDescent="0.3">
      <c r="T5179" t="str">
        <f>IF(ISERROR(MATCH('Analysis backend'!$M$1,E5179:N5179,0)),"",'Analysis backend'!$L$1)</f>
        <v/>
      </c>
      <c r="U5179" t="str">
        <f>IF(T5179='Analysis backend'!$L$1,IF(ISERROR(MATCH('Analysis backend'!$M$1,E5179:I5179,0)),"Dire","Radiant"),"")</f>
        <v/>
      </c>
    </row>
    <row r="5180" spans="20:21" x14ac:dyDescent="0.3">
      <c r="T5180" t="str">
        <f>IF(ISERROR(MATCH('Analysis backend'!$M$1,E5180:N5180,0)),"",'Analysis backend'!$L$1)</f>
        <v/>
      </c>
      <c r="U5180" t="str">
        <f>IF(T5180='Analysis backend'!$L$1,IF(ISERROR(MATCH('Analysis backend'!$M$1,E5180:I5180,0)),"Dire","Radiant"),"")</f>
        <v/>
      </c>
    </row>
    <row r="5181" spans="20:21" x14ac:dyDescent="0.3">
      <c r="T5181" t="str">
        <f>IF(ISERROR(MATCH('Analysis backend'!$M$1,E5181:N5181,0)),"",'Analysis backend'!$L$1)</f>
        <v/>
      </c>
      <c r="U5181" t="str">
        <f>IF(T5181='Analysis backend'!$L$1,IF(ISERROR(MATCH('Analysis backend'!$M$1,E5181:I5181,0)),"Dire","Radiant"),"")</f>
        <v/>
      </c>
    </row>
    <row r="5182" spans="20:21" x14ac:dyDescent="0.3">
      <c r="T5182" t="str">
        <f>IF(ISERROR(MATCH('Analysis backend'!$M$1,E5182:N5182,0)),"",'Analysis backend'!$L$1)</f>
        <v/>
      </c>
      <c r="U5182" t="str">
        <f>IF(T5182='Analysis backend'!$L$1,IF(ISERROR(MATCH('Analysis backend'!$M$1,E5182:I5182,0)),"Dire","Radiant"),"")</f>
        <v/>
      </c>
    </row>
    <row r="5183" spans="20:21" x14ac:dyDescent="0.3">
      <c r="T5183" t="str">
        <f>IF(ISERROR(MATCH('Analysis backend'!$M$1,E5183:N5183,0)),"",'Analysis backend'!$L$1)</f>
        <v/>
      </c>
      <c r="U5183" t="str">
        <f>IF(T5183='Analysis backend'!$L$1,IF(ISERROR(MATCH('Analysis backend'!$M$1,E5183:I5183,0)),"Dire","Radiant"),"")</f>
        <v/>
      </c>
    </row>
    <row r="5184" spans="20:21" x14ac:dyDescent="0.3">
      <c r="T5184" t="str">
        <f>IF(ISERROR(MATCH('Analysis backend'!$M$1,E5184:N5184,0)),"",'Analysis backend'!$L$1)</f>
        <v/>
      </c>
      <c r="U5184" t="str">
        <f>IF(T5184='Analysis backend'!$L$1,IF(ISERROR(MATCH('Analysis backend'!$M$1,E5184:I5184,0)),"Dire","Radiant"),"")</f>
        <v/>
      </c>
    </row>
    <row r="5185" spans="20:21" x14ac:dyDescent="0.3">
      <c r="T5185" t="str">
        <f>IF(ISERROR(MATCH('Analysis backend'!$M$1,E5185:N5185,0)),"",'Analysis backend'!$L$1)</f>
        <v/>
      </c>
      <c r="U5185" t="str">
        <f>IF(T5185='Analysis backend'!$L$1,IF(ISERROR(MATCH('Analysis backend'!$M$1,E5185:I5185,0)),"Dire","Radiant"),"")</f>
        <v/>
      </c>
    </row>
    <row r="5186" spans="20:21" x14ac:dyDescent="0.3">
      <c r="T5186" t="str">
        <f>IF(ISERROR(MATCH('Analysis backend'!$M$1,E5186:N5186,0)),"",'Analysis backend'!$L$1)</f>
        <v/>
      </c>
      <c r="U5186" t="str">
        <f>IF(T5186='Analysis backend'!$L$1,IF(ISERROR(MATCH('Analysis backend'!$M$1,E5186:I5186,0)),"Dire","Radiant"),"")</f>
        <v/>
      </c>
    </row>
    <row r="5187" spans="20:21" x14ac:dyDescent="0.3">
      <c r="T5187" t="str">
        <f>IF(ISERROR(MATCH('Analysis backend'!$M$1,E5187:N5187,0)),"",'Analysis backend'!$L$1)</f>
        <v/>
      </c>
      <c r="U5187" t="str">
        <f>IF(T5187='Analysis backend'!$L$1,IF(ISERROR(MATCH('Analysis backend'!$M$1,E5187:I5187,0)),"Dire","Radiant"),"")</f>
        <v/>
      </c>
    </row>
    <row r="5188" spans="20:21" x14ac:dyDescent="0.3">
      <c r="T5188" t="str">
        <f>IF(ISERROR(MATCH('Analysis backend'!$M$1,E5188:N5188,0)),"",'Analysis backend'!$L$1)</f>
        <v/>
      </c>
      <c r="U5188" t="str">
        <f>IF(T5188='Analysis backend'!$L$1,IF(ISERROR(MATCH('Analysis backend'!$M$1,E5188:I5188,0)),"Dire","Radiant"),"")</f>
        <v/>
      </c>
    </row>
    <row r="5189" spans="20:21" x14ac:dyDescent="0.3">
      <c r="T5189" t="str">
        <f>IF(ISERROR(MATCH('Analysis backend'!$M$1,E5189:N5189,0)),"",'Analysis backend'!$L$1)</f>
        <v/>
      </c>
      <c r="U5189" t="str">
        <f>IF(T5189='Analysis backend'!$L$1,IF(ISERROR(MATCH('Analysis backend'!$M$1,E5189:I5189,0)),"Dire","Radiant"),"")</f>
        <v/>
      </c>
    </row>
    <row r="5190" spans="20:21" x14ac:dyDescent="0.3">
      <c r="T5190" t="str">
        <f>IF(ISERROR(MATCH('Analysis backend'!$M$1,E5190:N5190,0)),"",'Analysis backend'!$L$1)</f>
        <v/>
      </c>
      <c r="U5190" t="str">
        <f>IF(T5190='Analysis backend'!$L$1,IF(ISERROR(MATCH('Analysis backend'!$M$1,E5190:I5190,0)),"Dire","Radiant"),"")</f>
        <v/>
      </c>
    </row>
    <row r="5191" spans="20:21" x14ac:dyDescent="0.3">
      <c r="T5191" t="str">
        <f>IF(ISERROR(MATCH('Analysis backend'!$M$1,E5191:N5191,0)),"",'Analysis backend'!$L$1)</f>
        <v/>
      </c>
      <c r="U5191" t="str">
        <f>IF(T5191='Analysis backend'!$L$1,IF(ISERROR(MATCH('Analysis backend'!$M$1,E5191:I5191,0)),"Dire","Radiant"),"")</f>
        <v/>
      </c>
    </row>
    <row r="5192" spans="20:21" x14ac:dyDescent="0.3">
      <c r="T5192" t="str">
        <f>IF(ISERROR(MATCH('Analysis backend'!$M$1,E5192:N5192,0)),"",'Analysis backend'!$L$1)</f>
        <v/>
      </c>
      <c r="U5192" t="str">
        <f>IF(T5192='Analysis backend'!$L$1,IF(ISERROR(MATCH('Analysis backend'!$M$1,E5192:I5192,0)),"Dire","Radiant"),"")</f>
        <v/>
      </c>
    </row>
    <row r="5193" spans="20:21" x14ac:dyDescent="0.3">
      <c r="T5193" t="str">
        <f>IF(ISERROR(MATCH('Analysis backend'!$M$1,E5193:N5193,0)),"",'Analysis backend'!$L$1)</f>
        <v/>
      </c>
      <c r="U5193" t="str">
        <f>IF(T5193='Analysis backend'!$L$1,IF(ISERROR(MATCH('Analysis backend'!$M$1,E5193:I5193,0)),"Dire","Radiant"),"")</f>
        <v/>
      </c>
    </row>
    <row r="5194" spans="20:21" x14ac:dyDescent="0.3">
      <c r="T5194" t="str">
        <f>IF(ISERROR(MATCH('Analysis backend'!$M$1,E5194:N5194,0)),"",'Analysis backend'!$L$1)</f>
        <v/>
      </c>
      <c r="U5194" t="str">
        <f>IF(T5194='Analysis backend'!$L$1,IF(ISERROR(MATCH('Analysis backend'!$M$1,E5194:I5194,0)),"Dire","Radiant"),"")</f>
        <v/>
      </c>
    </row>
    <row r="5195" spans="20:21" x14ac:dyDescent="0.3">
      <c r="T5195" t="str">
        <f>IF(ISERROR(MATCH('Analysis backend'!$M$1,E5195:N5195,0)),"",'Analysis backend'!$L$1)</f>
        <v/>
      </c>
      <c r="U5195" t="str">
        <f>IF(T5195='Analysis backend'!$L$1,IF(ISERROR(MATCH('Analysis backend'!$M$1,E5195:I5195,0)),"Dire","Radiant"),"")</f>
        <v/>
      </c>
    </row>
    <row r="5196" spans="20:21" x14ac:dyDescent="0.3">
      <c r="T5196" t="str">
        <f>IF(ISERROR(MATCH('Analysis backend'!$M$1,E5196:N5196,0)),"",'Analysis backend'!$L$1)</f>
        <v/>
      </c>
      <c r="U5196" t="str">
        <f>IF(T5196='Analysis backend'!$L$1,IF(ISERROR(MATCH('Analysis backend'!$M$1,E5196:I5196,0)),"Dire","Radiant"),"")</f>
        <v/>
      </c>
    </row>
    <row r="5197" spans="20:21" x14ac:dyDescent="0.3">
      <c r="T5197" t="str">
        <f>IF(ISERROR(MATCH('Analysis backend'!$M$1,E5197:N5197,0)),"",'Analysis backend'!$L$1)</f>
        <v/>
      </c>
      <c r="U5197" t="str">
        <f>IF(T5197='Analysis backend'!$L$1,IF(ISERROR(MATCH('Analysis backend'!$M$1,E5197:I5197,0)),"Dire","Radiant"),"")</f>
        <v/>
      </c>
    </row>
    <row r="5198" spans="20:21" x14ac:dyDescent="0.3">
      <c r="T5198" t="str">
        <f>IF(ISERROR(MATCH('Analysis backend'!$M$1,E5198:N5198,0)),"",'Analysis backend'!$L$1)</f>
        <v/>
      </c>
      <c r="U5198" t="str">
        <f>IF(T5198='Analysis backend'!$L$1,IF(ISERROR(MATCH('Analysis backend'!$M$1,E5198:I5198,0)),"Dire","Radiant"),"")</f>
        <v/>
      </c>
    </row>
    <row r="5199" spans="20:21" x14ac:dyDescent="0.3">
      <c r="T5199" t="str">
        <f>IF(ISERROR(MATCH('Analysis backend'!$M$1,E5199:N5199,0)),"",'Analysis backend'!$L$1)</f>
        <v/>
      </c>
      <c r="U5199" t="str">
        <f>IF(T5199='Analysis backend'!$L$1,IF(ISERROR(MATCH('Analysis backend'!$M$1,E5199:I5199,0)),"Dire","Radiant"),"")</f>
        <v/>
      </c>
    </row>
    <row r="5200" spans="20:21" x14ac:dyDescent="0.3">
      <c r="T5200" t="str">
        <f>IF(ISERROR(MATCH('Analysis backend'!$M$1,E5200:N5200,0)),"",'Analysis backend'!$L$1)</f>
        <v/>
      </c>
      <c r="U5200" t="str">
        <f>IF(T5200='Analysis backend'!$L$1,IF(ISERROR(MATCH('Analysis backend'!$M$1,E5200:I5200,0)),"Dire","Radiant"),"")</f>
        <v/>
      </c>
    </row>
    <row r="5201" spans="20:21" x14ac:dyDescent="0.3">
      <c r="T5201" t="str">
        <f>IF(ISERROR(MATCH('Analysis backend'!$M$1,E5201:N5201,0)),"",'Analysis backend'!$L$1)</f>
        <v/>
      </c>
      <c r="U5201" t="str">
        <f>IF(T5201='Analysis backend'!$L$1,IF(ISERROR(MATCH('Analysis backend'!$M$1,E5201:I5201,0)),"Dire","Radiant"),"")</f>
        <v/>
      </c>
    </row>
    <row r="5202" spans="20:21" x14ac:dyDescent="0.3">
      <c r="T5202" t="str">
        <f>IF(ISERROR(MATCH('Analysis backend'!$M$1,E5202:N5202,0)),"",'Analysis backend'!$L$1)</f>
        <v/>
      </c>
      <c r="U5202" t="str">
        <f>IF(T5202='Analysis backend'!$L$1,IF(ISERROR(MATCH('Analysis backend'!$M$1,E5202:I5202,0)),"Dire","Radiant"),"")</f>
        <v/>
      </c>
    </row>
    <row r="5203" spans="20:21" x14ac:dyDescent="0.3">
      <c r="T5203" t="str">
        <f>IF(ISERROR(MATCH('Analysis backend'!$M$1,E5203:N5203,0)),"",'Analysis backend'!$L$1)</f>
        <v/>
      </c>
      <c r="U5203" t="str">
        <f>IF(T5203='Analysis backend'!$L$1,IF(ISERROR(MATCH('Analysis backend'!$M$1,E5203:I5203,0)),"Dire","Radiant"),"")</f>
        <v/>
      </c>
    </row>
    <row r="5204" spans="20:21" x14ac:dyDescent="0.3">
      <c r="T5204" t="str">
        <f>IF(ISERROR(MATCH('Analysis backend'!$M$1,E5204:N5204,0)),"",'Analysis backend'!$L$1)</f>
        <v/>
      </c>
      <c r="U5204" t="str">
        <f>IF(T5204='Analysis backend'!$L$1,IF(ISERROR(MATCH('Analysis backend'!$M$1,E5204:I5204,0)),"Dire","Radiant"),"")</f>
        <v/>
      </c>
    </row>
    <row r="5205" spans="20:21" x14ac:dyDescent="0.3">
      <c r="T5205" t="str">
        <f>IF(ISERROR(MATCH('Analysis backend'!$M$1,E5205:N5205,0)),"",'Analysis backend'!$L$1)</f>
        <v/>
      </c>
      <c r="U5205" t="str">
        <f>IF(T5205='Analysis backend'!$L$1,IF(ISERROR(MATCH('Analysis backend'!$M$1,E5205:I5205,0)),"Dire","Radiant"),"")</f>
        <v/>
      </c>
    </row>
    <row r="5206" spans="20:21" x14ac:dyDescent="0.3">
      <c r="T5206" t="str">
        <f>IF(ISERROR(MATCH('Analysis backend'!$M$1,E5206:N5206,0)),"",'Analysis backend'!$L$1)</f>
        <v/>
      </c>
      <c r="U5206" t="str">
        <f>IF(T5206='Analysis backend'!$L$1,IF(ISERROR(MATCH('Analysis backend'!$M$1,E5206:I5206,0)),"Dire","Radiant"),"")</f>
        <v/>
      </c>
    </row>
    <row r="5207" spans="20:21" x14ac:dyDescent="0.3">
      <c r="T5207" t="str">
        <f>IF(ISERROR(MATCH('Analysis backend'!$M$1,E5207:N5207,0)),"",'Analysis backend'!$L$1)</f>
        <v/>
      </c>
      <c r="U5207" t="str">
        <f>IF(T5207='Analysis backend'!$L$1,IF(ISERROR(MATCH('Analysis backend'!$M$1,E5207:I5207,0)),"Dire","Radiant"),"")</f>
        <v/>
      </c>
    </row>
    <row r="5208" spans="20:21" x14ac:dyDescent="0.3">
      <c r="T5208" t="str">
        <f>IF(ISERROR(MATCH('Analysis backend'!$M$1,E5208:N5208,0)),"",'Analysis backend'!$L$1)</f>
        <v/>
      </c>
      <c r="U5208" t="str">
        <f>IF(T5208='Analysis backend'!$L$1,IF(ISERROR(MATCH('Analysis backend'!$M$1,E5208:I5208,0)),"Dire","Radiant"),"")</f>
        <v/>
      </c>
    </row>
    <row r="5209" spans="20:21" x14ac:dyDescent="0.3">
      <c r="T5209" t="str">
        <f>IF(ISERROR(MATCH('Analysis backend'!$M$1,E5209:N5209,0)),"",'Analysis backend'!$L$1)</f>
        <v/>
      </c>
      <c r="U5209" t="str">
        <f>IF(T5209='Analysis backend'!$L$1,IF(ISERROR(MATCH('Analysis backend'!$M$1,E5209:I5209,0)),"Dire","Radiant"),"")</f>
        <v/>
      </c>
    </row>
    <row r="5210" spans="20:21" x14ac:dyDescent="0.3">
      <c r="T5210" t="str">
        <f>IF(ISERROR(MATCH('Analysis backend'!$M$1,E5210:N5210,0)),"",'Analysis backend'!$L$1)</f>
        <v/>
      </c>
      <c r="U5210" t="str">
        <f>IF(T5210='Analysis backend'!$L$1,IF(ISERROR(MATCH('Analysis backend'!$M$1,E5210:I5210,0)),"Dire","Radiant"),"")</f>
        <v/>
      </c>
    </row>
    <row r="5211" spans="20:21" x14ac:dyDescent="0.3">
      <c r="T5211" t="str">
        <f>IF(ISERROR(MATCH('Analysis backend'!$M$1,E5211:N5211,0)),"",'Analysis backend'!$L$1)</f>
        <v/>
      </c>
      <c r="U5211" t="str">
        <f>IF(T5211='Analysis backend'!$L$1,IF(ISERROR(MATCH('Analysis backend'!$M$1,E5211:I5211,0)),"Dire","Radiant"),"")</f>
        <v/>
      </c>
    </row>
    <row r="5212" spans="20:21" x14ac:dyDescent="0.3">
      <c r="T5212" t="str">
        <f>IF(ISERROR(MATCH('Analysis backend'!$M$1,E5212:N5212,0)),"",'Analysis backend'!$L$1)</f>
        <v/>
      </c>
      <c r="U5212" t="str">
        <f>IF(T5212='Analysis backend'!$L$1,IF(ISERROR(MATCH('Analysis backend'!$M$1,E5212:I5212,0)),"Dire","Radiant"),"")</f>
        <v/>
      </c>
    </row>
    <row r="5213" spans="20:21" x14ac:dyDescent="0.3">
      <c r="T5213" t="str">
        <f>IF(ISERROR(MATCH('Analysis backend'!$M$1,E5213:N5213,0)),"",'Analysis backend'!$L$1)</f>
        <v/>
      </c>
      <c r="U5213" t="str">
        <f>IF(T5213='Analysis backend'!$L$1,IF(ISERROR(MATCH('Analysis backend'!$M$1,E5213:I5213,0)),"Dire","Radiant"),"")</f>
        <v/>
      </c>
    </row>
    <row r="5214" spans="20:21" x14ac:dyDescent="0.3">
      <c r="T5214" t="str">
        <f>IF(ISERROR(MATCH('Analysis backend'!$M$1,E5214:N5214,0)),"",'Analysis backend'!$L$1)</f>
        <v/>
      </c>
      <c r="U5214" t="str">
        <f>IF(T5214='Analysis backend'!$L$1,IF(ISERROR(MATCH('Analysis backend'!$M$1,E5214:I5214,0)),"Dire","Radiant"),"")</f>
        <v/>
      </c>
    </row>
    <row r="5215" spans="20:21" x14ac:dyDescent="0.3">
      <c r="T5215" t="str">
        <f>IF(ISERROR(MATCH('Analysis backend'!$M$1,E5215:N5215,0)),"",'Analysis backend'!$L$1)</f>
        <v/>
      </c>
      <c r="U5215" t="str">
        <f>IF(T5215='Analysis backend'!$L$1,IF(ISERROR(MATCH('Analysis backend'!$M$1,E5215:I5215,0)),"Dire","Radiant"),"")</f>
        <v/>
      </c>
    </row>
    <row r="5216" spans="20:21" x14ac:dyDescent="0.3">
      <c r="T5216" t="str">
        <f>IF(ISERROR(MATCH('Analysis backend'!$M$1,E5216:N5216,0)),"",'Analysis backend'!$L$1)</f>
        <v/>
      </c>
      <c r="U5216" t="str">
        <f>IF(T5216='Analysis backend'!$L$1,IF(ISERROR(MATCH('Analysis backend'!$M$1,E5216:I5216,0)),"Dire","Radiant"),"")</f>
        <v/>
      </c>
    </row>
    <row r="5217" spans="20:21" x14ac:dyDescent="0.3">
      <c r="T5217" t="str">
        <f>IF(ISERROR(MATCH('Analysis backend'!$M$1,E5217:N5217,0)),"",'Analysis backend'!$L$1)</f>
        <v/>
      </c>
      <c r="U5217" t="str">
        <f>IF(T5217='Analysis backend'!$L$1,IF(ISERROR(MATCH('Analysis backend'!$M$1,E5217:I5217,0)),"Dire","Radiant"),"")</f>
        <v/>
      </c>
    </row>
    <row r="5218" spans="20:21" x14ac:dyDescent="0.3">
      <c r="T5218" t="str">
        <f>IF(ISERROR(MATCH('Analysis backend'!$M$1,E5218:N5218,0)),"",'Analysis backend'!$L$1)</f>
        <v/>
      </c>
      <c r="U5218" t="str">
        <f>IF(T5218='Analysis backend'!$L$1,IF(ISERROR(MATCH('Analysis backend'!$M$1,E5218:I5218,0)),"Dire","Radiant"),"")</f>
        <v/>
      </c>
    </row>
    <row r="5219" spans="20:21" x14ac:dyDescent="0.3">
      <c r="T5219" t="str">
        <f>IF(ISERROR(MATCH('Analysis backend'!$M$1,E5219:N5219,0)),"",'Analysis backend'!$L$1)</f>
        <v/>
      </c>
      <c r="U5219" t="str">
        <f>IF(T5219='Analysis backend'!$L$1,IF(ISERROR(MATCH('Analysis backend'!$M$1,E5219:I5219,0)),"Dire","Radiant"),"")</f>
        <v/>
      </c>
    </row>
    <row r="5220" spans="20:21" x14ac:dyDescent="0.3">
      <c r="T5220" t="str">
        <f>IF(ISERROR(MATCH('Analysis backend'!$M$1,E5220:N5220,0)),"",'Analysis backend'!$L$1)</f>
        <v/>
      </c>
      <c r="U5220" t="str">
        <f>IF(T5220='Analysis backend'!$L$1,IF(ISERROR(MATCH('Analysis backend'!$M$1,E5220:I5220,0)),"Dire","Radiant"),"")</f>
        <v/>
      </c>
    </row>
    <row r="5221" spans="20:21" x14ac:dyDescent="0.3">
      <c r="T5221" t="str">
        <f>IF(ISERROR(MATCH('Analysis backend'!$M$1,E5221:N5221,0)),"",'Analysis backend'!$L$1)</f>
        <v/>
      </c>
      <c r="U5221" t="str">
        <f>IF(T5221='Analysis backend'!$L$1,IF(ISERROR(MATCH('Analysis backend'!$M$1,E5221:I5221,0)),"Dire","Radiant"),"")</f>
        <v/>
      </c>
    </row>
    <row r="5222" spans="20:21" x14ac:dyDescent="0.3">
      <c r="T5222" t="str">
        <f>IF(ISERROR(MATCH('Analysis backend'!$M$1,E5222:N5222,0)),"",'Analysis backend'!$L$1)</f>
        <v/>
      </c>
      <c r="U5222" t="str">
        <f>IF(T5222='Analysis backend'!$L$1,IF(ISERROR(MATCH('Analysis backend'!$M$1,E5222:I5222,0)),"Dire","Radiant"),"")</f>
        <v/>
      </c>
    </row>
    <row r="5223" spans="20:21" x14ac:dyDescent="0.3">
      <c r="T5223" t="str">
        <f>IF(ISERROR(MATCH('Analysis backend'!$M$1,E5223:N5223,0)),"",'Analysis backend'!$L$1)</f>
        <v/>
      </c>
      <c r="U5223" t="str">
        <f>IF(T5223='Analysis backend'!$L$1,IF(ISERROR(MATCH('Analysis backend'!$M$1,E5223:I5223,0)),"Dire","Radiant"),"")</f>
        <v/>
      </c>
    </row>
    <row r="5224" spans="20:21" x14ac:dyDescent="0.3">
      <c r="T5224" t="str">
        <f>IF(ISERROR(MATCH('Analysis backend'!$M$1,E5224:N5224,0)),"",'Analysis backend'!$L$1)</f>
        <v/>
      </c>
      <c r="U5224" t="str">
        <f>IF(T5224='Analysis backend'!$L$1,IF(ISERROR(MATCH('Analysis backend'!$M$1,E5224:I5224,0)),"Dire","Radiant"),"")</f>
        <v/>
      </c>
    </row>
    <row r="5225" spans="20:21" x14ac:dyDescent="0.3">
      <c r="T5225" t="str">
        <f>IF(ISERROR(MATCH('Analysis backend'!$M$1,E5225:N5225,0)),"",'Analysis backend'!$L$1)</f>
        <v/>
      </c>
      <c r="U5225" t="str">
        <f>IF(T5225='Analysis backend'!$L$1,IF(ISERROR(MATCH('Analysis backend'!$M$1,E5225:I5225,0)),"Dire","Radiant"),"")</f>
        <v/>
      </c>
    </row>
    <row r="5226" spans="20:21" x14ac:dyDescent="0.3">
      <c r="T5226" t="str">
        <f>IF(ISERROR(MATCH('Analysis backend'!$M$1,E5226:N5226,0)),"",'Analysis backend'!$L$1)</f>
        <v/>
      </c>
      <c r="U5226" t="str">
        <f>IF(T5226='Analysis backend'!$L$1,IF(ISERROR(MATCH('Analysis backend'!$M$1,E5226:I5226,0)),"Dire","Radiant"),"")</f>
        <v/>
      </c>
    </row>
    <row r="5227" spans="20:21" x14ac:dyDescent="0.3">
      <c r="T5227" t="str">
        <f>IF(ISERROR(MATCH('Analysis backend'!$M$1,E5227:N5227,0)),"",'Analysis backend'!$L$1)</f>
        <v/>
      </c>
      <c r="U5227" t="str">
        <f>IF(T5227='Analysis backend'!$L$1,IF(ISERROR(MATCH('Analysis backend'!$M$1,E5227:I5227,0)),"Dire","Radiant"),"")</f>
        <v/>
      </c>
    </row>
    <row r="5228" spans="20:21" x14ac:dyDescent="0.3">
      <c r="T5228" t="str">
        <f>IF(ISERROR(MATCH('Analysis backend'!$M$1,E5228:N5228,0)),"",'Analysis backend'!$L$1)</f>
        <v/>
      </c>
      <c r="U5228" t="str">
        <f>IF(T5228='Analysis backend'!$L$1,IF(ISERROR(MATCH('Analysis backend'!$M$1,E5228:I5228,0)),"Dire","Radiant"),"")</f>
        <v/>
      </c>
    </row>
    <row r="5229" spans="20:21" x14ac:dyDescent="0.3">
      <c r="T5229" t="str">
        <f>IF(ISERROR(MATCH('Analysis backend'!$M$1,E5229:N5229,0)),"",'Analysis backend'!$L$1)</f>
        <v/>
      </c>
      <c r="U5229" t="str">
        <f>IF(T5229='Analysis backend'!$L$1,IF(ISERROR(MATCH('Analysis backend'!$M$1,E5229:I5229,0)),"Dire","Radiant"),"")</f>
        <v/>
      </c>
    </row>
    <row r="5230" spans="20:21" x14ac:dyDescent="0.3">
      <c r="T5230" t="str">
        <f>IF(ISERROR(MATCH('Analysis backend'!$M$1,E5230:N5230,0)),"",'Analysis backend'!$L$1)</f>
        <v/>
      </c>
      <c r="U5230" t="str">
        <f>IF(T5230='Analysis backend'!$L$1,IF(ISERROR(MATCH('Analysis backend'!$M$1,E5230:I5230,0)),"Dire","Radiant"),"")</f>
        <v/>
      </c>
    </row>
    <row r="5231" spans="20:21" x14ac:dyDescent="0.3">
      <c r="T5231" t="str">
        <f>IF(ISERROR(MATCH('Analysis backend'!$M$1,E5231:N5231,0)),"",'Analysis backend'!$L$1)</f>
        <v/>
      </c>
      <c r="U5231" t="str">
        <f>IF(T5231='Analysis backend'!$L$1,IF(ISERROR(MATCH('Analysis backend'!$M$1,E5231:I5231,0)),"Dire","Radiant"),"")</f>
        <v/>
      </c>
    </row>
    <row r="5232" spans="20:21" x14ac:dyDescent="0.3">
      <c r="T5232" t="str">
        <f>IF(ISERROR(MATCH('Analysis backend'!$M$1,E5232:N5232,0)),"",'Analysis backend'!$L$1)</f>
        <v/>
      </c>
      <c r="U5232" t="str">
        <f>IF(T5232='Analysis backend'!$L$1,IF(ISERROR(MATCH('Analysis backend'!$M$1,E5232:I5232,0)),"Dire","Radiant"),"")</f>
        <v/>
      </c>
    </row>
    <row r="5233" spans="20:21" x14ac:dyDescent="0.3">
      <c r="T5233" t="str">
        <f>IF(ISERROR(MATCH('Analysis backend'!$M$1,E5233:N5233,0)),"",'Analysis backend'!$L$1)</f>
        <v/>
      </c>
      <c r="U5233" t="str">
        <f>IF(T5233='Analysis backend'!$L$1,IF(ISERROR(MATCH('Analysis backend'!$M$1,E5233:I5233,0)),"Dire","Radiant"),"")</f>
        <v/>
      </c>
    </row>
    <row r="5234" spans="20:21" x14ac:dyDescent="0.3">
      <c r="T5234" t="str">
        <f>IF(ISERROR(MATCH('Analysis backend'!$M$1,E5234:N5234,0)),"",'Analysis backend'!$L$1)</f>
        <v/>
      </c>
      <c r="U5234" t="str">
        <f>IF(T5234='Analysis backend'!$L$1,IF(ISERROR(MATCH('Analysis backend'!$M$1,E5234:I5234,0)),"Dire","Radiant"),"")</f>
        <v/>
      </c>
    </row>
    <row r="5235" spans="20:21" x14ac:dyDescent="0.3">
      <c r="T5235" t="str">
        <f>IF(ISERROR(MATCH('Analysis backend'!$M$1,E5235:N5235,0)),"",'Analysis backend'!$L$1)</f>
        <v/>
      </c>
      <c r="U5235" t="str">
        <f>IF(T5235='Analysis backend'!$L$1,IF(ISERROR(MATCH('Analysis backend'!$M$1,E5235:I5235,0)),"Dire","Radiant"),"")</f>
        <v/>
      </c>
    </row>
    <row r="5236" spans="20:21" x14ac:dyDescent="0.3">
      <c r="T5236" t="str">
        <f>IF(ISERROR(MATCH('Analysis backend'!$M$1,E5236:N5236,0)),"",'Analysis backend'!$L$1)</f>
        <v/>
      </c>
      <c r="U5236" t="str">
        <f>IF(T5236='Analysis backend'!$L$1,IF(ISERROR(MATCH('Analysis backend'!$M$1,E5236:I5236,0)),"Dire","Radiant"),"")</f>
        <v/>
      </c>
    </row>
    <row r="5237" spans="20:21" x14ac:dyDescent="0.3">
      <c r="T5237" t="str">
        <f>IF(ISERROR(MATCH('Analysis backend'!$M$1,E5237:N5237,0)),"",'Analysis backend'!$L$1)</f>
        <v/>
      </c>
      <c r="U5237" t="str">
        <f>IF(T5237='Analysis backend'!$L$1,IF(ISERROR(MATCH('Analysis backend'!$M$1,E5237:I5237,0)),"Dire","Radiant"),"")</f>
        <v/>
      </c>
    </row>
    <row r="5238" spans="20:21" x14ac:dyDescent="0.3">
      <c r="T5238" t="str">
        <f>IF(ISERROR(MATCH('Analysis backend'!$M$1,E5238:N5238,0)),"",'Analysis backend'!$L$1)</f>
        <v/>
      </c>
      <c r="U5238" t="str">
        <f>IF(T5238='Analysis backend'!$L$1,IF(ISERROR(MATCH('Analysis backend'!$M$1,E5238:I5238,0)),"Dire","Radiant"),"")</f>
        <v/>
      </c>
    </row>
    <row r="5239" spans="20:21" x14ac:dyDescent="0.3">
      <c r="T5239" t="str">
        <f>IF(ISERROR(MATCH('Analysis backend'!$M$1,E5239:N5239,0)),"",'Analysis backend'!$L$1)</f>
        <v/>
      </c>
      <c r="U5239" t="str">
        <f>IF(T5239='Analysis backend'!$L$1,IF(ISERROR(MATCH('Analysis backend'!$M$1,E5239:I5239,0)),"Dire","Radiant"),"")</f>
        <v/>
      </c>
    </row>
    <row r="5240" spans="20:21" x14ac:dyDescent="0.3">
      <c r="T5240" t="str">
        <f>IF(ISERROR(MATCH('Analysis backend'!$M$1,E5240:N5240,0)),"",'Analysis backend'!$L$1)</f>
        <v/>
      </c>
      <c r="U5240" t="str">
        <f>IF(T5240='Analysis backend'!$L$1,IF(ISERROR(MATCH('Analysis backend'!$M$1,E5240:I5240,0)),"Dire","Radiant"),"")</f>
        <v/>
      </c>
    </row>
    <row r="5241" spans="20:21" x14ac:dyDescent="0.3">
      <c r="T5241" t="str">
        <f>IF(ISERROR(MATCH('Analysis backend'!$M$1,E5241:N5241,0)),"",'Analysis backend'!$L$1)</f>
        <v/>
      </c>
      <c r="U5241" t="str">
        <f>IF(T5241='Analysis backend'!$L$1,IF(ISERROR(MATCH('Analysis backend'!$M$1,E5241:I5241,0)),"Dire","Radiant"),"")</f>
        <v/>
      </c>
    </row>
    <row r="5242" spans="20:21" x14ac:dyDescent="0.3">
      <c r="T5242" t="str">
        <f>IF(ISERROR(MATCH('Analysis backend'!$M$1,E5242:N5242,0)),"",'Analysis backend'!$L$1)</f>
        <v/>
      </c>
      <c r="U5242" t="str">
        <f>IF(T5242='Analysis backend'!$L$1,IF(ISERROR(MATCH('Analysis backend'!$M$1,E5242:I5242,0)),"Dire","Radiant"),"")</f>
        <v/>
      </c>
    </row>
    <row r="5243" spans="20:21" x14ac:dyDescent="0.3">
      <c r="T5243" t="str">
        <f>IF(ISERROR(MATCH('Analysis backend'!$M$1,E5243:N5243,0)),"",'Analysis backend'!$L$1)</f>
        <v/>
      </c>
      <c r="U5243" t="str">
        <f>IF(T5243='Analysis backend'!$L$1,IF(ISERROR(MATCH('Analysis backend'!$M$1,E5243:I5243,0)),"Dire","Radiant"),"")</f>
        <v/>
      </c>
    </row>
    <row r="5244" spans="20:21" x14ac:dyDescent="0.3">
      <c r="T5244" t="str">
        <f>IF(ISERROR(MATCH('Analysis backend'!$M$1,E5244:N5244,0)),"",'Analysis backend'!$L$1)</f>
        <v/>
      </c>
      <c r="U5244" t="str">
        <f>IF(T5244='Analysis backend'!$L$1,IF(ISERROR(MATCH('Analysis backend'!$M$1,E5244:I5244,0)),"Dire","Radiant"),"")</f>
        <v/>
      </c>
    </row>
    <row r="5245" spans="20:21" x14ac:dyDescent="0.3">
      <c r="T5245" t="str">
        <f>IF(ISERROR(MATCH('Analysis backend'!$M$1,E5245:N5245,0)),"",'Analysis backend'!$L$1)</f>
        <v/>
      </c>
      <c r="U5245" t="str">
        <f>IF(T5245='Analysis backend'!$L$1,IF(ISERROR(MATCH('Analysis backend'!$M$1,E5245:I5245,0)),"Dire","Radiant"),"")</f>
        <v/>
      </c>
    </row>
    <row r="5246" spans="20:21" x14ac:dyDescent="0.3">
      <c r="T5246" t="str">
        <f>IF(ISERROR(MATCH('Analysis backend'!$M$1,E5246:N5246,0)),"",'Analysis backend'!$L$1)</f>
        <v/>
      </c>
      <c r="U5246" t="str">
        <f>IF(T5246='Analysis backend'!$L$1,IF(ISERROR(MATCH('Analysis backend'!$M$1,E5246:I5246,0)),"Dire","Radiant"),"")</f>
        <v/>
      </c>
    </row>
    <row r="5247" spans="20:21" x14ac:dyDescent="0.3">
      <c r="T5247" t="str">
        <f>IF(ISERROR(MATCH('Analysis backend'!$M$1,E5247:N5247,0)),"",'Analysis backend'!$L$1)</f>
        <v/>
      </c>
      <c r="U5247" t="str">
        <f>IF(T5247='Analysis backend'!$L$1,IF(ISERROR(MATCH('Analysis backend'!$M$1,E5247:I5247,0)),"Dire","Radiant"),"")</f>
        <v/>
      </c>
    </row>
    <row r="5248" spans="20:21" x14ac:dyDescent="0.3">
      <c r="T5248" t="str">
        <f>IF(ISERROR(MATCH('Analysis backend'!$M$1,E5248:N5248,0)),"",'Analysis backend'!$L$1)</f>
        <v/>
      </c>
      <c r="U5248" t="str">
        <f>IF(T5248='Analysis backend'!$L$1,IF(ISERROR(MATCH('Analysis backend'!$M$1,E5248:I5248,0)),"Dire","Radiant"),"")</f>
        <v/>
      </c>
    </row>
    <row r="5249" spans="20:21" x14ac:dyDescent="0.3">
      <c r="T5249" t="str">
        <f>IF(ISERROR(MATCH('Analysis backend'!$M$1,E5249:N5249,0)),"",'Analysis backend'!$L$1)</f>
        <v/>
      </c>
      <c r="U5249" t="str">
        <f>IF(T5249='Analysis backend'!$L$1,IF(ISERROR(MATCH('Analysis backend'!$M$1,E5249:I5249,0)),"Dire","Radiant"),"")</f>
        <v/>
      </c>
    </row>
    <row r="5250" spans="20:21" x14ac:dyDescent="0.3">
      <c r="T5250" t="str">
        <f>IF(ISERROR(MATCH('Analysis backend'!$M$1,E5250:N5250,0)),"",'Analysis backend'!$L$1)</f>
        <v/>
      </c>
      <c r="U5250" t="str">
        <f>IF(T5250='Analysis backend'!$L$1,IF(ISERROR(MATCH('Analysis backend'!$M$1,E5250:I5250,0)),"Dire","Radiant"),"")</f>
        <v/>
      </c>
    </row>
    <row r="5251" spans="20:21" x14ac:dyDescent="0.3">
      <c r="T5251" t="str">
        <f>IF(ISERROR(MATCH('Analysis backend'!$M$1,E5251:N5251,0)),"",'Analysis backend'!$L$1)</f>
        <v/>
      </c>
      <c r="U5251" t="str">
        <f>IF(T5251='Analysis backend'!$L$1,IF(ISERROR(MATCH('Analysis backend'!$M$1,E5251:I5251,0)),"Dire","Radiant"),"")</f>
        <v/>
      </c>
    </row>
    <row r="5252" spans="20:21" x14ac:dyDescent="0.3">
      <c r="T5252" t="str">
        <f>IF(ISERROR(MATCH('Analysis backend'!$M$1,E5252:N5252,0)),"",'Analysis backend'!$L$1)</f>
        <v/>
      </c>
      <c r="U5252" t="str">
        <f>IF(T5252='Analysis backend'!$L$1,IF(ISERROR(MATCH('Analysis backend'!$M$1,E5252:I5252,0)),"Dire","Radiant"),"")</f>
        <v/>
      </c>
    </row>
    <row r="5253" spans="20:21" x14ac:dyDescent="0.3">
      <c r="T5253" t="str">
        <f>IF(ISERROR(MATCH('Analysis backend'!$M$1,E5253:N5253,0)),"",'Analysis backend'!$L$1)</f>
        <v/>
      </c>
      <c r="U5253" t="str">
        <f>IF(T5253='Analysis backend'!$L$1,IF(ISERROR(MATCH('Analysis backend'!$M$1,E5253:I5253,0)),"Dire","Radiant"),"")</f>
        <v/>
      </c>
    </row>
    <row r="5254" spans="20:21" x14ac:dyDescent="0.3">
      <c r="T5254" t="str">
        <f>IF(ISERROR(MATCH('Analysis backend'!$M$1,E5254:N5254,0)),"",'Analysis backend'!$L$1)</f>
        <v/>
      </c>
      <c r="U5254" t="str">
        <f>IF(T5254='Analysis backend'!$L$1,IF(ISERROR(MATCH('Analysis backend'!$M$1,E5254:I5254,0)),"Dire","Radiant"),"")</f>
        <v/>
      </c>
    </row>
    <row r="5255" spans="20:21" x14ac:dyDescent="0.3">
      <c r="T5255" t="str">
        <f>IF(ISERROR(MATCH('Analysis backend'!$M$1,E5255:N5255,0)),"",'Analysis backend'!$L$1)</f>
        <v/>
      </c>
      <c r="U5255" t="str">
        <f>IF(T5255='Analysis backend'!$L$1,IF(ISERROR(MATCH('Analysis backend'!$M$1,E5255:I5255,0)),"Dire","Radiant"),"")</f>
        <v/>
      </c>
    </row>
    <row r="5256" spans="20:21" x14ac:dyDescent="0.3">
      <c r="T5256" t="str">
        <f>IF(ISERROR(MATCH('Analysis backend'!$M$1,E5256:N5256,0)),"",'Analysis backend'!$L$1)</f>
        <v/>
      </c>
      <c r="U5256" t="str">
        <f>IF(T5256='Analysis backend'!$L$1,IF(ISERROR(MATCH('Analysis backend'!$M$1,E5256:I5256,0)),"Dire","Radiant"),"")</f>
        <v/>
      </c>
    </row>
    <row r="5257" spans="20:21" x14ac:dyDescent="0.3">
      <c r="T5257" t="str">
        <f>IF(ISERROR(MATCH('Analysis backend'!$M$1,E5257:N5257,0)),"",'Analysis backend'!$L$1)</f>
        <v/>
      </c>
      <c r="U5257" t="str">
        <f>IF(T5257='Analysis backend'!$L$1,IF(ISERROR(MATCH('Analysis backend'!$M$1,E5257:I5257,0)),"Dire","Radiant"),"")</f>
        <v/>
      </c>
    </row>
    <row r="5258" spans="20:21" x14ac:dyDescent="0.3">
      <c r="T5258" t="str">
        <f>IF(ISERROR(MATCH('Analysis backend'!$M$1,E5258:N5258,0)),"",'Analysis backend'!$L$1)</f>
        <v/>
      </c>
      <c r="U5258" t="str">
        <f>IF(T5258='Analysis backend'!$L$1,IF(ISERROR(MATCH('Analysis backend'!$M$1,E5258:I5258,0)),"Dire","Radiant"),"")</f>
        <v/>
      </c>
    </row>
    <row r="5259" spans="20:21" x14ac:dyDescent="0.3">
      <c r="T5259" t="str">
        <f>IF(ISERROR(MATCH('Analysis backend'!$M$1,E5259:N5259,0)),"",'Analysis backend'!$L$1)</f>
        <v/>
      </c>
      <c r="U5259" t="str">
        <f>IF(T5259='Analysis backend'!$L$1,IF(ISERROR(MATCH('Analysis backend'!$M$1,E5259:I5259,0)),"Dire","Radiant"),"")</f>
        <v/>
      </c>
    </row>
    <row r="5260" spans="20:21" x14ac:dyDescent="0.3">
      <c r="T5260" t="str">
        <f>IF(ISERROR(MATCH('Analysis backend'!$M$1,E5260:N5260,0)),"",'Analysis backend'!$L$1)</f>
        <v/>
      </c>
      <c r="U5260" t="str">
        <f>IF(T5260='Analysis backend'!$L$1,IF(ISERROR(MATCH('Analysis backend'!$M$1,E5260:I5260,0)),"Dire","Radiant"),"")</f>
        <v/>
      </c>
    </row>
    <row r="5261" spans="20:21" x14ac:dyDescent="0.3">
      <c r="T5261" t="str">
        <f>IF(ISERROR(MATCH('Analysis backend'!$M$1,E5261:N5261,0)),"",'Analysis backend'!$L$1)</f>
        <v/>
      </c>
      <c r="U5261" t="str">
        <f>IF(T5261='Analysis backend'!$L$1,IF(ISERROR(MATCH('Analysis backend'!$M$1,E5261:I5261,0)),"Dire","Radiant"),"")</f>
        <v/>
      </c>
    </row>
    <row r="5262" spans="20:21" x14ac:dyDescent="0.3">
      <c r="T5262" t="str">
        <f>IF(ISERROR(MATCH('Analysis backend'!$M$1,E5262:N5262,0)),"",'Analysis backend'!$L$1)</f>
        <v/>
      </c>
      <c r="U5262" t="str">
        <f>IF(T5262='Analysis backend'!$L$1,IF(ISERROR(MATCH('Analysis backend'!$M$1,E5262:I5262,0)),"Dire","Radiant"),"")</f>
        <v/>
      </c>
    </row>
    <row r="5263" spans="20:21" x14ac:dyDescent="0.3">
      <c r="T5263" t="str">
        <f>IF(ISERROR(MATCH('Analysis backend'!$M$1,E5263:N5263,0)),"",'Analysis backend'!$L$1)</f>
        <v/>
      </c>
      <c r="U5263" t="str">
        <f>IF(T5263='Analysis backend'!$L$1,IF(ISERROR(MATCH('Analysis backend'!$M$1,E5263:I5263,0)),"Dire","Radiant"),"")</f>
        <v/>
      </c>
    </row>
    <row r="5264" spans="20:21" x14ac:dyDescent="0.3">
      <c r="T5264" t="str">
        <f>IF(ISERROR(MATCH('Analysis backend'!$M$1,E5264:N5264,0)),"",'Analysis backend'!$L$1)</f>
        <v/>
      </c>
      <c r="U5264" t="str">
        <f>IF(T5264='Analysis backend'!$L$1,IF(ISERROR(MATCH('Analysis backend'!$M$1,E5264:I5264,0)),"Dire","Radiant"),"")</f>
        <v/>
      </c>
    </row>
    <row r="5265" spans="20:21" x14ac:dyDescent="0.3">
      <c r="T5265" t="str">
        <f>IF(ISERROR(MATCH('Analysis backend'!$M$1,E5265:N5265,0)),"",'Analysis backend'!$L$1)</f>
        <v/>
      </c>
      <c r="U5265" t="str">
        <f>IF(T5265='Analysis backend'!$L$1,IF(ISERROR(MATCH('Analysis backend'!$M$1,E5265:I5265,0)),"Dire","Radiant"),"")</f>
        <v/>
      </c>
    </row>
    <row r="5266" spans="20:21" x14ac:dyDescent="0.3">
      <c r="T5266" t="str">
        <f>IF(ISERROR(MATCH('Analysis backend'!$M$1,E5266:N5266,0)),"",'Analysis backend'!$L$1)</f>
        <v/>
      </c>
      <c r="U5266" t="str">
        <f>IF(T5266='Analysis backend'!$L$1,IF(ISERROR(MATCH('Analysis backend'!$M$1,E5266:I5266,0)),"Dire","Radiant"),"")</f>
        <v/>
      </c>
    </row>
    <row r="5267" spans="20:21" x14ac:dyDescent="0.3">
      <c r="T5267" t="str">
        <f>IF(ISERROR(MATCH('Analysis backend'!$M$1,E5267:N5267,0)),"",'Analysis backend'!$L$1)</f>
        <v/>
      </c>
      <c r="U5267" t="str">
        <f>IF(T5267='Analysis backend'!$L$1,IF(ISERROR(MATCH('Analysis backend'!$M$1,E5267:I5267,0)),"Dire","Radiant"),"")</f>
        <v/>
      </c>
    </row>
    <row r="5268" spans="20:21" x14ac:dyDescent="0.3">
      <c r="T5268" t="str">
        <f>IF(ISERROR(MATCH('Analysis backend'!$M$1,E5268:N5268,0)),"",'Analysis backend'!$L$1)</f>
        <v/>
      </c>
      <c r="U5268" t="str">
        <f>IF(T5268='Analysis backend'!$L$1,IF(ISERROR(MATCH('Analysis backend'!$M$1,E5268:I5268,0)),"Dire","Radiant"),"")</f>
        <v/>
      </c>
    </row>
    <row r="5269" spans="20:21" x14ac:dyDescent="0.3">
      <c r="T5269" t="str">
        <f>IF(ISERROR(MATCH('Analysis backend'!$M$1,E5269:N5269,0)),"",'Analysis backend'!$L$1)</f>
        <v/>
      </c>
      <c r="U5269" t="str">
        <f>IF(T5269='Analysis backend'!$L$1,IF(ISERROR(MATCH('Analysis backend'!$M$1,E5269:I5269,0)),"Dire","Radiant"),"")</f>
        <v/>
      </c>
    </row>
    <row r="5270" spans="20:21" x14ac:dyDescent="0.3">
      <c r="T5270" t="str">
        <f>IF(ISERROR(MATCH('Analysis backend'!$M$1,E5270:N5270,0)),"",'Analysis backend'!$L$1)</f>
        <v/>
      </c>
      <c r="U5270" t="str">
        <f>IF(T5270='Analysis backend'!$L$1,IF(ISERROR(MATCH('Analysis backend'!$M$1,E5270:I5270,0)),"Dire","Radiant"),"")</f>
        <v/>
      </c>
    </row>
    <row r="5271" spans="20:21" x14ac:dyDescent="0.3">
      <c r="T5271" t="str">
        <f>IF(ISERROR(MATCH('Analysis backend'!$M$1,E5271:N5271,0)),"",'Analysis backend'!$L$1)</f>
        <v/>
      </c>
      <c r="U5271" t="str">
        <f>IF(T5271='Analysis backend'!$L$1,IF(ISERROR(MATCH('Analysis backend'!$M$1,E5271:I5271,0)),"Dire","Radiant"),"")</f>
        <v/>
      </c>
    </row>
    <row r="5272" spans="20:21" x14ac:dyDescent="0.3">
      <c r="T5272" t="str">
        <f>IF(ISERROR(MATCH('Analysis backend'!$M$1,E5272:N5272,0)),"",'Analysis backend'!$L$1)</f>
        <v/>
      </c>
      <c r="U5272" t="str">
        <f>IF(T5272='Analysis backend'!$L$1,IF(ISERROR(MATCH('Analysis backend'!$M$1,E5272:I5272,0)),"Dire","Radiant"),"")</f>
        <v/>
      </c>
    </row>
    <row r="5273" spans="20:21" x14ac:dyDescent="0.3">
      <c r="T5273" t="str">
        <f>IF(ISERROR(MATCH('Analysis backend'!$M$1,E5273:N5273,0)),"",'Analysis backend'!$L$1)</f>
        <v/>
      </c>
      <c r="U5273" t="str">
        <f>IF(T5273='Analysis backend'!$L$1,IF(ISERROR(MATCH('Analysis backend'!$M$1,E5273:I5273,0)),"Dire","Radiant"),"")</f>
        <v/>
      </c>
    </row>
    <row r="5274" spans="20:21" x14ac:dyDescent="0.3">
      <c r="T5274" t="str">
        <f>IF(ISERROR(MATCH('Analysis backend'!$M$1,E5274:N5274,0)),"",'Analysis backend'!$L$1)</f>
        <v/>
      </c>
      <c r="U5274" t="str">
        <f>IF(T5274='Analysis backend'!$L$1,IF(ISERROR(MATCH('Analysis backend'!$M$1,E5274:I5274,0)),"Dire","Radiant"),"")</f>
        <v/>
      </c>
    </row>
    <row r="5275" spans="20:21" x14ac:dyDescent="0.3">
      <c r="T5275" t="str">
        <f>IF(ISERROR(MATCH('Analysis backend'!$M$1,E5275:N5275,0)),"",'Analysis backend'!$L$1)</f>
        <v/>
      </c>
      <c r="U5275" t="str">
        <f>IF(T5275='Analysis backend'!$L$1,IF(ISERROR(MATCH('Analysis backend'!$M$1,E5275:I5275,0)),"Dire","Radiant"),"")</f>
        <v/>
      </c>
    </row>
    <row r="5276" spans="20:21" x14ac:dyDescent="0.3">
      <c r="T5276" t="str">
        <f>IF(ISERROR(MATCH('Analysis backend'!$M$1,E5276:N5276,0)),"",'Analysis backend'!$L$1)</f>
        <v/>
      </c>
      <c r="U5276" t="str">
        <f>IF(T5276='Analysis backend'!$L$1,IF(ISERROR(MATCH('Analysis backend'!$M$1,E5276:I5276,0)),"Dire","Radiant"),"")</f>
        <v/>
      </c>
    </row>
    <row r="5277" spans="20:21" x14ac:dyDescent="0.3">
      <c r="T5277" t="str">
        <f>IF(ISERROR(MATCH('Analysis backend'!$M$1,E5277:N5277,0)),"",'Analysis backend'!$L$1)</f>
        <v/>
      </c>
      <c r="U5277" t="str">
        <f>IF(T5277='Analysis backend'!$L$1,IF(ISERROR(MATCH('Analysis backend'!$M$1,E5277:I5277,0)),"Dire","Radiant"),"")</f>
        <v/>
      </c>
    </row>
    <row r="5278" spans="20:21" x14ac:dyDescent="0.3">
      <c r="T5278" t="str">
        <f>IF(ISERROR(MATCH('Analysis backend'!$M$1,E5278:N5278,0)),"",'Analysis backend'!$L$1)</f>
        <v/>
      </c>
      <c r="U5278" t="str">
        <f>IF(T5278='Analysis backend'!$L$1,IF(ISERROR(MATCH('Analysis backend'!$M$1,E5278:I5278,0)),"Dire","Radiant"),"")</f>
        <v/>
      </c>
    </row>
    <row r="5279" spans="20:21" x14ac:dyDescent="0.3">
      <c r="T5279" t="str">
        <f>IF(ISERROR(MATCH('Analysis backend'!$M$1,E5279:N5279,0)),"",'Analysis backend'!$L$1)</f>
        <v/>
      </c>
      <c r="U5279" t="str">
        <f>IF(T5279='Analysis backend'!$L$1,IF(ISERROR(MATCH('Analysis backend'!$M$1,E5279:I5279,0)),"Dire","Radiant"),"")</f>
        <v/>
      </c>
    </row>
    <row r="5280" spans="20:21" x14ac:dyDescent="0.3">
      <c r="T5280" t="str">
        <f>IF(ISERROR(MATCH('Analysis backend'!$M$1,E5280:N5280,0)),"",'Analysis backend'!$L$1)</f>
        <v/>
      </c>
      <c r="U5280" t="str">
        <f>IF(T5280='Analysis backend'!$L$1,IF(ISERROR(MATCH('Analysis backend'!$M$1,E5280:I5280,0)),"Dire","Radiant"),"")</f>
        <v/>
      </c>
    </row>
    <row r="5281" spans="20:21" x14ac:dyDescent="0.3">
      <c r="T5281" t="str">
        <f>IF(ISERROR(MATCH('Analysis backend'!$M$1,E5281:N5281,0)),"",'Analysis backend'!$L$1)</f>
        <v/>
      </c>
      <c r="U5281" t="str">
        <f>IF(T5281='Analysis backend'!$L$1,IF(ISERROR(MATCH('Analysis backend'!$M$1,E5281:I5281,0)),"Dire","Radiant"),"")</f>
        <v/>
      </c>
    </row>
    <row r="5282" spans="20:21" x14ac:dyDescent="0.3">
      <c r="T5282" t="str">
        <f>IF(ISERROR(MATCH('Analysis backend'!$M$1,E5282:N5282,0)),"",'Analysis backend'!$L$1)</f>
        <v/>
      </c>
      <c r="U5282" t="str">
        <f>IF(T5282='Analysis backend'!$L$1,IF(ISERROR(MATCH('Analysis backend'!$M$1,E5282:I5282,0)),"Dire","Radiant"),"")</f>
        <v/>
      </c>
    </row>
    <row r="5283" spans="20:21" x14ac:dyDescent="0.3">
      <c r="T5283" t="str">
        <f>IF(ISERROR(MATCH('Analysis backend'!$M$1,E5283:N5283,0)),"",'Analysis backend'!$L$1)</f>
        <v/>
      </c>
      <c r="U5283" t="str">
        <f>IF(T5283='Analysis backend'!$L$1,IF(ISERROR(MATCH('Analysis backend'!$M$1,E5283:I5283,0)),"Dire","Radiant"),"")</f>
        <v/>
      </c>
    </row>
    <row r="5284" spans="20:21" x14ac:dyDescent="0.3">
      <c r="T5284" t="str">
        <f>IF(ISERROR(MATCH('Analysis backend'!$M$1,E5284:N5284,0)),"",'Analysis backend'!$L$1)</f>
        <v/>
      </c>
      <c r="U5284" t="str">
        <f>IF(T5284='Analysis backend'!$L$1,IF(ISERROR(MATCH('Analysis backend'!$M$1,E5284:I5284,0)),"Dire","Radiant"),"")</f>
        <v/>
      </c>
    </row>
    <row r="5285" spans="20:21" x14ac:dyDescent="0.3">
      <c r="T5285" t="str">
        <f>IF(ISERROR(MATCH('Analysis backend'!$M$1,E5285:N5285,0)),"",'Analysis backend'!$L$1)</f>
        <v/>
      </c>
      <c r="U5285" t="str">
        <f>IF(T5285='Analysis backend'!$L$1,IF(ISERROR(MATCH('Analysis backend'!$M$1,E5285:I5285,0)),"Dire","Radiant"),"")</f>
        <v/>
      </c>
    </row>
    <row r="5286" spans="20:21" x14ac:dyDescent="0.3">
      <c r="T5286" t="str">
        <f>IF(ISERROR(MATCH('Analysis backend'!$M$1,E5286:N5286,0)),"",'Analysis backend'!$L$1)</f>
        <v/>
      </c>
      <c r="U5286" t="str">
        <f>IF(T5286='Analysis backend'!$L$1,IF(ISERROR(MATCH('Analysis backend'!$M$1,E5286:I5286,0)),"Dire","Radiant"),"")</f>
        <v/>
      </c>
    </row>
    <row r="5287" spans="20:21" x14ac:dyDescent="0.3">
      <c r="T5287" t="str">
        <f>IF(ISERROR(MATCH('Analysis backend'!$M$1,E5287:N5287,0)),"",'Analysis backend'!$L$1)</f>
        <v/>
      </c>
      <c r="U5287" t="str">
        <f>IF(T5287='Analysis backend'!$L$1,IF(ISERROR(MATCH('Analysis backend'!$M$1,E5287:I5287,0)),"Dire","Radiant"),"")</f>
        <v/>
      </c>
    </row>
    <row r="5288" spans="20:21" x14ac:dyDescent="0.3">
      <c r="T5288" t="str">
        <f>IF(ISERROR(MATCH('Analysis backend'!$M$1,E5288:N5288,0)),"",'Analysis backend'!$L$1)</f>
        <v/>
      </c>
      <c r="U5288" t="str">
        <f>IF(T5288='Analysis backend'!$L$1,IF(ISERROR(MATCH('Analysis backend'!$M$1,E5288:I5288,0)),"Dire","Radiant"),"")</f>
        <v/>
      </c>
    </row>
    <row r="5289" spans="20:21" x14ac:dyDescent="0.3">
      <c r="T5289" t="str">
        <f>IF(ISERROR(MATCH('Analysis backend'!$M$1,E5289:N5289,0)),"",'Analysis backend'!$L$1)</f>
        <v/>
      </c>
      <c r="U5289" t="str">
        <f>IF(T5289='Analysis backend'!$L$1,IF(ISERROR(MATCH('Analysis backend'!$M$1,E5289:I5289,0)),"Dire","Radiant"),"")</f>
        <v/>
      </c>
    </row>
    <row r="5290" spans="20:21" x14ac:dyDescent="0.3">
      <c r="T5290" t="str">
        <f>IF(ISERROR(MATCH('Analysis backend'!$M$1,E5290:N5290,0)),"",'Analysis backend'!$L$1)</f>
        <v/>
      </c>
      <c r="U5290" t="str">
        <f>IF(T5290='Analysis backend'!$L$1,IF(ISERROR(MATCH('Analysis backend'!$M$1,E5290:I5290,0)),"Dire","Radiant"),"")</f>
        <v/>
      </c>
    </row>
    <row r="5291" spans="20:21" x14ac:dyDescent="0.3">
      <c r="T5291" t="str">
        <f>IF(ISERROR(MATCH('Analysis backend'!$M$1,E5291:N5291,0)),"",'Analysis backend'!$L$1)</f>
        <v/>
      </c>
      <c r="U5291" t="str">
        <f>IF(T5291='Analysis backend'!$L$1,IF(ISERROR(MATCH('Analysis backend'!$M$1,E5291:I5291,0)),"Dire","Radiant"),"")</f>
        <v/>
      </c>
    </row>
    <row r="5292" spans="20:21" x14ac:dyDescent="0.3">
      <c r="T5292" t="str">
        <f>IF(ISERROR(MATCH('Analysis backend'!$M$1,E5292:N5292,0)),"",'Analysis backend'!$L$1)</f>
        <v/>
      </c>
      <c r="U5292" t="str">
        <f>IF(T5292='Analysis backend'!$L$1,IF(ISERROR(MATCH('Analysis backend'!$M$1,E5292:I5292,0)),"Dire","Radiant"),"")</f>
        <v/>
      </c>
    </row>
    <row r="5293" spans="20:21" x14ac:dyDescent="0.3">
      <c r="T5293" t="str">
        <f>IF(ISERROR(MATCH('Analysis backend'!$M$1,E5293:N5293,0)),"",'Analysis backend'!$L$1)</f>
        <v/>
      </c>
      <c r="U5293" t="str">
        <f>IF(T5293='Analysis backend'!$L$1,IF(ISERROR(MATCH('Analysis backend'!$M$1,E5293:I5293,0)),"Dire","Radiant"),"")</f>
        <v/>
      </c>
    </row>
    <row r="5294" spans="20:21" x14ac:dyDescent="0.3">
      <c r="T5294" t="str">
        <f>IF(ISERROR(MATCH('Analysis backend'!$M$1,E5294:N5294,0)),"",'Analysis backend'!$L$1)</f>
        <v/>
      </c>
      <c r="U5294" t="str">
        <f>IF(T5294='Analysis backend'!$L$1,IF(ISERROR(MATCH('Analysis backend'!$M$1,E5294:I5294,0)),"Dire","Radiant"),"")</f>
        <v/>
      </c>
    </row>
    <row r="5295" spans="20:21" x14ac:dyDescent="0.3">
      <c r="T5295" t="str">
        <f>IF(ISERROR(MATCH('Analysis backend'!$M$1,E5295:N5295,0)),"",'Analysis backend'!$L$1)</f>
        <v/>
      </c>
      <c r="U5295" t="str">
        <f>IF(T5295='Analysis backend'!$L$1,IF(ISERROR(MATCH('Analysis backend'!$M$1,E5295:I5295,0)),"Dire","Radiant"),"")</f>
        <v/>
      </c>
    </row>
    <row r="5296" spans="20:21" x14ac:dyDescent="0.3">
      <c r="T5296" t="str">
        <f>IF(ISERROR(MATCH('Analysis backend'!$M$1,E5296:N5296,0)),"",'Analysis backend'!$L$1)</f>
        <v/>
      </c>
      <c r="U5296" t="str">
        <f>IF(T5296='Analysis backend'!$L$1,IF(ISERROR(MATCH('Analysis backend'!$M$1,E5296:I5296,0)),"Dire","Radiant"),"")</f>
        <v/>
      </c>
    </row>
    <row r="5297" spans="20:21" x14ac:dyDescent="0.3">
      <c r="T5297" t="str">
        <f>IF(ISERROR(MATCH('Analysis backend'!$M$1,E5297:N5297,0)),"",'Analysis backend'!$L$1)</f>
        <v/>
      </c>
      <c r="U5297" t="str">
        <f>IF(T5297='Analysis backend'!$L$1,IF(ISERROR(MATCH('Analysis backend'!$M$1,E5297:I5297,0)),"Dire","Radiant"),"")</f>
        <v/>
      </c>
    </row>
    <row r="5298" spans="20:21" x14ac:dyDescent="0.3">
      <c r="T5298" t="str">
        <f>IF(ISERROR(MATCH('Analysis backend'!$M$1,E5298:N5298,0)),"",'Analysis backend'!$L$1)</f>
        <v/>
      </c>
      <c r="U5298" t="str">
        <f>IF(T5298='Analysis backend'!$L$1,IF(ISERROR(MATCH('Analysis backend'!$M$1,E5298:I5298,0)),"Dire","Radiant"),"")</f>
        <v/>
      </c>
    </row>
    <row r="5299" spans="20:21" x14ac:dyDescent="0.3">
      <c r="T5299" t="str">
        <f>IF(ISERROR(MATCH('Analysis backend'!$M$1,E5299:N5299,0)),"",'Analysis backend'!$L$1)</f>
        <v/>
      </c>
      <c r="U5299" t="str">
        <f>IF(T5299='Analysis backend'!$L$1,IF(ISERROR(MATCH('Analysis backend'!$M$1,E5299:I5299,0)),"Dire","Radiant"),"")</f>
        <v/>
      </c>
    </row>
    <row r="5300" spans="20:21" x14ac:dyDescent="0.3">
      <c r="T5300" t="str">
        <f>IF(ISERROR(MATCH('Analysis backend'!$M$1,E5300:N5300,0)),"",'Analysis backend'!$L$1)</f>
        <v/>
      </c>
      <c r="U5300" t="str">
        <f>IF(T5300='Analysis backend'!$L$1,IF(ISERROR(MATCH('Analysis backend'!$M$1,E5300:I5300,0)),"Dire","Radiant"),"")</f>
        <v/>
      </c>
    </row>
    <row r="5301" spans="20:21" x14ac:dyDescent="0.3">
      <c r="T5301" t="str">
        <f>IF(ISERROR(MATCH('Analysis backend'!$M$1,E5301:N5301,0)),"",'Analysis backend'!$L$1)</f>
        <v/>
      </c>
      <c r="U5301" t="str">
        <f>IF(T5301='Analysis backend'!$L$1,IF(ISERROR(MATCH('Analysis backend'!$M$1,E5301:I5301,0)),"Dire","Radiant"),"")</f>
        <v/>
      </c>
    </row>
    <row r="5302" spans="20:21" x14ac:dyDescent="0.3">
      <c r="T5302" t="str">
        <f>IF(ISERROR(MATCH('Analysis backend'!$M$1,E5302:N5302,0)),"",'Analysis backend'!$L$1)</f>
        <v/>
      </c>
      <c r="U5302" t="str">
        <f>IF(T5302='Analysis backend'!$L$1,IF(ISERROR(MATCH('Analysis backend'!$M$1,E5302:I5302,0)),"Dire","Radiant"),"")</f>
        <v/>
      </c>
    </row>
    <row r="5303" spans="20:21" x14ac:dyDescent="0.3">
      <c r="T5303" t="str">
        <f>IF(ISERROR(MATCH('Analysis backend'!$M$1,E5303:N5303,0)),"",'Analysis backend'!$L$1)</f>
        <v/>
      </c>
      <c r="U5303" t="str">
        <f>IF(T5303='Analysis backend'!$L$1,IF(ISERROR(MATCH('Analysis backend'!$M$1,E5303:I5303,0)),"Dire","Radiant"),"")</f>
        <v/>
      </c>
    </row>
    <row r="5304" spans="20:21" x14ac:dyDescent="0.3">
      <c r="T5304" t="str">
        <f>IF(ISERROR(MATCH('Analysis backend'!$M$1,E5304:N5304,0)),"",'Analysis backend'!$L$1)</f>
        <v/>
      </c>
      <c r="U5304" t="str">
        <f>IF(T5304='Analysis backend'!$L$1,IF(ISERROR(MATCH('Analysis backend'!$M$1,E5304:I5304,0)),"Dire","Radiant"),"")</f>
        <v/>
      </c>
    </row>
    <row r="5305" spans="20:21" x14ac:dyDescent="0.3">
      <c r="T5305" t="str">
        <f>IF(ISERROR(MATCH('Analysis backend'!$M$1,E5305:N5305,0)),"",'Analysis backend'!$L$1)</f>
        <v/>
      </c>
      <c r="U5305" t="str">
        <f>IF(T5305='Analysis backend'!$L$1,IF(ISERROR(MATCH('Analysis backend'!$M$1,E5305:I5305,0)),"Dire","Radiant"),"")</f>
        <v/>
      </c>
    </row>
    <row r="5306" spans="20:21" x14ac:dyDescent="0.3">
      <c r="T5306" t="str">
        <f>IF(ISERROR(MATCH('Analysis backend'!$M$1,E5306:N5306,0)),"",'Analysis backend'!$L$1)</f>
        <v/>
      </c>
      <c r="U5306" t="str">
        <f>IF(T5306='Analysis backend'!$L$1,IF(ISERROR(MATCH('Analysis backend'!$M$1,E5306:I5306,0)),"Dire","Radiant"),"")</f>
        <v/>
      </c>
    </row>
    <row r="5307" spans="20:21" x14ac:dyDescent="0.3">
      <c r="T5307" t="str">
        <f>IF(ISERROR(MATCH('Analysis backend'!$M$1,E5307:N5307,0)),"",'Analysis backend'!$L$1)</f>
        <v/>
      </c>
      <c r="U5307" t="str">
        <f>IF(T5307='Analysis backend'!$L$1,IF(ISERROR(MATCH('Analysis backend'!$M$1,E5307:I5307,0)),"Dire","Radiant"),"")</f>
        <v/>
      </c>
    </row>
    <row r="5308" spans="20:21" x14ac:dyDescent="0.3">
      <c r="T5308" t="str">
        <f>IF(ISERROR(MATCH('Analysis backend'!$M$1,E5308:N5308,0)),"",'Analysis backend'!$L$1)</f>
        <v/>
      </c>
      <c r="U5308" t="str">
        <f>IF(T5308='Analysis backend'!$L$1,IF(ISERROR(MATCH('Analysis backend'!$M$1,E5308:I5308,0)),"Dire","Radiant"),"")</f>
        <v/>
      </c>
    </row>
    <row r="5309" spans="20:21" x14ac:dyDescent="0.3">
      <c r="T5309" t="str">
        <f>IF(ISERROR(MATCH('Analysis backend'!$M$1,E5309:N5309,0)),"",'Analysis backend'!$L$1)</f>
        <v/>
      </c>
      <c r="U5309" t="str">
        <f>IF(T5309='Analysis backend'!$L$1,IF(ISERROR(MATCH('Analysis backend'!$M$1,E5309:I5309,0)),"Dire","Radiant"),"")</f>
        <v/>
      </c>
    </row>
    <row r="5310" spans="20:21" x14ac:dyDescent="0.3">
      <c r="T5310" t="str">
        <f>IF(ISERROR(MATCH('Analysis backend'!$M$1,E5310:N5310,0)),"",'Analysis backend'!$L$1)</f>
        <v/>
      </c>
      <c r="U5310" t="str">
        <f>IF(T5310='Analysis backend'!$L$1,IF(ISERROR(MATCH('Analysis backend'!$M$1,E5310:I5310,0)),"Dire","Radiant"),"")</f>
        <v/>
      </c>
    </row>
    <row r="5311" spans="20:21" x14ac:dyDescent="0.3">
      <c r="T5311" t="str">
        <f>IF(ISERROR(MATCH('Analysis backend'!$M$1,E5311:N5311,0)),"",'Analysis backend'!$L$1)</f>
        <v/>
      </c>
      <c r="U5311" t="str">
        <f>IF(T5311='Analysis backend'!$L$1,IF(ISERROR(MATCH('Analysis backend'!$M$1,E5311:I5311,0)),"Dire","Radiant"),"")</f>
        <v/>
      </c>
    </row>
    <row r="5312" spans="20:21" x14ac:dyDescent="0.3">
      <c r="T5312" t="str">
        <f>IF(ISERROR(MATCH('Analysis backend'!$M$1,E5312:N5312,0)),"",'Analysis backend'!$L$1)</f>
        <v/>
      </c>
      <c r="U5312" t="str">
        <f>IF(T5312='Analysis backend'!$L$1,IF(ISERROR(MATCH('Analysis backend'!$M$1,E5312:I5312,0)),"Dire","Radiant"),"")</f>
        <v/>
      </c>
    </row>
    <row r="5313" spans="20:21" x14ac:dyDescent="0.3">
      <c r="T5313" t="str">
        <f>IF(ISERROR(MATCH('Analysis backend'!$M$1,E5313:N5313,0)),"",'Analysis backend'!$L$1)</f>
        <v/>
      </c>
      <c r="U5313" t="str">
        <f>IF(T5313='Analysis backend'!$L$1,IF(ISERROR(MATCH('Analysis backend'!$M$1,E5313:I5313,0)),"Dire","Radiant"),"")</f>
        <v/>
      </c>
    </row>
    <row r="5314" spans="20:21" x14ac:dyDescent="0.3">
      <c r="T5314" t="str">
        <f>IF(ISERROR(MATCH('Analysis backend'!$M$1,E5314:N5314,0)),"",'Analysis backend'!$L$1)</f>
        <v/>
      </c>
      <c r="U5314" t="str">
        <f>IF(T5314='Analysis backend'!$L$1,IF(ISERROR(MATCH('Analysis backend'!$M$1,E5314:I5314,0)),"Dire","Radiant"),"")</f>
        <v/>
      </c>
    </row>
    <row r="5315" spans="20:21" x14ac:dyDescent="0.3">
      <c r="T5315" t="str">
        <f>IF(ISERROR(MATCH('Analysis backend'!$M$1,E5315:N5315,0)),"",'Analysis backend'!$L$1)</f>
        <v/>
      </c>
      <c r="U5315" t="str">
        <f>IF(T5315='Analysis backend'!$L$1,IF(ISERROR(MATCH('Analysis backend'!$M$1,E5315:I5315,0)),"Dire","Radiant"),"")</f>
        <v/>
      </c>
    </row>
    <row r="5316" spans="20:21" x14ac:dyDescent="0.3">
      <c r="T5316" t="str">
        <f>IF(ISERROR(MATCH('Analysis backend'!$M$1,E5316:N5316,0)),"",'Analysis backend'!$L$1)</f>
        <v/>
      </c>
      <c r="U5316" t="str">
        <f>IF(T5316='Analysis backend'!$L$1,IF(ISERROR(MATCH('Analysis backend'!$M$1,E5316:I5316,0)),"Dire","Radiant"),"")</f>
        <v/>
      </c>
    </row>
    <row r="5317" spans="20:21" x14ac:dyDescent="0.3">
      <c r="T5317" t="str">
        <f>IF(ISERROR(MATCH('Analysis backend'!$M$1,E5317:N5317,0)),"",'Analysis backend'!$L$1)</f>
        <v/>
      </c>
      <c r="U5317" t="str">
        <f>IF(T5317='Analysis backend'!$L$1,IF(ISERROR(MATCH('Analysis backend'!$M$1,E5317:I5317,0)),"Dire","Radiant"),"")</f>
        <v/>
      </c>
    </row>
    <row r="5318" spans="20:21" x14ac:dyDescent="0.3">
      <c r="T5318" t="str">
        <f>IF(ISERROR(MATCH('Analysis backend'!$M$1,E5318:N5318,0)),"",'Analysis backend'!$L$1)</f>
        <v/>
      </c>
      <c r="U5318" t="str">
        <f>IF(T5318='Analysis backend'!$L$1,IF(ISERROR(MATCH('Analysis backend'!$M$1,E5318:I5318,0)),"Dire","Radiant"),"")</f>
        <v/>
      </c>
    </row>
    <row r="5319" spans="20:21" x14ac:dyDescent="0.3">
      <c r="T5319" t="str">
        <f>IF(ISERROR(MATCH('Analysis backend'!$M$1,E5319:N5319,0)),"",'Analysis backend'!$L$1)</f>
        <v/>
      </c>
      <c r="U5319" t="str">
        <f>IF(T5319='Analysis backend'!$L$1,IF(ISERROR(MATCH('Analysis backend'!$M$1,E5319:I5319,0)),"Dire","Radiant"),"")</f>
        <v/>
      </c>
    </row>
    <row r="5320" spans="20:21" x14ac:dyDescent="0.3">
      <c r="T5320" t="str">
        <f>IF(ISERROR(MATCH('Analysis backend'!$M$1,E5320:N5320,0)),"",'Analysis backend'!$L$1)</f>
        <v/>
      </c>
      <c r="U5320" t="str">
        <f>IF(T5320='Analysis backend'!$L$1,IF(ISERROR(MATCH('Analysis backend'!$M$1,E5320:I5320,0)),"Dire","Radiant"),"")</f>
        <v/>
      </c>
    </row>
    <row r="5321" spans="20:21" x14ac:dyDescent="0.3">
      <c r="T5321" t="str">
        <f>IF(ISERROR(MATCH('Analysis backend'!$M$1,E5321:N5321,0)),"",'Analysis backend'!$L$1)</f>
        <v/>
      </c>
      <c r="U5321" t="str">
        <f>IF(T5321='Analysis backend'!$L$1,IF(ISERROR(MATCH('Analysis backend'!$M$1,E5321:I5321,0)),"Dire","Radiant"),"")</f>
        <v/>
      </c>
    </row>
    <row r="5322" spans="20:21" x14ac:dyDescent="0.3">
      <c r="T5322" t="str">
        <f>IF(ISERROR(MATCH('Analysis backend'!$M$1,E5322:N5322,0)),"",'Analysis backend'!$L$1)</f>
        <v/>
      </c>
      <c r="U5322" t="str">
        <f>IF(T5322='Analysis backend'!$L$1,IF(ISERROR(MATCH('Analysis backend'!$M$1,E5322:I5322,0)),"Dire","Radiant"),"")</f>
        <v/>
      </c>
    </row>
    <row r="5323" spans="20:21" x14ac:dyDescent="0.3">
      <c r="T5323" t="str">
        <f>IF(ISERROR(MATCH('Analysis backend'!$M$1,E5323:N5323,0)),"",'Analysis backend'!$L$1)</f>
        <v/>
      </c>
      <c r="U5323" t="str">
        <f>IF(T5323='Analysis backend'!$L$1,IF(ISERROR(MATCH('Analysis backend'!$M$1,E5323:I5323,0)),"Dire","Radiant"),"")</f>
        <v/>
      </c>
    </row>
    <row r="5324" spans="20:21" x14ac:dyDescent="0.3">
      <c r="T5324" t="str">
        <f>IF(ISERROR(MATCH('Analysis backend'!$M$1,E5324:N5324,0)),"",'Analysis backend'!$L$1)</f>
        <v/>
      </c>
      <c r="U5324" t="str">
        <f>IF(T5324='Analysis backend'!$L$1,IF(ISERROR(MATCH('Analysis backend'!$M$1,E5324:I5324,0)),"Dire","Radiant"),"")</f>
        <v/>
      </c>
    </row>
    <row r="5325" spans="20:21" x14ac:dyDescent="0.3">
      <c r="T5325" t="str">
        <f>IF(ISERROR(MATCH('Analysis backend'!$M$1,E5325:N5325,0)),"",'Analysis backend'!$L$1)</f>
        <v/>
      </c>
      <c r="U5325" t="str">
        <f>IF(T5325='Analysis backend'!$L$1,IF(ISERROR(MATCH('Analysis backend'!$M$1,E5325:I5325,0)),"Dire","Radiant"),"")</f>
        <v/>
      </c>
    </row>
    <row r="5326" spans="20:21" x14ac:dyDescent="0.3">
      <c r="T5326" t="str">
        <f>IF(ISERROR(MATCH('Analysis backend'!$M$1,E5326:N5326,0)),"",'Analysis backend'!$L$1)</f>
        <v/>
      </c>
      <c r="U5326" t="str">
        <f>IF(T5326='Analysis backend'!$L$1,IF(ISERROR(MATCH('Analysis backend'!$M$1,E5326:I5326,0)),"Dire","Radiant"),"")</f>
        <v/>
      </c>
    </row>
    <row r="5327" spans="20:21" x14ac:dyDescent="0.3">
      <c r="T5327" t="str">
        <f>IF(ISERROR(MATCH('Analysis backend'!$M$1,E5327:N5327,0)),"",'Analysis backend'!$L$1)</f>
        <v/>
      </c>
      <c r="U5327" t="str">
        <f>IF(T5327='Analysis backend'!$L$1,IF(ISERROR(MATCH('Analysis backend'!$M$1,E5327:I5327,0)),"Dire","Radiant"),"")</f>
        <v/>
      </c>
    </row>
    <row r="5328" spans="20:21" x14ac:dyDescent="0.3">
      <c r="T5328" t="str">
        <f>IF(ISERROR(MATCH('Analysis backend'!$M$1,E5328:N5328,0)),"",'Analysis backend'!$L$1)</f>
        <v/>
      </c>
      <c r="U5328" t="str">
        <f>IF(T5328='Analysis backend'!$L$1,IF(ISERROR(MATCH('Analysis backend'!$M$1,E5328:I5328,0)),"Dire","Radiant"),"")</f>
        <v/>
      </c>
    </row>
    <row r="5329" spans="20:21" x14ac:dyDescent="0.3">
      <c r="T5329" t="str">
        <f>IF(ISERROR(MATCH('Analysis backend'!$M$1,E5329:N5329,0)),"",'Analysis backend'!$L$1)</f>
        <v/>
      </c>
      <c r="U5329" t="str">
        <f>IF(T5329='Analysis backend'!$L$1,IF(ISERROR(MATCH('Analysis backend'!$M$1,E5329:I5329,0)),"Dire","Radiant"),"")</f>
        <v/>
      </c>
    </row>
    <row r="5330" spans="20:21" x14ac:dyDescent="0.3">
      <c r="T5330" t="str">
        <f>IF(ISERROR(MATCH('Analysis backend'!$M$1,E5330:N5330,0)),"",'Analysis backend'!$L$1)</f>
        <v/>
      </c>
      <c r="U5330" t="str">
        <f>IF(T5330='Analysis backend'!$L$1,IF(ISERROR(MATCH('Analysis backend'!$M$1,E5330:I5330,0)),"Dire","Radiant"),"")</f>
        <v/>
      </c>
    </row>
    <row r="5331" spans="20:21" x14ac:dyDescent="0.3">
      <c r="T5331" t="str">
        <f>IF(ISERROR(MATCH('Analysis backend'!$M$1,E5331:N5331,0)),"",'Analysis backend'!$L$1)</f>
        <v/>
      </c>
      <c r="U5331" t="str">
        <f>IF(T5331='Analysis backend'!$L$1,IF(ISERROR(MATCH('Analysis backend'!$M$1,E5331:I5331,0)),"Dire","Radiant"),"")</f>
        <v/>
      </c>
    </row>
    <row r="5332" spans="20:21" x14ac:dyDescent="0.3">
      <c r="T5332" t="str">
        <f>IF(ISERROR(MATCH('Analysis backend'!$M$1,E5332:N5332,0)),"",'Analysis backend'!$L$1)</f>
        <v/>
      </c>
      <c r="U5332" t="str">
        <f>IF(T5332='Analysis backend'!$L$1,IF(ISERROR(MATCH('Analysis backend'!$M$1,E5332:I5332,0)),"Dire","Radiant"),"")</f>
        <v/>
      </c>
    </row>
    <row r="5333" spans="20:21" x14ac:dyDescent="0.3">
      <c r="T5333" t="str">
        <f>IF(ISERROR(MATCH('Analysis backend'!$M$1,E5333:N5333,0)),"",'Analysis backend'!$L$1)</f>
        <v/>
      </c>
      <c r="U5333" t="str">
        <f>IF(T5333='Analysis backend'!$L$1,IF(ISERROR(MATCH('Analysis backend'!$M$1,E5333:I5333,0)),"Dire","Radiant"),"")</f>
        <v/>
      </c>
    </row>
    <row r="5334" spans="20:21" x14ac:dyDescent="0.3">
      <c r="T5334" t="str">
        <f>IF(ISERROR(MATCH('Analysis backend'!$M$1,E5334:N5334,0)),"",'Analysis backend'!$L$1)</f>
        <v/>
      </c>
      <c r="U5334" t="str">
        <f>IF(T5334='Analysis backend'!$L$1,IF(ISERROR(MATCH('Analysis backend'!$M$1,E5334:I5334,0)),"Dire","Radiant"),"")</f>
        <v/>
      </c>
    </row>
    <row r="5335" spans="20:21" x14ac:dyDescent="0.3">
      <c r="T5335" t="str">
        <f>IF(ISERROR(MATCH('Analysis backend'!$M$1,E5335:N5335,0)),"",'Analysis backend'!$L$1)</f>
        <v/>
      </c>
      <c r="U5335" t="str">
        <f>IF(T5335='Analysis backend'!$L$1,IF(ISERROR(MATCH('Analysis backend'!$M$1,E5335:I5335,0)),"Dire","Radiant"),"")</f>
        <v/>
      </c>
    </row>
    <row r="5336" spans="20:21" x14ac:dyDescent="0.3">
      <c r="T5336" t="str">
        <f>IF(ISERROR(MATCH('Analysis backend'!$M$1,E5336:N5336,0)),"",'Analysis backend'!$L$1)</f>
        <v/>
      </c>
      <c r="U5336" t="str">
        <f>IF(T5336='Analysis backend'!$L$1,IF(ISERROR(MATCH('Analysis backend'!$M$1,E5336:I5336,0)),"Dire","Radiant"),"")</f>
        <v/>
      </c>
    </row>
    <row r="5337" spans="20:21" x14ac:dyDescent="0.3">
      <c r="T5337" t="str">
        <f>IF(ISERROR(MATCH('Analysis backend'!$M$1,E5337:N5337,0)),"",'Analysis backend'!$L$1)</f>
        <v/>
      </c>
      <c r="U5337" t="str">
        <f>IF(T5337='Analysis backend'!$L$1,IF(ISERROR(MATCH('Analysis backend'!$M$1,E5337:I5337,0)),"Dire","Radiant"),"")</f>
        <v/>
      </c>
    </row>
    <row r="5338" spans="20:21" x14ac:dyDescent="0.3">
      <c r="T5338" t="str">
        <f>IF(ISERROR(MATCH('Analysis backend'!$M$1,E5338:N5338,0)),"",'Analysis backend'!$L$1)</f>
        <v/>
      </c>
      <c r="U5338" t="str">
        <f>IF(T5338='Analysis backend'!$L$1,IF(ISERROR(MATCH('Analysis backend'!$M$1,E5338:I5338,0)),"Dire","Radiant"),"")</f>
        <v/>
      </c>
    </row>
    <row r="5339" spans="20:21" x14ac:dyDescent="0.3">
      <c r="T5339" t="str">
        <f>IF(ISERROR(MATCH('Analysis backend'!$M$1,E5339:N5339,0)),"",'Analysis backend'!$L$1)</f>
        <v/>
      </c>
      <c r="U5339" t="str">
        <f>IF(T5339='Analysis backend'!$L$1,IF(ISERROR(MATCH('Analysis backend'!$M$1,E5339:I5339,0)),"Dire","Radiant"),"")</f>
        <v/>
      </c>
    </row>
    <row r="5340" spans="20:21" x14ac:dyDescent="0.3">
      <c r="T5340" t="str">
        <f>IF(ISERROR(MATCH('Analysis backend'!$M$1,E5340:N5340,0)),"",'Analysis backend'!$L$1)</f>
        <v/>
      </c>
      <c r="U5340" t="str">
        <f>IF(T5340='Analysis backend'!$L$1,IF(ISERROR(MATCH('Analysis backend'!$M$1,E5340:I5340,0)),"Dire","Radiant"),"")</f>
        <v/>
      </c>
    </row>
    <row r="5341" spans="20:21" x14ac:dyDescent="0.3">
      <c r="T5341" t="str">
        <f>IF(ISERROR(MATCH('Analysis backend'!$M$1,E5341:N5341,0)),"",'Analysis backend'!$L$1)</f>
        <v/>
      </c>
      <c r="U5341" t="str">
        <f>IF(T5341='Analysis backend'!$L$1,IF(ISERROR(MATCH('Analysis backend'!$M$1,E5341:I5341,0)),"Dire","Radiant"),"")</f>
        <v/>
      </c>
    </row>
    <row r="5342" spans="20:21" x14ac:dyDescent="0.3">
      <c r="T5342" t="str">
        <f>IF(ISERROR(MATCH('Analysis backend'!$M$1,E5342:N5342,0)),"",'Analysis backend'!$L$1)</f>
        <v/>
      </c>
      <c r="U5342" t="str">
        <f>IF(T5342='Analysis backend'!$L$1,IF(ISERROR(MATCH('Analysis backend'!$M$1,E5342:I5342,0)),"Dire","Radiant"),"")</f>
        <v/>
      </c>
    </row>
    <row r="5343" spans="20:21" x14ac:dyDescent="0.3">
      <c r="T5343" t="str">
        <f>IF(ISERROR(MATCH('Analysis backend'!$M$1,E5343:N5343,0)),"",'Analysis backend'!$L$1)</f>
        <v/>
      </c>
      <c r="U5343" t="str">
        <f>IF(T5343='Analysis backend'!$L$1,IF(ISERROR(MATCH('Analysis backend'!$M$1,E5343:I5343,0)),"Dire","Radiant"),"")</f>
        <v/>
      </c>
    </row>
    <row r="5344" spans="20:21" x14ac:dyDescent="0.3">
      <c r="T5344" t="str">
        <f>IF(ISERROR(MATCH('Analysis backend'!$M$1,E5344:N5344,0)),"",'Analysis backend'!$L$1)</f>
        <v/>
      </c>
      <c r="U5344" t="str">
        <f>IF(T5344='Analysis backend'!$L$1,IF(ISERROR(MATCH('Analysis backend'!$M$1,E5344:I5344,0)),"Dire","Radiant"),"")</f>
        <v/>
      </c>
    </row>
    <row r="5345" spans="20:21" x14ac:dyDescent="0.3">
      <c r="T5345" t="str">
        <f>IF(ISERROR(MATCH('Analysis backend'!$M$1,E5345:N5345,0)),"",'Analysis backend'!$L$1)</f>
        <v/>
      </c>
      <c r="U5345" t="str">
        <f>IF(T5345='Analysis backend'!$L$1,IF(ISERROR(MATCH('Analysis backend'!$M$1,E5345:I5345,0)),"Dire","Radiant"),"")</f>
        <v/>
      </c>
    </row>
    <row r="5346" spans="20:21" x14ac:dyDescent="0.3">
      <c r="T5346" t="str">
        <f>IF(ISERROR(MATCH('Analysis backend'!$M$1,E5346:N5346,0)),"",'Analysis backend'!$L$1)</f>
        <v/>
      </c>
      <c r="U5346" t="str">
        <f>IF(T5346='Analysis backend'!$L$1,IF(ISERROR(MATCH('Analysis backend'!$M$1,E5346:I5346,0)),"Dire","Radiant"),"")</f>
        <v/>
      </c>
    </row>
    <row r="5347" spans="20:21" x14ac:dyDescent="0.3">
      <c r="T5347" t="str">
        <f>IF(ISERROR(MATCH('Analysis backend'!$M$1,E5347:N5347,0)),"",'Analysis backend'!$L$1)</f>
        <v/>
      </c>
      <c r="U5347" t="str">
        <f>IF(T5347='Analysis backend'!$L$1,IF(ISERROR(MATCH('Analysis backend'!$M$1,E5347:I5347,0)),"Dire","Radiant"),"")</f>
        <v/>
      </c>
    </row>
    <row r="5348" spans="20:21" x14ac:dyDescent="0.3">
      <c r="T5348" t="str">
        <f>IF(ISERROR(MATCH('Analysis backend'!$M$1,E5348:N5348,0)),"",'Analysis backend'!$L$1)</f>
        <v/>
      </c>
      <c r="U5348" t="str">
        <f>IF(T5348='Analysis backend'!$L$1,IF(ISERROR(MATCH('Analysis backend'!$M$1,E5348:I5348,0)),"Dire","Radiant"),"")</f>
        <v/>
      </c>
    </row>
    <row r="5349" spans="20:21" x14ac:dyDescent="0.3">
      <c r="T5349" t="str">
        <f>IF(ISERROR(MATCH('Analysis backend'!$M$1,E5349:N5349,0)),"",'Analysis backend'!$L$1)</f>
        <v/>
      </c>
      <c r="U5349" t="str">
        <f>IF(T5349='Analysis backend'!$L$1,IF(ISERROR(MATCH('Analysis backend'!$M$1,E5349:I5349,0)),"Dire","Radiant"),"")</f>
        <v/>
      </c>
    </row>
    <row r="5350" spans="20:21" x14ac:dyDescent="0.3">
      <c r="T5350" t="str">
        <f>IF(ISERROR(MATCH('Analysis backend'!$M$1,E5350:N5350,0)),"",'Analysis backend'!$L$1)</f>
        <v/>
      </c>
      <c r="U5350" t="str">
        <f>IF(T5350='Analysis backend'!$L$1,IF(ISERROR(MATCH('Analysis backend'!$M$1,E5350:I5350,0)),"Dire","Radiant"),"")</f>
        <v/>
      </c>
    </row>
    <row r="5351" spans="20:21" x14ac:dyDescent="0.3">
      <c r="T5351" t="str">
        <f>IF(ISERROR(MATCH('Analysis backend'!$M$1,E5351:N5351,0)),"",'Analysis backend'!$L$1)</f>
        <v/>
      </c>
      <c r="U5351" t="str">
        <f>IF(T5351='Analysis backend'!$L$1,IF(ISERROR(MATCH('Analysis backend'!$M$1,E5351:I5351,0)),"Dire","Radiant"),"")</f>
        <v/>
      </c>
    </row>
    <row r="5352" spans="20:21" x14ac:dyDescent="0.3">
      <c r="T5352" t="str">
        <f>IF(ISERROR(MATCH('Analysis backend'!$M$1,E5352:N5352,0)),"",'Analysis backend'!$L$1)</f>
        <v/>
      </c>
      <c r="U5352" t="str">
        <f>IF(T5352='Analysis backend'!$L$1,IF(ISERROR(MATCH('Analysis backend'!$M$1,E5352:I5352,0)),"Dire","Radiant"),"")</f>
        <v/>
      </c>
    </row>
    <row r="5353" spans="20:21" x14ac:dyDescent="0.3">
      <c r="T5353" t="str">
        <f>IF(ISERROR(MATCH('Analysis backend'!$M$1,E5353:N5353,0)),"",'Analysis backend'!$L$1)</f>
        <v/>
      </c>
      <c r="U5353" t="str">
        <f>IF(T5353='Analysis backend'!$L$1,IF(ISERROR(MATCH('Analysis backend'!$M$1,E5353:I5353,0)),"Dire","Radiant"),"")</f>
        <v/>
      </c>
    </row>
    <row r="5354" spans="20:21" x14ac:dyDescent="0.3">
      <c r="T5354" t="str">
        <f>IF(ISERROR(MATCH('Analysis backend'!$M$1,E5354:N5354,0)),"",'Analysis backend'!$L$1)</f>
        <v/>
      </c>
      <c r="U5354" t="str">
        <f>IF(T5354='Analysis backend'!$L$1,IF(ISERROR(MATCH('Analysis backend'!$M$1,E5354:I5354,0)),"Dire","Radiant"),"")</f>
        <v/>
      </c>
    </row>
    <row r="5355" spans="20:21" x14ac:dyDescent="0.3">
      <c r="T5355" t="str">
        <f>IF(ISERROR(MATCH('Analysis backend'!$M$1,E5355:N5355,0)),"",'Analysis backend'!$L$1)</f>
        <v/>
      </c>
      <c r="U5355" t="str">
        <f>IF(T5355='Analysis backend'!$L$1,IF(ISERROR(MATCH('Analysis backend'!$M$1,E5355:I5355,0)),"Dire","Radiant"),"")</f>
        <v/>
      </c>
    </row>
    <row r="5356" spans="20:21" x14ac:dyDescent="0.3">
      <c r="T5356" t="str">
        <f>IF(ISERROR(MATCH('Analysis backend'!$M$1,E5356:N5356,0)),"",'Analysis backend'!$L$1)</f>
        <v/>
      </c>
      <c r="U5356" t="str">
        <f>IF(T5356='Analysis backend'!$L$1,IF(ISERROR(MATCH('Analysis backend'!$M$1,E5356:I5356,0)),"Dire","Radiant"),"")</f>
        <v/>
      </c>
    </row>
    <row r="5357" spans="20:21" x14ac:dyDescent="0.3">
      <c r="T5357" t="str">
        <f>IF(ISERROR(MATCH('Analysis backend'!$M$1,E5357:N5357,0)),"",'Analysis backend'!$L$1)</f>
        <v/>
      </c>
      <c r="U5357" t="str">
        <f>IF(T5357='Analysis backend'!$L$1,IF(ISERROR(MATCH('Analysis backend'!$M$1,E5357:I5357,0)),"Dire","Radiant"),"")</f>
        <v/>
      </c>
    </row>
    <row r="5358" spans="20:21" x14ac:dyDescent="0.3">
      <c r="T5358" t="str">
        <f>IF(ISERROR(MATCH('Analysis backend'!$M$1,E5358:N5358,0)),"",'Analysis backend'!$L$1)</f>
        <v/>
      </c>
      <c r="U5358" t="str">
        <f>IF(T5358='Analysis backend'!$L$1,IF(ISERROR(MATCH('Analysis backend'!$M$1,E5358:I5358,0)),"Dire","Radiant"),"")</f>
        <v/>
      </c>
    </row>
    <row r="5359" spans="20:21" x14ac:dyDescent="0.3">
      <c r="T5359" t="str">
        <f>IF(ISERROR(MATCH('Analysis backend'!$M$1,E5359:N5359,0)),"",'Analysis backend'!$L$1)</f>
        <v/>
      </c>
      <c r="U5359" t="str">
        <f>IF(T5359='Analysis backend'!$L$1,IF(ISERROR(MATCH('Analysis backend'!$M$1,E5359:I5359,0)),"Dire","Radiant"),"")</f>
        <v/>
      </c>
    </row>
    <row r="5360" spans="20:21" x14ac:dyDescent="0.3">
      <c r="T5360" t="str">
        <f>IF(ISERROR(MATCH('Analysis backend'!$M$1,E5360:N5360,0)),"",'Analysis backend'!$L$1)</f>
        <v/>
      </c>
      <c r="U5360" t="str">
        <f>IF(T5360='Analysis backend'!$L$1,IF(ISERROR(MATCH('Analysis backend'!$M$1,E5360:I5360,0)),"Dire","Radiant"),"")</f>
        <v/>
      </c>
    </row>
    <row r="5361" spans="20:21" x14ac:dyDescent="0.3">
      <c r="T5361" t="str">
        <f>IF(ISERROR(MATCH('Analysis backend'!$M$1,E5361:N5361,0)),"",'Analysis backend'!$L$1)</f>
        <v/>
      </c>
      <c r="U5361" t="str">
        <f>IF(T5361='Analysis backend'!$L$1,IF(ISERROR(MATCH('Analysis backend'!$M$1,E5361:I5361,0)),"Dire","Radiant"),"")</f>
        <v/>
      </c>
    </row>
    <row r="5362" spans="20:21" x14ac:dyDescent="0.3">
      <c r="T5362" t="str">
        <f>IF(ISERROR(MATCH('Analysis backend'!$M$1,E5362:N5362,0)),"",'Analysis backend'!$L$1)</f>
        <v/>
      </c>
      <c r="U5362" t="str">
        <f>IF(T5362='Analysis backend'!$L$1,IF(ISERROR(MATCH('Analysis backend'!$M$1,E5362:I5362,0)),"Dire","Radiant"),"")</f>
        <v/>
      </c>
    </row>
    <row r="5363" spans="20:21" x14ac:dyDescent="0.3">
      <c r="T5363" t="str">
        <f>IF(ISERROR(MATCH('Analysis backend'!$M$1,E5363:N5363,0)),"",'Analysis backend'!$L$1)</f>
        <v/>
      </c>
      <c r="U5363" t="str">
        <f>IF(T5363='Analysis backend'!$L$1,IF(ISERROR(MATCH('Analysis backend'!$M$1,E5363:I5363,0)),"Dire","Radiant"),"")</f>
        <v/>
      </c>
    </row>
    <row r="5364" spans="20:21" x14ac:dyDescent="0.3">
      <c r="T5364" t="str">
        <f>IF(ISERROR(MATCH('Analysis backend'!$M$1,E5364:N5364,0)),"",'Analysis backend'!$L$1)</f>
        <v/>
      </c>
      <c r="U5364" t="str">
        <f>IF(T5364='Analysis backend'!$L$1,IF(ISERROR(MATCH('Analysis backend'!$M$1,E5364:I5364,0)),"Dire","Radiant"),"")</f>
        <v/>
      </c>
    </row>
    <row r="5365" spans="20:21" x14ac:dyDescent="0.3">
      <c r="T5365" t="str">
        <f>IF(ISERROR(MATCH('Analysis backend'!$M$1,E5365:N5365,0)),"",'Analysis backend'!$L$1)</f>
        <v/>
      </c>
      <c r="U5365" t="str">
        <f>IF(T5365='Analysis backend'!$L$1,IF(ISERROR(MATCH('Analysis backend'!$M$1,E5365:I5365,0)),"Dire","Radiant"),"")</f>
        <v/>
      </c>
    </row>
    <row r="5366" spans="20:21" x14ac:dyDescent="0.3">
      <c r="T5366" t="str">
        <f>IF(ISERROR(MATCH('Analysis backend'!$M$1,E5366:N5366,0)),"",'Analysis backend'!$L$1)</f>
        <v/>
      </c>
      <c r="U5366" t="str">
        <f>IF(T5366='Analysis backend'!$L$1,IF(ISERROR(MATCH('Analysis backend'!$M$1,E5366:I5366,0)),"Dire","Radiant"),"")</f>
        <v/>
      </c>
    </row>
    <row r="5367" spans="20:21" x14ac:dyDescent="0.3">
      <c r="T5367" t="str">
        <f>IF(ISERROR(MATCH('Analysis backend'!$M$1,E5367:N5367,0)),"",'Analysis backend'!$L$1)</f>
        <v/>
      </c>
      <c r="U5367" t="str">
        <f>IF(T5367='Analysis backend'!$L$1,IF(ISERROR(MATCH('Analysis backend'!$M$1,E5367:I5367,0)),"Dire","Radiant"),"")</f>
        <v/>
      </c>
    </row>
    <row r="5368" spans="20:21" x14ac:dyDescent="0.3">
      <c r="T5368" t="str">
        <f>IF(ISERROR(MATCH('Analysis backend'!$M$1,E5368:N5368,0)),"",'Analysis backend'!$L$1)</f>
        <v/>
      </c>
      <c r="U5368" t="str">
        <f>IF(T5368='Analysis backend'!$L$1,IF(ISERROR(MATCH('Analysis backend'!$M$1,E5368:I5368,0)),"Dire","Radiant"),"")</f>
        <v/>
      </c>
    </row>
    <row r="5369" spans="20:21" x14ac:dyDescent="0.3">
      <c r="T5369" t="str">
        <f>IF(ISERROR(MATCH('Analysis backend'!$M$1,E5369:N5369,0)),"",'Analysis backend'!$L$1)</f>
        <v/>
      </c>
      <c r="U5369" t="str">
        <f>IF(T5369='Analysis backend'!$L$1,IF(ISERROR(MATCH('Analysis backend'!$M$1,E5369:I5369,0)),"Dire","Radiant"),"")</f>
        <v/>
      </c>
    </row>
    <row r="5370" spans="20:21" x14ac:dyDescent="0.3">
      <c r="T5370" t="str">
        <f>IF(ISERROR(MATCH('Analysis backend'!$M$1,E5370:N5370,0)),"",'Analysis backend'!$L$1)</f>
        <v/>
      </c>
      <c r="U5370" t="str">
        <f>IF(T5370='Analysis backend'!$L$1,IF(ISERROR(MATCH('Analysis backend'!$M$1,E5370:I5370,0)),"Dire","Radiant"),"")</f>
        <v/>
      </c>
    </row>
    <row r="5371" spans="20:21" x14ac:dyDescent="0.3">
      <c r="T5371" t="str">
        <f>IF(ISERROR(MATCH('Analysis backend'!$M$1,E5371:N5371,0)),"",'Analysis backend'!$L$1)</f>
        <v/>
      </c>
      <c r="U5371" t="str">
        <f>IF(T5371='Analysis backend'!$L$1,IF(ISERROR(MATCH('Analysis backend'!$M$1,E5371:I5371,0)),"Dire","Radiant"),"")</f>
        <v/>
      </c>
    </row>
    <row r="5372" spans="20:21" x14ac:dyDescent="0.3">
      <c r="T5372" t="str">
        <f>IF(ISERROR(MATCH('Analysis backend'!$M$1,E5372:N5372,0)),"",'Analysis backend'!$L$1)</f>
        <v/>
      </c>
      <c r="U5372" t="str">
        <f>IF(T5372='Analysis backend'!$L$1,IF(ISERROR(MATCH('Analysis backend'!$M$1,E5372:I5372,0)),"Dire","Radiant"),"")</f>
        <v/>
      </c>
    </row>
    <row r="5373" spans="20:21" x14ac:dyDescent="0.3">
      <c r="T5373" t="str">
        <f>IF(ISERROR(MATCH('Analysis backend'!$M$1,E5373:N5373,0)),"",'Analysis backend'!$L$1)</f>
        <v/>
      </c>
      <c r="U5373" t="str">
        <f>IF(T5373='Analysis backend'!$L$1,IF(ISERROR(MATCH('Analysis backend'!$M$1,E5373:I5373,0)),"Dire","Radiant"),"")</f>
        <v/>
      </c>
    </row>
    <row r="5374" spans="20:21" x14ac:dyDescent="0.3">
      <c r="T5374" t="str">
        <f>IF(ISERROR(MATCH('Analysis backend'!$M$1,E5374:N5374,0)),"",'Analysis backend'!$L$1)</f>
        <v/>
      </c>
      <c r="U5374" t="str">
        <f>IF(T5374='Analysis backend'!$L$1,IF(ISERROR(MATCH('Analysis backend'!$M$1,E5374:I5374,0)),"Dire","Radiant"),"")</f>
        <v/>
      </c>
    </row>
    <row r="5375" spans="20:21" x14ac:dyDescent="0.3">
      <c r="T5375" t="str">
        <f>IF(ISERROR(MATCH('Analysis backend'!$M$1,E5375:N5375,0)),"",'Analysis backend'!$L$1)</f>
        <v/>
      </c>
      <c r="U5375" t="str">
        <f>IF(T5375='Analysis backend'!$L$1,IF(ISERROR(MATCH('Analysis backend'!$M$1,E5375:I5375,0)),"Dire","Radiant"),"")</f>
        <v/>
      </c>
    </row>
    <row r="5376" spans="20:21" x14ac:dyDescent="0.3">
      <c r="T5376" t="str">
        <f>IF(ISERROR(MATCH('Analysis backend'!$M$1,E5376:N5376,0)),"",'Analysis backend'!$L$1)</f>
        <v/>
      </c>
      <c r="U5376" t="str">
        <f>IF(T5376='Analysis backend'!$L$1,IF(ISERROR(MATCH('Analysis backend'!$M$1,E5376:I5376,0)),"Dire","Radiant"),"")</f>
        <v/>
      </c>
    </row>
    <row r="5377" spans="20:21" x14ac:dyDescent="0.3">
      <c r="T5377" t="str">
        <f>IF(ISERROR(MATCH('Analysis backend'!$M$1,E5377:N5377,0)),"",'Analysis backend'!$L$1)</f>
        <v/>
      </c>
      <c r="U5377" t="str">
        <f>IF(T5377='Analysis backend'!$L$1,IF(ISERROR(MATCH('Analysis backend'!$M$1,E5377:I5377,0)),"Dire","Radiant"),"")</f>
        <v/>
      </c>
    </row>
    <row r="5378" spans="20:21" x14ac:dyDescent="0.3">
      <c r="T5378" t="str">
        <f>IF(ISERROR(MATCH('Analysis backend'!$M$1,E5378:N5378,0)),"",'Analysis backend'!$L$1)</f>
        <v/>
      </c>
      <c r="U5378" t="str">
        <f>IF(T5378='Analysis backend'!$L$1,IF(ISERROR(MATCH('Analysis backend'!$M$1,E5378:I5378,0)),"Dire","Radiant"),"")</f>
        <v/>
      </c>
    </row>
    <row r="5379" spans="20:21" x14ac:dyDescent="0.3">
      <c r="T5379" t="str">
        <f>IF(ISERROR(MATCH('Analysis backend'!$M$1,E5379:N5379,0)),"",'Analysis backend'!$L$1)</f>
        <v/>
      </c>
      <c r="U5379" t="str">
        <f>IF(T5379='Analysis backend'!$L$1,IF(ISERROR(MATCH('Analysis backend'!$M$1,E5379:I5379,0)),"Dire","Radiant"),"")</f>
        <v/>
      </c>
    </row>
    <row r="5380" spans="20:21" x14ac:dyDescent="0.3">
      <c r="T5380" t="str">
        <f>IF(ISERROR(MATCH('Analysis backend'!$M$1,E5380:N5380,0)),"",'Analysis backend'!$L$1)</f>
        <v/>
      </c>
      <c r="U5380" t="str">
        <f>IF(T5380='Analysis backend'!$L$1,IF(ISERROR(MATCH('Analysis backend'!$M$1,E5380:I5380,0)),"Dire","Radiant"),"")</f>
        <v/>
      </c>
    </row>
    <row r="5381" spans="20:21" x14ac:dyDescent="0.3">
      <c r="T5381" t="str">
        <f>IF(ISERROR(MATCH('Analysis backend'!$M$1,E5381:N5381,0)),"",'Analysis backend'!$L$1)</f>
        <v/>
      </c>
      <c r="U5381" t="str">
        <f>IF(T5381='Analysis backend'!$L$1,IF(ISERROR(MATCH('Analysis backend'!$M$1,E5381:I5381,0)),"Dire","Radiant"),"")</f>
        <v/>
      </c>
    </row>
    <row r="5382" spans="20:21" x14ac:dyDescent="0.3">
      <c r="T5382" t="str">
        <f>IF(ISERROR(MATCH('Analysis backend'!$M$1,E5382:N5382,0)),"",'Analysis backend'!$L$1)</f>
        <v/>
      </c>
      <c r="U5382" t="str">
        <f>IF(T5382='Analysis backend'!$L$1,IF(ISERROR(MATCH('Analysis backend'!$M$1,E5382:I5382,0)),"Dire","Radiant"),"")</f>
        <v/>
      </c>
    </row>
    <row r="5383" spans="20:21" x14ac:dyDescent="0.3">
      <c r="T5383" t="str">
        <f>IF(ISERROR(MATCH('Analysis backend'!$M$1,E5383:N5383,0)),"",'Analysis backend'!$L$1)</f>
        <v/>
      </c>
      <c r="U5383" t="str">
        <f>IF(T5383='Analysis backend'!$L$1,IF(ISERROR(MATCH('Analysis backend'!$M$1,E5383:I5383,0)),"Dire","Radiant"),"")</f>
        <v/>
      </c>
    </row>
    <row r="5384" spans="20:21" x14ac:dyDescent="0.3">
      <c r="T5384" t="str">
        <f>IF(ISERROR(MATCH('Analysis backend'!$M$1,E5384:N5384,0)),"",'Analysis backend'!$L$1)</f>
        <v/>
      </c>
      <c r="U5384" t="str">
        <f>IF(T5384='Analysis backend'!$L$1,IF(ISERROR(MATCH('Analysis backend'!$M$1,E5384:I5384,0)),"Dire","Radiant"),"")</f>
        <v/>
      </c>
    </row>
    <row r="5385" spans="20:21" x14ac:dyDescent="0.3">
      <c r="T5385" t="str">
        <f>IF(ISERROR(MATCH('Analysis backend'!$M$1,E5385:N5385,0)),"",'Analysis backend'!$L$1)</f>
        <v/>
      </c>
      <c r="U5385" t="str">
        <f>IF(T5385='Analysis backend'!$L$1,IF(ISERROR(MATCH('Analysis backend'!$M$1,E5385:I5385,0)),"Dire","Radiant"),"")</f>
        <v/>
      </c>
    </row>
    <row r="5386" spans="20:21" x14ac:dyDescent="0.3">
      <c r="T5386" t="str">
        <f>IF(ISERROR(MATCH('Analysis backend'!$M$1,E5386:N5386,0)),"",'Analysis backend'!$L$1)</f>
        <v/>
      </c>
      <c r="U5386" t="str">
        <f>IF(T5386='Analysis backend'!$L$1,IF(ISERROR(MATCH('Analysis backend'!$M$1,E5386:I5386,0)),"Dire","Radiant"),"")</f>
        <v/>
      </c>
    </row>
    <row r="5387" spans="20:21" x14ac:dyDescent="0.3">
      <c r="T5387" t="str">
        <f>IF(ISERROR(MATCH('Analysis backend'!$M$1,E5387:N5387,0)),"",'Analysis backend'!$L$1)</f>
        <v/>
      </c>
      <c r="U5387" t="str">
        <f>IF(T5387='Analysis backend'!$L$1,IF(ISERROR(MATCH('Analysis backend'!$M$1,E5387:I5387,0)),"Dire","Radiant"),"")</f>
        <v/>
      </c>
    </row>
    <row r="5388" spans="20:21" x14ac:dyDescent="0.3">
      <c r="T5388" t="str">
        <f>IF(ISERROR(MATCH('Analysis backend'!$M$1,E5388:N5388,0)),"",'Analysis backend'!$L$1)</f>
        <v/>
      </c>
      <c r="U5388" t="str">
        <f>IF(T5388='Analysis backend'!$L$1,IF(ISERROR(MATCH('Analysis backend'!$M$1,E5388:I5388,0)),"Dire","Radiant"),"")</f>
        <v/>
      </c>
    </row>
    <row r="5389" spans="20:21" x14ac:dyDescent="0.3">
      <c r="T5389" t="str">
        <f>IF(ISERROR(MATCH('Analysis backend'!$M$1,E5389:N5389,0)),"",'Analysis backend'!$L$1)</f>
        <v/>
      </c>
      <c r="U5389" t="str">
        <f>IF(T5389='Analysis backend'!$L$1,IF(ISERROR(MATCH('Analysis backend'!$M$1,E5389:I5389,0)),"Dire","Radiant"),"")</f>
        <v/>
      </c>
    </row>
    <row r="5390" spans="20:21" x14ac:dyDescent="0.3">
      <c r="T5390" t="str">
        <f>IF(ISERROR(MATCH('Analysis backend'!$M$1,E5390:N5390,0)),"",'Analysis backend'!$L$1)</f>
        <v/>
      </c>
      <c r="U5390" t="str">
        <f>IF(T5390='Analysis backend'!$L$1,IF(ISERROR(MATCH('Analysis backend'!$M$1,E5390:I5390,0)),"Dire","Radiant"),"")</f>
        <v/>
      </c>
    </row>
    <row r="5391" spans="20:21" x14ac:dyDescent="0.3">
      <c r="T5391" t="str">
        <f>IF(ISERROR(MATCH('Analysis backend'!$M$1,E5391:N5391,0)),"",'Analysis backend'!$L$1)</f>
        <v/>
      </c>
      <c r="U5391" t="str">
        <f>IF(T5391='Analysis backend'!$L$1,IF(ISERROR(MATCH('Analysis backend'!$M$1,E5391:I5391,0)),"Dire","Radiant"),"")</f>
        <v/>
      </c>
    </row>
    <row r="5392" spans="20:21" x14ac:dyDescent="0.3">
      <c r="T5392" t="str">
        <f>IF(ISERROR(MATCH('Analysis backend'!$M$1,E5392:N5392,0)),"",'Analysis backend'!$L$1)</f>
        <v/>
      </c>
      <c r="U5392" t="str">
        <f>IF(T5392='Analysis backend'!$L$1,IF(ISERROR(MATCH('Analysis backend'!$M$1,E5392:I5392,0)),"Dire","Radiant"),"")</f>
        <v/>
      </c>
    </row>
    <row r="5393" spans="20:21" x14ac:dyDescent="0.3">
      <c r="T5393" t="str">
        <f>IF(ISERROR(MATCH('Analysis backend'!$M$1,E5393:N5393,0)),"",'Analysis backend'!$L$1)</f>
        <v/>
      </c>
      <c r="U5393" t="str">
        <f>IF(T5393='Analysis backend'!$L$1,IF(ISERROR(MATCH('Analysis backend'!$M$1,E5393:I5393,0)),"Dire","Radiant"),"")</f>
        <v/>
      </c>
    </row>
    <row r="5394" spans="20:21" x14ac:dyDescent="0.3">
      <c r="T5394" t="str">
        <f>IF(ISERROR(MATCH('Analysis backend'!$M$1,E5394:N5394,0)),"",'Analysis backend'!$L$1)</f>
        <v/>
      </c>
      <c r="U5394" t="str">
        <f>IF(T5394='Analysis backend'!$L$1,IF(ISERROR(MATCH('Analysis backend'!$M$1,E5394:I5394,0)),"Dire","Radiant"),"")</f>
        <v/>
      </c>
    </row>
    <row r="5395" spans="20:21" x14ac:dyDescent="0.3">
      <c r="T5395" t="str">
        <f>IF(ISERROR(MATCH('Analysis backend'!$M$1,E5395:N5395,0)),"",'Analysis backend'!$L$1)</f>
        <v/>
      </c>
      <c r="U5395" t="str">
        <f>IF(T5395='Analysis backend'!$L$1,IF(ISERROR(MATCH('Analysis backend'!$M$1,E5395:I5395,0)),"Dire","Radiant"),"")</f>
        <v/>
      </c>
    </row>
    <row r="5396" spans="20:21" x14ac:dyDescent="0.3">
      <c r="T5396" t="str">
        <f>IF(ISERROR(MATCH('Analysis backend'!$M$1,E5396:N5396,0)),"",'Analysis backend'!$L$1)</f>
        <v/>
      </c>
      <c r="U5396" t="str">
        <f>IF(T5396='Analysis backend'!$L$1,IF(ISERROR(MATCH('Analysis backend'!$M$1,E5396:I5396,0)),"Dire","Radiant"),"")</f>
        <v/>
      </c>
    </row>
    <row r="5397" spans="20:21" x14ac:dyDescent="0.3">
      <c r="T5397" t="str">
        <f>IF(ISERROR(MATCH('Analysis backend'!$M$1,E5397:N5397,0)),"",'Analysis backend'!$L$1)</f>
        <v/>
      </c>
      <c r="U5397" t="str">
        <f>IF(T5397='Analysis backend'!$L$1,IF(ISERROR(MATCH('Analysis backend'!$M$1,E5397:I5397,0)),"Dire","Radiant"),"")</f>
        <v/>
      </c>
    </row>
    <row r="5398" spans="20:21" x14ac:dyDescent="0.3">
      <c r="T5398" t="str">
        <f>IF(ISERROR(MATCH('Analysis backend'!$M$1,E5398:N5398,0)),"",'Analysis backend'!$L$1)</f>
        <v/>
      </c>
      <c r="U5398" t="str">
        <f>IF(T5398='Analysis backend'!$L$1,IF(ISERROR(MATCH('Analysis backend'!$M$1,E5398:I5398,0)),"Dire","Radiant"),"")</f>
        <v/>
      </c>
    </row>
    <row r="5399" spans="20:21" x14ac:dyDescent="0.3">
      <c r="T5399" t="str">
        <f>IF(ISERROR(MATCH('Analysis backend'!$M$1,E5399:N5399,0)),"",'Analysis backend'!$L$1)</f>
        <v/>
      </c>
      <c r="U5399" t="str">
        <f>IF(T5399='Analysis backend'!$L$1,IF(ISERROR(MATCH('Analysis backend'!$M$1,E5399:I5399,0)),"Dire","Radiant"),"")</f>
        <v/>
      </c>
    </row>
    <row r="5400" spans="20:21" x14ac:dyDescent="0.3">
      <c r="T5400" t="str">
        <f>IF(ISERROR(MATCH('Analysis backend'!$M$1,E5400:N5400,0)),"",'Analysis backend'!$L$1)</f>
        <v/>
      </c>
      <c r="U5400" t="str">
        <f>IF(T5400='Analysis backend'!$L$1,IF(ISERROR(MATCH('Analysis backend'!$M$1,E5400:I5400,0)),"Dire","Radiant"),"")</f>
        <v/>
      </c>
    </row>
    <row r="5401" spans="20:21" x14ac:dyDescent="0.3">
      <c r="T5401" t="str">
        <f>IF(ISERROR(MATCH('Analysis backend'!$M$1,E5401:N5401,0)),"",'Analysis backend'!$L$1)</f>
        <v/>
      </c>
      <c r="U5401" t="str">
        <f>IF(T5401='Analysis backend'!$L$1,IF(ISERROR(MATCH('Analysis backend'!$M$1,E5401:I5401,0)),"Dire","Radiant"),"")</f>
        <v/>
      </c>
    </row>
    <row r="5402" spans="20:21" x14ac:dyDescent="0.3">
      <c r="T5402" t="str">
        <f>IF(ISERROR(MATCH('Analysis backend'!$M$1,E5402:N5402,0)),"",'Analysis backend'!$L$1)</f>
        <v/>
      </c>
      <c r="U5402" t="str">
        <f>IF(T5402='Analysis backend'!$L$1,IF(ISERROR(MATCH('Analysis backend'!$M$1,E5402:I5402,0)),"Dire","Radiant"),"")</f>
        <v/>
      </c>
    </row>
    <row r="5403" spans="20:21" x14ac:dyDescent="0.3">
      <c r="T5403" t="str">
        <f>IF(ISERROR(MATCH('Analysis backend'!$M$1,E5403:N5403,0)),"",'Analysis backend'!$L$1)</f>
        <v/>
      </c>
      <c r="U5403" t="str">
        <f>IF(T5403='Analysis backend'!$L$1,IF(ISERROR(MATCH('Analysis backend'!$M$1,E5403:I5403,0)),"Dire","Radiant"),"")</f>
        <v/>
      </c>
    </row>
    <row r="5404" spans="20:21" x14ac:dyDescent="0.3">
      <c r="T5404" t="str">
        <f>IF(ISERROR(MATCH('Analysis backend'!$M$1,E5404:N5404,0)),"",'Analysis backend'!$L$1)</f>
        <v/>
      </c>
      <c r="U5404" t="str">
        <f>IF(T5404='Analysis backend'!$L$1,IF(ISERROR(MATCH('Analysis backend'!$M$1,E5404:I5404,0)),"Dire","Radiant"),"")</f>
        <v/>
      </c>
    </row>
    <row r="5405" spans="20:21" x14ac:dyDescent="0.3">
      <c r="T5405" t="str">
        <f>IF(ISERROR(MATCH('Analysis backend'!$M$1,E5405:N5405,0)),"",'Analysis backend'!$L$1)</f>
        <v/>
      </c>
      <c r="U5405" t="str">
        <f>IF(T5405='Analysis backend'!$L$1,IF(ISERROR(MATCH('Analysis backend'!$M$1,E5405:I5405,0)),"Dire","Radiant"),"")</f>
        <v/>
      </c>
    </row>
    <row r="5406" spans="20:21" x14ac:dyDescent="0.3">
      <c r="T5406" t="str">
        <f>IF(ISERROR(MATCH('Analysis backend'!$M$1,E5406:N5406,0)),"",'Analysis backend'!$L$1)</f>
        <v/>
      </c>
      <c r="U5406" t="str">
        <f>IF(T5406='Analysis backend'!$L$1,IF(ISERROR(MATCH('Analysis backend'!$M$1,E5406:I5406,0)),"Dire","Radiant"),"")</f>
        <v/>
      </c>
    </row>
    <row r="5407" spans="20:21" x14ac:dyDescent="0.3">
      <c r="T5407" t="str">
        <f>IF(ISERROR(MATCH('Analysis backend'!$M$1,E5407:N5407,0)),"",'Analysis backend'!$L$1)</f>
        <v/>
      </c>
      <c r="U5407" t="str">
        <f>IF(T5407='Analysis backend'!$L$1,IF(ISERROR(MATCH('Analysis backend'!$M$1,E5407:I5407,0)),"Dire","Radiant"),"")</f>
        <v/>
      </c>
    </row>
    <row r="5408" spans="20:21" x14ac:dyDescent="0.3">
      <c r="T5408" t="str">
        <f>IF(ISERROR(MATCH('Analysis backend'!$M$1,E5408:N5408,0)),"",'Analysis backend'!$L$1)</f>
        <v/>
      </c>
      <c r="U5408" t="str">
        <f>IF(T5408='Analysis backend'!$L$1,IF(ISERROR(MATCH('Analysis backend'!$M$1,E5408:I5408,0)),"Dire","Radiant"),"")</f>
        <v/>
      </c>
    </row>
    <row r="5409" spans="20:21" x14ac:dyDescent="0.3">
      <c r="T5409" t="str">
        <f>IF(ISERROR(MATCH('Analysis backend'!$M$1,E5409:N5409,0)),"",'Analysis backend'!$L$1)</f>
        <v/>
      </c>
      <c r="U5409" t="str">
        <f>IF(T5409='Analysis backend'!$L$1,IF(ISERROR(MATCH('Analysis backend'!$M$1,E5409:I5409,0)),"Dire","Radiant"),"")</f>
        <v/>
      </c>
    </row>
    <row r="5410" spans="20:21" x14ac:dyDescent="0.3">
      <c r="T5410" t="str">
        <f>IF(ISERROR(MATCH('Analysis backend'!$M$1,E5410:N5410,0)),"",'Analysis backend'!$L$1)</f>
        <v/>
      </c>
      <c r="U5410" t="str">
        <f>IF(T5410='Analysis backend'!$L$1,IF(ISERROR(MATCH('Analysis backend'!$M$1,E5410:I5410,0)),"Dire","Radiant"),"")</f>
        <v/>
      </c>
    </row>
    <row r="5411" spans="20:21" x14ac:dyDescent="0.3">
      <c r="T5411" t="str">
        <f>IF(ISERROR(MATCH('Analysis backend'!$M$1,E5411:N5411,0)),"",'Analysis backend'!$L$1)</f>
        <v/>
      </c>
      <c r="U5411" t="str">
        <f>IF(T5411='Analysis backend'!$L$1,IF(ISERROR(MATCH('Analysis backend'!$M$1,E5411:I5411,0)),"Dire","Radiant"),"")</f>
        <v/>
      </c>
    </row>
    <row r="5412" spans="20:21" x14ac:dyDescent="0.3">
      <c r="T5412" t="str">
        <f>IF(ISERROR(MATCH('Analysis backend'!$M$1,E5412:N5412,0)),"",'Analysis backend'!$L$1)</f>
        <v/>
      </c>
      <c r="U5412" t="str">
        <f>IF(T5412='Analysis backend'!$L$1,IF(ISERROR(MATCH('Analysis backend'!$M$1,E5412:I5412,0)),"Dire","Radiant"),"")</f>
        <v/>
      </c>
    </row>
    <row r="5413" spans="20:21" x14ac:dyDescent="0.3">
      <c r="T5413" t="str">
        <f>IF(ISERROR(MATCH('Analysis backend'!$M$1,E5413:N5413,0)),"",'Analysis backend'!$L$1)</f>
        <v/>
      </c>
      <c r="U5413" t="str">
        <f>IF(T5413='Analysis backend'!$L$1,IF(ISERROR(MATCH('Analysis backend'!$M$1,E5413:I5413,0)),"Dire","Radiant"),"")</f>
        <v/>
      </c>
    </row>
    <row r="5414" spans="20:21" x14ac:dyDescent="0.3">
      <c r="T5414" t="str">
        <f>IF(ISERROR(MATCH('Analysis backend'!$M$1,E5414:N5414,0)),"",'Analysis backend'!$L$1)</f>
        <v/>
      </c>
      <c r="U5414" t="str">
        <f>IF(T5414='Analysis backend'!$L$1,IF(ISERROR(MATCH('Analysis backend'!$M$1,E5414:I5414,0)),"Dire","Radiant"),"")</f>
        <v/>
      </c>
    </row>
    <row r="5415" spans="20:21" x14ac:dyDescent="0.3">
      <c r="T5415" t="str">
        <f>IF(ISERROR(MATCH('Analysis backend'!$M$1,E5415:N5415,0)),"",'Analysis backend'!$L$1)</f>
        <v/>
      </c>
      <c r="U5415" t="str">
        <f>IF(T5415='Analysis backend'!$L$1,IF(ISERROR(MATCH('Analysis backend'!$M$1,E5415:I5415,0)),"Dire","Radiant"),"")</f>
        <v/>
      </c>
    </row>
    <row r="5416" spans="20:21" x14ac:dyDescent="0.3">
      <c r="T5416" t="str">
        <f>IF(ISERROR(MATCH('Analysis backend'!$M$1,E5416:N5416,0)),"",'Analysis backend'!$L$1)</f>
        <v/>
      </c>
      <c r="U5416" t="str">
        <f>IF(T5416='Analysis backend'!$L$1,IF(ISERROR(MATCH('Analysis backend'!$M$1,E5416:I5416,0)),"Dire","Radiant"),"")</f>
        <v/>
      </c>
    </row>
    <row r="5417" spans="20:21" x14ac:dyDescent="0.3">
      <c r="T5417" t="str">
        <f>IF(ISERROR(MATCH('Analysis backend'!$M$1,E5417:N5417,0)),"",'Analysis backend'!$L$1)</f>
        <v/>
      </c>
      <c r="U5417" t="str">
        <f>IF(T5417='Analysis backend'!$L$1,IF(ISERROR(MATCH('Analysis backend'!$M$1,E5417:I5417,0)),"Dire","Radiant"),"")</f>
        <v/>
      </c>
    </row>
    <row r="5418" spans="20:21" x14ac:dyDescent="0.3">
      <c r="T5418" t="str">
        <f>IF(ISERROR(MATCH('Analysis backend'!$M$1,E5418:N5418,0)),"",'Analysis backend'!$L$1)</f>
        <v/>
      </c>
      <c r="U5418" t="str">
        <f>IF(T5418='Analysis backend'!$L$1,IF(ISERROR(MATCH('Analysis backend'!$M$1,E5418:I5418,0)),"Dire","Radiant"),"")</f>
        <v/>
      </c>
    </row>
    <row r="5419" spans="20:21" x14ac:dyDescent="0.3">
      <c r="T5419" t="str">
        <f>IF(ISERROR(MATCH('Analysis backend'!$M$1,E5419:N5419,0)),"",'Analysis backend'!$L$1)</f>
        <v/>
      </c>
      <c r="U5419" t="str">
        <f>IF(T5419='Analysis backend'!$L$1,IF(ISERROR(MATCH('Analysis backend'!$M$1,E5419:I5419,0)),"Dire","Radiant"),"")</f>
        <v/>
      </c>
    </row>
    <row r="5420" spans="20:21" x14ac:dyDescent="0.3">
      <c r="T5420" t="str">
        <f>IF(ISERROR(MATCH('Analysis backend'!$M$1,E5420:N5420,0)),"",'Analysis backend'!$L$1)</f>
        <v/>
      </c>
      <c r="U5420" t="str">
        <f>IF(T5420='Analysis backend'!$L$1,IF(ISERROR(MATCH('Analysis backend'!$M$1,E5420:I5420,0)),"Dire","Radiant"),"")</f>
        <v/>
      </c>
    </row>
    <row r="5421" spans="20:21" x14ac:dyDescent="0.3">
      <c r="T5421" t="str">
        <f>IF(ISERROR(MATCH('Analysis backend'!$M$1,E5421:N5421,0)),"",'Analysis backend'!$L$1)</f>
        <v/>
      </c>
      <c r="U5421" t="str">
        <f>IF(T5421='Analysis backend'!$L$1,IF(ISERROR(MATCH('Analysis backend'!$M$1,E5421:I5421,0)),"Dire","Radiant"),"")</f>
        <v/>
      </c>
    </row>
    <row r="5422" spans="20:21" x14ac:dyDescent="0.3">
      <c r="T5422" t="str">
        <f>IF(ISERROR(MATCH('Analysis backend'!$M$1,E5422:N5422,0)),"",'Analysis backend'!$L$1)</f>
        <v/>
      </c>
      <c r="U5422" t="str">
        <f>IF(T5422='Analysis backend'!$L$1,IF(ISERROR(MATCH('Analysis backend'!$M$1,E5422:I5422,0)),"Dire","Radiant"),"")</f>
        <v/>
      </c>
    </row>
    <row r="5423" spans="20:21" x14ac:dyDescent="0.3">
      <c r="T5423" t="str">
        <f>IF(ISERROR(MATCH('Analysis backend'!$M$1,E5423:N5423,0)),"",'Analysis backend'!$L$1)</f>
        <v/>
      </c>
      <c r="U5423" t="str">
        <f>IF(T5423='Analysis backend'!$L$1,IF(ISERROR(MATCH('Analysis backend'!$M$1,E5423:I5423,0)),"Dire","Radiant"),"")</f>
        <v/>
      </c>
    </row>
    <row r="5424" spans="20:21" x14ac:dyDescent="0.3">
      <c r="T5424" t="str">
        <f>IF(ISERROR(MATCH('Analysis backend'!$M$1,E5424:N5424,0)),"",'Analysis backend'!$L$1)</f>
        <v/>
      </c>
      <c r="U5424" t="str">
        <f>IF(T5424='Analysis backend'!$L$1,IF(ISERROR(MATCH('Analysis backend'!$M$1,E5424:I5424,0)),"Dire","Radiant"),"")</f>
        <v/>
      </c>
    </row>
    <row r="5425" spans="20:21" x14ac:dyDescent="0.3">
      <c r="T5425" t="str">
        <f>IF(ISERROR(MATCH('Analysis backend'!$M$1,E5425:N5425,0)),"",'Analysis backend'!$L$1)</f>
        <v/>
      </c>
      <c r="U5425" t="str">
        <f>IF(T5425='Analysis backend'!$L$1,IF(ISERROR(MATCH('Analysis backend'!$M$1,E5425:I5425,0)),"Dire","Radiant"),"")</f>
        <v/>
      </c>
    </row>
    <row r="5426" spans="20:21" x14ac:dyDescent="0.3">
      <c r="T5426" t="str">
        <f>IF(ISERROR(MATCH('Analysis backend'!$M$1,E5426:N5426,0)),"",'Analysis backend'!$L$1)</f>
        <v/>
      </c>
      <c r="U5426" t="str">
        <f>IF(T5426='Analysis backend'!$L$1,IF(ISERROR(MATCH('Analysis backend'!$M$1,E5426:I5426,0)),"Dire","Radiant"),"")</f>
        <v/>
      </c>
    </row>
    <row r="5427" spans="20:21" x14ac:dyDescent="0.3">
      <c r="T5427" t="str">
        <f>IF(ISERROR(MATCH('Analysis backend'!$M$1,E5427:N5427,0)),"",'Analysis backend'!$L$1)</f>
        <v/>
      </c>
      <c r="U5427" t="str">
        <f>IF(T5427='Analysis backend'!$L$1,IF(ISERROR(MATCH('Analysis backend'!$M$1,E5427:I5427,0)),"Dire","Radiant"),"")</f>
        <v/>
      </c>
    </row>
    <row r="5428" spans="20:21" x14ac:dyDescent="0.3">
      <c r="T5428" t="str">
        <f>IF(ISERROR(MATCH('Analysis backend'!$M$1,E5428:N5428,0)),"",'Analysis backend'!$L$1)</f>
        <v/>
      </c>
      <c r="U5428" t="str">
        <f>IF(T5428='Analysis backend'!$L$1,IF(ISERROR(MATCH('Analysis backend'!$M$1,E5428:I5428,0)),"Dire","Radiant"),"")</f>
        <v/>
      </c>
    </row>
    <row r="5429" spans="20:21" x14ac:dyDescent="0.3">
      <c r="T5429" t="str">
        <f>IF(ISERROR(MATCH('Analysis backend'!$M$1,E5429:N5429,0)),"",'Analysis backend'!$L$1)</f>
        <v/>
      </c>
      <c r="U5429" t="str">
        <f>IF(T5429='Analysis backend'!$L$1,IF(ISERROR(MATCH('Analysis backend'!$M$1,E5429:I5429,0)),"Dire","Radiant"),"")</f>
        <v/>
      </c>
    </row>
    <row r="5430" spans="20:21" x14ac:dyDescent="0.3">
      <c r="T5430" t="str">
        <f>IF(ISERROR(MATCH('Analysis backend'!$M$1,E5430:N5430,0)),"",'Analysis backend'!$L$1)</f>
        <v/>
      </c>
      <c r="U5430" t="str">
        <f>IF(T5430='Analysis backend'!$L$1,IF(ISERROR(MATCH('Analysis backend'!$M$1,E5430:I5430,0)),"Dire","Radiant"),"")</f>
        <v/>
      </c>
    </row>
    <row r="5431" spans="20:21" x14ac:dyDescent="0.3">
      <c r="T5431" t="str">
        <f>IF(ISERROR(MATCH('Analysis backend'!$M$1,E5431:N5431,0)),"",'Analysis backend'!$L$1)</f>
        <v/>
      </c>
      <c r="U5431" t="str">
        <f>IF(T5431='Analysis backend'!$L$1,IF(ISERROR(MATCH('Analysis backend'!$M$1,E5431:I5431,0)),"Dire","Radiant"),"")</f>
        <v/>
      </c>
    </row>
    <row r="5432" spans="20:21" x14ac:dyDescent="0.3">
      <c r="T5432" t="str">
        <f>IF(ISERROR(MATCH('Analysis backend'!$M$1,E5432:N5432,0)),"",'Analysis backend'!$L$1)</f>
        <v/>
      </c>
      <c r="U5432" t="str">
        <f>IF(T5432='Analysis backend'!$L$1,IF(ISERROR(MATCH('Analysis backend'!$M$1,E5432:I5432,0)),"Dire","Radiant"),"")</f>
        <v/>
      </c>
    </row>
    <row r="5433" spans="20:21" x14ac:dyDescent="0.3">
      <c r="T5433" t="str">
        <f>IF(ISERROR(MATCH('Analysis backend'!$M$1,E5433:N5433,0)),"",'Analysis backend'!$L$1)</f>
        <v/>
      </c>
      <c r="U5433" t="str">
        <f>IF(T5433='Analysis backend'!$L$1,IF(ISERROR(MATCH('Analysis backend'!$M$1,E5433:I5433,0)),"Dire","Radiant"),"")</f>
        <v/>
      </c>
    </row>
    <row r="5434" spans="20:21" x14ac:dyDescent="0.3">
      <c r="T5434" t="str">
        <f>IF(ISERROR(MATCH('Analysis backend'!$M$1,E5434:N5434,0)),"",'Analysis backend'!$L$1)</f>
        <v/>
      </c>
      <c r="U5434" t="str">
        <f>IF(T5434='Analysis backend'!$L$1,IF(ISERROR(MATCH('Analysis backend'!$M$1,E5434:I5434,0)),"Dire","Radiant"),"")</f>
        <v/>
      </c>
    </row>
    <row r="5435" spans="20:21" x14ac:dyDescent="0.3">
      <c r="T5435" t="str">
        <f>IF(ISERROR(MATCH('Analysis backend'!$M$1,E5435:N5435,0)),"",'Analysis backend'!$L$1)</f>
        <v/>
      </c>
      <c r="U5435" t="str">
        <f>IF(T5435='Analysis backend'!$L$1,IF(ISERROR(MATCH('Analysis backend'!$M$1,E5435:I5435,0)),"Dire","Radiant"),"")</f>
        <v/>
      </c>
    </row>
    <row r="5436" spans="20:21" x14ac:dyDescent="0.3">
      <c r="T5436" t="str">
        <f>IF(ISERROR(MATCH('Analysis backend'!$M$1,E5436:N5436,0)),"",'Analysis backend'!$L$1)</f>
        <v/>
      </c>
      <c r="U5436" t="str">
        <f>IF(T5436='Analysis backend'!$L$1,IF(ISERROR(MATCH('Analysis backend'!$M$1,E5436:I5436,0)),"Dire","Radiant"),"")</f>
        <v/>
      </c>
    </row>
    <row r="5437" spans="20:21" x14ac:dyDescent="0.3">
      <c r="T5437" t="str">
        <f>IF(ISERROR(MATCH('Analysis backend'!$M$1,E5437:N5437,0)),"",'Analysis backend'!$L$1)</f>
        <v/>
      </c>
      <c r="U5437" t="str">
        <f>IF(T5437='Analysis backend'!$L$1,IF(ISERROR(MATCH('Analysis backend'!$M$1,E5437:I5437,0)),"Dire","Radiant"),"")</f>
        <v/>
      </c>
    </row>
    <row r="5438" spans="20:21" x14ac:dyDescent="0.3">
      <c r="T5438" t="str">
        <f>IF(ISERROR(MATCH('Analysis backend'!$M$1,E5438:N5438,0)),"",'Analysis backend'!$L$1)</f>
        <v/>
      </c>
      <c r="U5438" t="str">
        <f>IF(T5438='Analysis backend'!$L$1,IF(ISERROR(MATCH('Analysis backend'!$M$1,E5438:I5438,0)),"Dire","Radiant"),"")</f>
        <v/>
      </c>
    </row>
    <row r="5439" spans="20:21" x14ac:dyDescent="0.3">
      <c r="T5439" t="str">
        <f>IF(ISERROR(MATCH('Analysis backend'!$M$1,E5439:N5439,0)),"",'Analysis backend'!$L$1)</f>
        <v/>
      </c>
      <c r="U5439" t="str">
        <f>IF(T5439='Analysis backend'!$L$1,IF(ISERROR(MATCH('Analysis backend'!$M$1,E5439:I5439,0)),"Dire","Radiant"),"")</f>
        <v/>
      </c>
    </row>
    <row r="5440" spans="20:21" x14ac:dyDescent="0.3">
      <c r="T5440" t="str">
        <f>IF(ISERROR(MATCH('Analysis backend'!$M$1,E5440:N5440,0)),"",'Analysis backend'!$L$1)</f>
        <v/>
      </c>
      <c r="U5440" t="str">
        <f>IF(T5440='Analysis backend'!$L$1,IF(ISERROR(MATCH('Analysis backend'!$M$1,E5440:I5440,0)),"Dire","Radiant"),"")</f>
        <v/>
      </c>
    </row>
    <row r="5441" spans="20:21" x14ac:dyDescent="0.3">
      <c r="T5441" t="str">
        <f>IF(ISERROR(MATCH('Analysis backend'!$M$1,E5441:N5441,0)),"",'Analysis backend'!$L$1)</f>
        <v/>
      </c>
      <c r="U5441" t="str">
        <f>IF(T5441='Analysis backend'!$L$1,IF(ISERROR(MATCH('Analysis backend'!$M$1,E5441:I5441,0)),"Dire","Radiant"),"")</f>
        <v/>
      </c>
    </row>
    <row r="5442" spans="20:21" x14ac:dyDescent="0.3">
      <c r="T5442" t="str">
        <f>IF(ISERROR(MATCH('Analysis backend'!$M$1,E5442:N5442,0)),"",'Analysis backend'!$L$1)</f>
        <v/>
      </c>
      <c r="U5442" t="str">
        <f>IF(T5442='Analysis backend'!$L$1,IF(ISERROR(MATCH('Analysis backend'!$M$1,E5442:I5442,0)),"Dire","Radiant"),"")</f>
        <v/>
      </c>
    </row>
    <row r="5443" spans="20:21" x14ac:dyDescent="0.3">
      <c r="T5443" t="str">
        <f>IF(ISERROR(MATCH('Analysis backend'!$M$1,E5443:N5443,0)),"",'Analysis backend'!$L$1)</f>
        <v/>
      </c>
      <c r="U5443" t="str">
        <f>IF(T5443='Analysis backend'!$L$1,IF(ISERROR(MATCH('Analysis backend'!$M$1,E5443:I5443,0)),"Dire","Radiant"),"")</f>
        <v/>
      </c>
    </row>
    <row r="5444" spans="20:21" x14ac:dyDescent="0.3">
      <c r="T5444" t="str">
        <f>IF(ISERROR(MATCH('Analysis backend'!$M$1,E5444:N5444,0)),"",'Analysis backend'!$L$1)</f>
        <v/>
      </c>
      <c r="U5444" t="str">
        <f>IF(T5444='Analysis backend'!$L$1,IF(ISERROR(MATCH('Analysis backend'!$M$1,E5444:I5444,0)),"Dire","Radiant"),"")</f>
        <v/>
      </c>
    </row>
    <row r="5445" spans="20:21" x14ac:dyDescent="0.3">
      <c r="T5445" t="str">
        <f>IF(ISERROR(MATCH('Analysis backend'!$M$1,E5445:N5445,0)),"",'Analysis backend'!$L$1)</f>
        <v/>
      </c>
      <c r="U5445" t="str">
        <f>IF(T5445='Analysis backend'!$L$1,IF(ISERROR(MATCH('Analysis backend'!$M$1,E5445:I5445,0)),"Dire","Radiant"),"")</f>
        <v/>
      </c>
    </row>
    <row r="5446" spans="20:21" x14ac:dyDescent="0.3">
      <c r="T5446" t="str">
        <f>IF(ISERROR(MATCH('Analysis backend'!$M$1,E5446:N5446,0)),"",'Analysis backend'!$L$1)</f>
        <v/>
      </c>
      <c r="U5446" t="str">
        <f>IF(T5446='Analysis backend'!$L$1,IF(ISERROR(MATCH('Analysis backend'!$M$1,E5446:I5446,0)),"Dire","Radiant"),"")</f>
        <v/>
      </c>
    </row>
    <row r="5447" spans="20:21" x14ac:dyDescent="0.3">
      <c r="T5447" t="str">
        <f>IF(ISERROR(MATCH('Analysis backend'!$M$1,E5447:N5447,0)),"",'Analysis backend'!$L$1)</f>
        <v/>
      </c>
      <c r="U5447" t="str">
        <f>IF(T5447='Analysis backend'!$L$1,IF(ISERROR(MATCH('Analysis backend'!$M$1,E5447:I5447,0)),"Dire","Radiant"),"")</f>
        <v/>
      </c>
    </row>
    <row r="5448" spans="20:21" x14ac:dyDescent="0.3">
      <c r="T5448" t="str">
        <f>IF(ISERROR(MATCH('Analysis backend'!$M$1,E5448:N5448,0)),"",'Analysis backend'!$L$1)</f>
        <v/>
      </c>
      <c r="U5448" t="str">
        <f>IF(T5448='Analysis backend'!$L$1,IF(ISERROR(MATCH('Analysis backend'!$M$1,E5448:I5448,0)),"Dire","Radiant"),"")</f>
        <v/>
      </c>
    </row>
    <row r="5449" spans="20:21" x14ac:dyDescent="0.3">
      <c r="T5449" t="str">
        <f>IF(ISERROR(MATCH('Analysis backend'!$M$1,E5449:N5449,0)),"",'Analysis backend'!$L$1)</f>
        <v/>
      </c>
      <c r="U5449" t="str">
        <f>IF(T5449='Analysis backend'!$L$1,IF(ISERROR(MATCH('Analysis backend'!$M$1,E5449:I5449,0)),"Dire","Radiant"),"")</f>
        <v/>
      </c>
    </row>
    <row r="5450" spans="20:21" x14ac:dyDescent="0.3">
      <c r="T5450" t="str">
        <f>IF(ISERROR(MATCH('Analysis backend'!$M$1,E5450:N5450,0)),"",'Analysis backend'!$L$1)</f>
        <v/>
      </c>
      <c r="U5450" t="str">
        <f>IF(T5450='Analysis backend'!$L$1,IF(ISERROR(MATCH('Analysis backend'!$M$1,E5450:I5450,0)),"Dire","Radiant"),"")</f>
        <v/>
      </c>
    </row>
    <row r="5451" spans="20:21" x14ac:dyDescent="0.3">
      <c r="T5451" t="str">
        <f>IF(ISERROR(MATCH('Analysis backend'!$M$1,E5451:N5451,0)),"",'Analysis backend'!$L$1)</f>
        <v/>
      </c>
      <c r="U5451" t="str">
        <f>IF(T5451='Analysis backend'!$L$1,IF(ISERROR(MATCH('Analysis backend'!$M$1,E5451:I5451,0)),"Dire","Radiant"),"")</f>
        <v/>
      </c>
    </row>
    <row r="5452" spans="20:21" x14ac:dyDescent="0.3">
      <c r="T5452" t="str">
        <f>IF(ISERROR(MATCH('Analysis backend'!$M$1,E5452:N5452,0)),"",'Analysis backend'!$L$1)</f>
        <v/>
      </c>
      <c r="U5452" t="str">
        <f>IF(T5452='Analysis backend'!$L$1,IF(ISERROR(MATCH('Analysis backend'!$M$1,E5452:I5452,0)),"Dire","Radiant"),"")</f>
        <v/>
      </c>
    </row>
    <row r="5453" spans="20:21" x14ac:dyDescent="0.3">
      <c r="T5453" t="str">
        <f>IF(ISERROR(MATCH('Analysis backend'!$M$1,E5453:N5453,0)),"",'Analysis backend'!$L$1)</f>
        <v/>
      </c>
      <c r="U5453" t="str">
        <f>IF(T5453='Analysis backend'!$L$1,IF(ISERROR(MATCH('Analysis backend'!$M$1,E5453:I5453,0)),"Dire","Radiant"),"")</f>
        <v/>
      </c>
    </row>
    <row r="5454" spans="20:21" x14ac:dyDescent="0.3">
      <c r="T5454" t="str">
        <f>IF(ISERROR(MATCH('Analysis backend'!$M$1,E5454:N5454,0)),"",'Analysis backend'!$L$1)</f>
        <v/>
      </c>
      <c r="U5454" t="str">
        <f>IF(T5454='Analysis backend'!$L$1,IF(ISERROR(MATCH('Analysis backend'!$M$1,E5454:I5454,0)),"Dire","Radiant"),"")</f>
        <v/>
      </c>
    </row>
    <row r="5455" spans="20:21" x14ac:dyDescent="0.3">
      <c r="T5455" t="str">
        <f>IF(ISERROR(MATCH('Analysis backend'!$M$1,E5455:N5455,0)),"",'Analysis backend'!$L$1)</f>
        <v/>
      </c>
      <c r="U5455" t="str">
        <f>IF(T5455='Analysis backend'!$L$1,IF(ISERROR(MATCH('Analysis backend'!$M$1,E5455:I5455,0)),"Dire","Radiant"),"")</f>
        <v/>
      </c>
    </row>
    <row r="5456" spans="20:21" x14ac:dyDescent="0.3">
      <c r="T5456" t="str">
        <f>IF(ISERROR(MATCH('Analysis backend'!$M$1,E5456:N5456,0)),"",'Analysis backend'!$L$1)</f>
        <v/>
      </c>
      <c r="U5456" t="str">
        <f>IF(T5456='Analysis backend'!$L$1,IF(ISERROR(MATCH('Analysis backend'!$M$1,E5456:I5456,0)),"Dire","Radiant"),"")</f>
        <v/>
      </c>
    </row>
    <row r="5457" spans="20:21" x14ac:dyDescent="0.3">
      <c r="T5457" t="str">
        <f>IF(ISERROR(MATCH('Analysis backend'!$M$1,E5457:N5457,0)),"",'Analysis backend'!$L$1)</f>
        <v/>
      </c>
      <c r="U5457" t="str">
        <f>IF(T5457='Analysis backend'!$L$1,IF(ISERROR(MATCH('Analysis backend'!$M$1,E5457:I5457,0)),"Dire","Radiant"),"")</f>
        <v/>
      </c>
    </row>
    <row r="5458" spans="20:21" x14ac:dyDescent="0.3">
      <c r="T5458" t="str">
        <f>IF(ISERROR(MATCH('Analysis backend'!$M$1,E5458:N5458,0)),"",'Analysis backend'!$L$1)</f>
        <v/>
      </c>
      <c r="U5458" t="str">
        <f>IF(T5458='Analysis backend'!$L$1,IF(ISERROR(MATCH('Analysis backend'!$M$1,E5458:I5458,0)),"Dire","Radiant"),"")</f>
        <v/>
      </c>
    </row>
    <row r="5459" spans="20:21" x14ac:dyDescent="0.3">
      <c r="T5459" t="str">
        <f>IF(ISERROR(MATCH('Analysis backend'!$M$1,E5459:N5459,0)),"",'Analysis backend'!$L$1)</f>
        <v/>
      </c>
      <c r="U5459" t="str">
        <f>IF(T5459='Analysis backend'!$L$1,IF(ISERROR(MATCH('Analysis backend'!$M$1,E5459:I5459,0)),"Dire","Radiant"),"")</f>
        <v/>
      </c>
    </row>
    <row r="5460" spans="20:21" x14ac:dyDescent="0.3">
      <c r="T5460" t="str">
        <f>IF(ISERROR(MATCH('Analysis backend'!$M$1,E5460:N5460,0)),"",'Analysis backend'!$L$1)</f>
        <v/>
      </c>
      <c r="U5460" t="str">
        <f>IF(T5460='Analysis backend'!$L$1,IF(ISERROR(MATCH('Analysis backend'!$M$1,E5460:I5460,0)),"Dire","Radiant"),"")</f>
        <v/>
      </c>
    </row>
    <row r="5461" spans="20:21" x14ac:dyDescent="0.3">
      <c r="T5461" t="str">
        <f>IF(ISERROR(MATCH('Analysis backend'!$M$1,E5461:N5461,0)),"",'Analysis backend'!$L$1)</f>
        <v/>
      </c>
      <c r="U5461" t="str">
        <f>IF(T5461='Analysis backend'!$L$1,IF(ISERROR(MATCH('Analysis backend'!$M$1,E5461:I5461,0)),"Dire","Radiant"),"")</f>
        <v/>
      </c>
    </row>
    <row r="5462" spans="20:21" x14ac:dyDescent="0.3">
      <c r="T5462" t="str">
        <f>IF(ISERROR(MATCH('Analysis backend'!$M$1,E5462:N5462,0)),"",'Analysis backend'!$L$1)</f>
        <v/>
      </c>
      <c r="U5462" t="str">
        <f>IF(T5462='Analysis backend'!$L$1,IF(ISERROR(MATCH('Analysis backend'!$M$1,E5462:I5462,0)),"Dire","Radiant"),"")</f>
        <v/>
      </c>
    </row>
    <row r="5463" spans="20:21" x14ac:dyDescent="0.3">
      <c r="T5463" t="str">
        <f>IF(ISERROR(MATCH('Analysis backend'!$M$1,E5463:N5463,0)),"",'Analysis backend'!$L$1)</f>
        <v/>
      </c>
      <c r="U5463" t="str">
        <f>IF(T5463='Analysis backend'!$L$1,IF(ISERROR(MATCH('Analysis backend'!$M$1,E5463:I5463,0)),"Dire","Radiant"),"")</f>
        <v/>
      </c>
    </row>
    <row r="5464" spans="20:21" x14ac:dyDescent="0.3">
      <c r="T5464" t="str">
        <f>IF(ISERROR(MATCH('Analysis backend'!$M$1,E5464:N5464,0)),"",'Analysis backend'!$L$1)</f>
        <v/>
      </c>
      <c r="U5464" t="str">
        <f>IF(T5464='Analysis backend'!$L$1,IF(ISERROR(MATCH('Analysis backend'!$M$1,E5464:I5464,0)),"Dire","Radiant"),"")</f>
        <v/>
      </c>
    </row>
    <row r="5465" spans="20:21" x14ac:dyDescent="0.3">
      <c r="T5465" t="str">
        <f>IF(ISERROR(MATCH('Analysis backend'!$M$1,E5465:N5465,0)),"",'Analysis backend'!$L$1)</f>
        <v/>
      </c>
      <c r="U5465" t="str">
        <f>IF(T5465='Analysis backend'!$L$1,IF(ISERROR(MATCH('Analysis backend'!$M$1,E5465:I5465,0)),"Dire","Radiant"),"")</f>
        <v/>
      </c>
    </row>
    <row r="5466" spans="20:21" x14ac:dyDescent="0.3">
      <c r="T5466" t="str">
        <f>IF(ISERROR(MATCH('Analysis backend'!$M$1,E5466:N5466,0)),"",'Analysis backend'!$L$1)</f>
        <v/>
      </c>
      <c r="U5466" t="str">
        <f>IF(T5466='Analysis backend'!$L$1,IF(ISERROR(MATCH('Analysis backend'!$M$1,E5466:I5466,0)),"Dire","Radiant"),"")</f>
        <v/>
      </c>
    </row>
    <row r="5467" spans="20:21" x14ac:dyDescent="0.3">
      <c r="T5467" t="str">
        <f>IF(ISERROR(MATCH('Analysis backend'!$M$1,E5467:N5467,0)),"",'Analysis backend'!$L$1)</f>
        <v/>
      </c>
      <c r="U5467" t="str">
        <f>IF(T5467='Analysis backend'!$L$1,IF(ISERROR(MATCH('Analysis backend'!$M$1,E5467:I5467,0)),"Dire","Radiant"),"")</f>
        <v/>
      </c>
    </row>
    <row r="5468" spans="20:21" x14ac:dyDescent="0.3">
      <c r="T5468" t="str">
        <f>IF(ISERROR(MATCH('Analysis backend'!$M$1,E5468:N5468,0)),"",'Analysis backend'!$L$1)</f>
        <v/>
      </c>
      <c r="U5468" t="str">
        <f>IF(T5468='Analysis backend'!$L$1,IF(ISERROR(MATCH('Analysis backend'!$M$1,E5468:I5468,0)),"Dire","Radiant"),"")</f>
        <v/>
      </c>
    </row>
    <row r="5469" spans="20:21" x14ac:dyDescent="0.3">
      <c r="T5469" t="str">
        <f>IF(ISERROR(MATCH('Analysis backend'!$M$1,E5469:N5469,0)),"",'Analysis backend'!$L$1)</f>
        <v/>
      </c>
      <c r="U5469" t="str">
        <f>IF(T5469='Analysis backend'!$L$1,IF(ISERROR(MATCH('Analysis backend'!$M$1,E5469:I5469,0)),"Dire","Radiant"),"")</f>
        <v/>
      </c>
    </row>
    <row r="5470" spans="20:21" x14ac:dyDescent="0.3">
      <c r="T5470" t="str">
        <f>IF(ISERROR(MATCH('Analysis backend'!$M$1,E5470:N5470,0)),"",'Analysis backend'!$L$1)</f>
        <v/>
      </c>
      <c r="U5470" t="str">
        <f>IF(T5470='Analysis backend'!$L$1,IF(ISERROR(MATCH('Analysis backend'!$M$1,E5470:I5470,0)),"Dire","Radiant"),"")</f>
        <v/>
      </c>
    </row>
    <row r="5471" spans="20:21" x14ac:dyDescent="0.3">
      <c r="T5471" t="str">
        <f>IF(ISERROR(MATCH('Analysis backend'!$M$1,E5471:N5471,0)),"",'Analysis backend'!$L$1)</f>
        <v/>
      </c>
      <c r="U5471" t="str">
        <f>IF(T5471='Analysis backend'!$L$1,IF(ISERROR(MATCH('Analysis backend'!$M$1,E5471:I5471,0)),"Dire","Radiant"),"")</f>
        <v/>
      </c>
    </row>
    <row r="5472" spans="20:21" x14ac:dyDescent="0.3">
      <c r="T5472" t="str">
        <f>IF(ISERROR(MATCH('Analysis backend'!$M$1,E5472:N5472,0)),"",'Analysis backend'!$L$1)</f>
        <v/>
      </c>
      <c r="U5472" t="str">
        <f>IF(T5472='Analysis backend'!$L$1,IF(ISERROR(MATCH('Analysis backend'!$M$1,E5472:I5472,0)),"Dire","Radiant"),"")</f>
        <v/>
      </c>
    </row>
    <row r="5473" spans="20:21" x14ac:dyDescent="0.3">
      <c r="T5473" t="str">
        <f>IF(ISERROR(MATCH('Analysis backend'!$M$1,E5473:N5473,0)),"",'Analysis backend'!$L$1)</f>
        <v/>
      </c>
      <c r="U5473" t="str">
        <f>IF(T5473='Analysis backend'!$L$1,IF(ISERROR(MATCH('Analysis backend'!$M$1,E5473:I5473,0)),"Dire","Radiant"),"")</f>
        <v/>
      </c>
    </row>
    <row r="5474" spans="20:21" x14ac:dyDescent="0.3">
      <c r="T5474" t="str">
        <f>IF(ISERROR(MATCH('Analysis backend'!$M$1,E5474:N5474,0)),"",'Analysis backend'!$L$1)</f>
        <v/>
      </c>
      <c r="U5474" t="str">
        <f>IF(T5474='Analysis backend'!$L$1,IF(ISERROR(MATCH('Analysis backend'!$M$1,E5474:I5474,0)),"Dire","Radiant"),"")</f>
        <v/>
      </c>
    </row>
    <row r="5475" spans="20:21" x14ac:dyDescent="0.3">
      <c r="T5475" t="str">
        <f>IF(ISERROR(MATCH('Analysis backend'!$M$1,E5475:N5475,0)),"",'Analysis backend'!$L$1)</f>
        <v/>
      </c>
      <c r="U5475" t="str">
        <f>IF(T5475='Analysis backend'!$L$1,IF(ISERROR(MATCH('Analysis backend'!$M$1,E5475:I5475,0)),"Dire","Radiant"),"")</f>
        <v/>
      </c>
    </row>
    <row r="5476" spans="20:21" x14ac:dyDescent="0.3">
      <c r="T5476" t="str">
        <f>IF(ISERROR(MATCH('Analysis backend'!$M$1,E5476:N5476,0)),"",'Analysis backend'!$L$1)</f>
        <v/>
      </c>
      <c r="U5476" t="str">
        <f>IF(T5476='Analysis backend'!$L$1,IF(ISERROR(MATCH('Analysis backend'!$M$1,E5476:I5476,0)),"Dire","Radiant"),"")</f>
        <v/>
      </c>
    </row>
    <row r="5477" spans="20:21" x14ac:dyDescent="0.3">
      <c r="T5477" t="str">
        <f>IF(ISERROR(MATCH('Analysis backend'!$M$1,E5477:N5477,0)),"",'Analysis backend'!$L$1)</f>
        <v/>
      </c>
      <c r="U5477" t="str">
        <f>IF(T5477='Analysis backend'!$L$1,IF(ISERROR(MATCH('Analysis backend'!$M$1,E5477:I5477,0)),"Dire","Radiant"),"")</f>
        <v/>
      </c>
    </row>
    <row r="5478" spans="20:21" x14ac:dyDescent="0.3">
      <c r="T5478" t="str">
        <f>IF(ISERROR(MATCH('Analysis backend'!$M$1,E5478:N5478,0)),"",'Analysis backend'!$L$1)</f>
        <v/>
      </c>
      <c r="U5478" t="str">
        <f>IF(T5478='Analysis backend'!$L$1,IF(ISERROR(MATCH('Analysis backend'!$M$1,E5478:I5478,0)),"Dire","Radiant"),"")</f>
        <v/>
      </c>
    </row>
    <row r="5479" spans="20:21" x14ac:dyDescent="0.3">
      <c r="T5479" t="str">
        <f>IF(ISERROR(MATCH('Analysis backend'!$M$1,E5479:N5479,0)),"",'Analysis backend'!$L$1)</f>
        <v/>
      </c>
      <c r="U5479" t="str">
        <f>IF(T5479='Analysis backend'!$L$1,IF(ISERROR(MATCH('Analysis backend'!$M$1,E5479:I5479,0)),"Dire","Radiant"),"")</f>
        <v/>
      </c>
    </row>
    <row r="5480" spans="20:21" x14ac:dyDescent="0.3">
      <c r="T5480" t="str">
        <f>IF(ISERROR(MATCH('Analysis backend'!$M$1,E5480:N5480,0)),"",'Analysis backend'!$L$1)</f>
        <v/>
      </c>
      <c r="U5480" t="str">
        <f>IF(T5480='Analysis backend'!$L$1,IF(ISERROR(MATCH('Analysis backend'!$M$1,E5480:I5480,0)),"Dire","Radiant"),"")</f>
        <v/>
      </c>
    </row>
    <row r="5481" spans="20:21" x14ac:dyDescent="0.3">
      <c r="T5481" t="str">
        <f>IF(ISERROR(MATCH('Analysis backend'!$M$1,E5481:N5481,0)),"",'Analysis backend'!$L$1)</f>
        <v/>
      </c>
      <c r="U5481" t="str">
        <f>IF(T5481='Analysis backend'!$L$1,IF(ISERROR(MATCH('Analysis backend'!$M$1,E5481:I5481,0)),"Dire","Radiant"),"")</f>
        <v/>
      </c>
    </row>
    <row r="5482" spans="20:21" x14ac:dyDescent="0.3">
      <c r="T5482" t="str">
        <f>IF(ISERROR(MATCH('Analysis backend'!$M$1,E5482:N5482,0)),"",'Analysis backend'!$L$1)</f>
        <v/>
      </c>
      <c r="U5482" t="str">
        <f>IF(T5482='Analysis backend'!$L$1,IF(ISERROR(MATCH('Analysis backend'!$M$1,E5482:I5482,0)),"Dire","Radiant"),"")</f>
        <v/>
      </c>
    </row>
    <row r="5483" spans="20:21" x14ac:dyDescent="0.3">
      <c r="T5483" t="str">
        <f>IF(ISERROR(MATCH('Analysis backend'!$M$1,E5483:N5483,0)),"",'Analysis backend'!$L$1)</f>
        <v/>
      </c>
      <c r="U5483" t="str">
        <f>IF(T5483='Analysis backend'!$L$1,IF(ISERROR(MATCH('Analysis backend'!$M$1,E5483:I5483,0)),"Dire","Radiant"),"")</f>
        <v/>
      </c>
    </row>
    <row r="5484" spans="20:21" x14ac:dyDescent="0.3">
      <c r="T5484" t="str">
        <f>IF(ISERROR(MATCH('Analysis backend'!$M$1,E5484:N5484,0)),"",'Analysis backend'!$L$1)</f>
        <v/>
      </c>
      <c r="U5484" t="str">
        <f>IF(T5484='Analysis backend'!$L$1,IF(ISERROR(MATCH('Analysis backend'!$M$1,E5484:I5484,0)),"Dire","Radiant"),"")</f>
        <v/>
      </c>
    </row>
    <row r="5485" spans="20:21" x14ac:dyDescent="0.3">
      <c r="T5485" t="str">
        <f>IF(ISERROR(MATCH('Analysis backend'!$M$1,E5485:N5485,0)),"",'Analysis backend'!$L$1)</f>
        <v/>
      </c>
      <c r="U5485" t="str">
        <f>IF(T5485='Analysis backend'!$L$1,IF(ISERROR(MATCH('Analysis backend'!$M$1,E5485:I5485,0)),"Dire","Radiant"),"")</f>
        <v/>
      </c>
    </row>
    <row r="5486" spans="20:21" x14ac:dyDescent="0.3">
      <c r="T5486" t="str">
        <f>IF(ISERROR(MATCH('Analysis backend'!$M$1,E5486:N5486,0)),"",'Analysis backend'!$L$1)</f>
        <v/>
      </c>
      <c r="U5486" t="str">
        <f>IF(T5486='Analysis backend'!$L$1,IF(ISERROR(MATCH('Analysis backend'!$M$1,E5486:I5486,0)),"Dire","Radiant"),"")</f>
        <v/>
      </c>
    </row>
    <row r="5487" spans="20:21" x14ac:dyDescent="0.3">
      <c r="T5487" t="str">
        <f>IF(ISERROR(MATCH('Analysis backend'!$M$1,E5487:N5487,0)),"",'Analysis backend'!$L$1)</f>
        <v/>
      </c>
      <c r="U5487" t="str">
        <f>IF(T5487='Analysis backend'!$L$1,IF(ISERROR(MATCH('Analysis backend'!$M$1,E5487:I5487,0)),"Dire","Radiant"),"")</f>
        <v/>
      </c>
    </row>
    <row r="5488" spans="20:21" x14ac:dyDescent="0.3">
      <c r="T5488" t="str">
        <f>IF(ISERROR(MATCH('Analysis backend'!$M$1,E5488:N5488,0)),"",'Analysis backend'!$L$1)</f>
        <v/>
      </c>
      <c r="U5488" t="str">
        <f>IF(T5488='Analysis backend'!$L$1,IF(ISERROR(MATCH('Analysis backend'!$M$1,E5488:I5488,0)),"Dire","Radiant"),"")</f>
        <v/>
      </c>
    </row>
    <row r="5489" spans="20:21" x14ac:dyDescent="0.3">
      <c r="T5489" t="str">
        <f>IF(ISERROR(MATCH('Analysis backend'!$M$1,E5489:N5489,0)),"",'Analysis backend'!$L$1)</f>
        <v/>
      </c>
      <c r="U5489" t="str">
        <f>IF(T5489='Analysis backend'!$L$1,IF(ISERROR(MATCH('Analysis backend'!$M$1,E5489:I5489,0)),"Dire","Radiant"),"")</f>
        <v/>
      </c>
    </row>
    <row r="5490" spans="20:21" x14ac:dyDescent="0.3">
      <c r="T5490" t="str">
        <f>IF(ISERROR(MATCH('Analysis backend'!$M$1,E5490:N5490,0)),"",'Analysis backend'!$L$1)</f>
        <v/>
      </c>
      <c r="U5490" t="str">
        <f>IF(T5490='Analysis backend'!$L$1,IF(ISERROR(MATCH('Analysis backend'!$M$1,E5490:I5490,0)),"Dire","Radiant"),"")</f>
        <v/>
      </c>
    </row>
    <row r="5491" spans="20:21" x14ac:dyDescent="0.3">
      <c r="T5491" t="str">
        <f>IF(ISERROR(MATCH('Analysis backend'!$M$1,E5491:N5491,0)),"",'Analysis backend'!$L$1)</f>
        <v/>
      </c>
      <c r="U5491" t="str">
        <f>IF(T5491='Analysis backend'!$L$1,IF(ISERROR(MATCH('Analysis backend'!$M$1,E5491:I5491,0)),"Dire","Radiant"),"")</f>
        <v/>
      </c>
    </row>
    <row r="5492" spans="20:21" x14ac:dyDescent="0.3">
      <c r="T5492" t="str">
        <f>IF(ISERROR(MATCH('Analysis backend'!$M$1,E5492:N5492,0)),"",'Analysis backend'!$L$1)</f>
        <v/>
      </c>
      <c r="U5492" t="str">
        <f>IF(T5492='Analysis backend'!$L$1,IF(ISERROR(MATCH('Analysis backend'!$M$1,E5492:I5492,0)),"Dire","Radiant"),"")</f>
        <v/>
      </c>
    </row>
    <row r="5493" spans="20:21" x14ac:dyDescent="0.3">
      <c r="T5493" t="str">
        <f>IF(ISERROR(MATCH('Analysis backend'!$M$1,E5493:N5493,0)),"",'Analysis backend'!$L$1)</f>
        <v/>
      </c>
      <c r="U5493" t="str">
        <f>IF(T5493='Analysis backend'!$L$1,IF(ISERROR(MATCH('Analysis backend'!$M$1,E5493:I5493,0)),"Dire","Radiant"),"")</f>
        <v/>
      </c>
    </row>
    <row r="5494" spans="20:21" x14ac:dyDescent="0.3">
      <c r="T5494" t="str">
        <f>IF(ISERROR(MATCH('Analysis backend'!$M$1,E5494:N5494,0)),"",'Analysis backend'!$L$1)</f>
        <v/>
      </c>
      <c r="U5494" t="str">
        <f>IF(T5494='Analysis backend'!$L$1,IF(ISERROR(MATCH('Analysis backend'!$M$1,E5494:I5494,0)),"Dire","Radiant"),"")</f>
        <v/>
      </c>
    </row>
    <row r="5495" spans="20:21" x14ac:dyDescent="0.3">
      <c r="T5495" t="str">
        <f>IF(ISERROR(MATCH('Analysis backend'!$M$1,E5495:N5495,0)),"",'Analysis backend'!$L$1)</f>
        <v/>
      </c>
      <c r="U5495" t="str">
        <f>IF(T5495='Analysis backend'!$L$1,IF(ISERROR(MATCH('Analysis backend'!$M$1,E5495:I5495,0)),"Dire","Radiant"),"")</f>
        <v/>
      </c>
    </row>
    <row r="5496" spans="20:21" x14ac:dyDescent="0.3">
      <c r="T5496" t="str">
        <f>IF(ISERROR(MATCH('Analysis backend'!$M$1,E5496:N5496,0)),"",'Analysis backend'!$L$1)</f>
        <v/>
      </c>
      <c r="U5496" t="str">
        <f>IF(T5496='Analysis backend'!$L$1,IF(ISERROR(MATCH('Analysis backend'!$M$1,E5496:I5496,0)),"Dire","Radiant"),"")</f>
        <v/>
      </c>
    </row>
    <row r="5497" spans="20:21" x14ac:dyDescent="0.3">
      <c r="T5497" t="str">
        <f>IF(ISERROR(MATCH('Analysis backend'!$M$1,E5497:N5497,0)),"",'Analysis backend'!$L$1)</f>
        <v/>
      </c>
      <c r="U5497" t="str">
        <f>IF(T5497='Analysis backend'!$L$1,IF(ISERROR(MATCH('Analysis backend'!$M$1,E5497:I5497,0)),"Dire","Radiant"),"")</f>
        <v/>
      </c>
    </row>
    <row r="5498" spans="20:21" x14ac:dyDescent="0.3">
      <c r="T5498" t="str">
        <f>IF(ISERROR(MATCH('Analysis backend'!$M$1,E5498:N5498,0)),"",'Analysis backend'!$L$1)</f>
        <v/>
      </c>
      <c r="U5498" t="str">
        <f>IF(T5498='Analysis backend'!$L$1,IF(ISERROR(MATCH('Analysis backend'!$M$1,E5498:I5498,0)),"Dire","Radiant"),"")</f>
        <v/>
      </c>
    </row>
    <row r="5499" spans="20:21" x14ac:dyDescent="0.3">
      <c r="T5499" t="str">
        <f>IF(ISERROR(MATCH('Analysis backend'!$M$1,E5499:N5499,0)),"",'Analysis backend'!$L$1)</f>
        <v/>
      </c>
      <c r="U5499" t="str">
        <f>IF(T5499='Analysis backend'!$L$1,IF(ISERROR(MATCH('Analysis backend'!$M$1,E5499:I5499,0)),"Dire","Radiant"),"")</f>
        <v/>
      </c>
    </row>
    <row r="5500" spans="20:21" x14ac:dyDescent="0.3">
      <c r="T5500" t="str">
        <f>IF(ISERROR(MATCH('Analysis backend'!$M$1,E5500:N5500,0)),"",'Analysis backend'!$L$1)</f>
        <v/>
      </c>
      <c r="U5500" t="str">
        <f>IF(T5500='Analysis backend'!$L$1,IF(ISERROR(MATCH('Analysis backend'!$M$1,E5500:I5500,0)),"Dire","Radiant"),"")</f>
        <v/>
      </c>
    </row>
    <row r="5501" spans="20:21" x14ac:dyDescent="0.3">
      <c r="T5501" t="str">
        <f>IF(ISERROR(MATCH('Analysis backend'!$M$1,E5501:N5501,0)),"",'Analysis backend'!$L$1)</f>
        <v/>
      </c>
      <c r="U5501" t="str">
        <f>IF(T5501='Analysis backend'!$L$1,IF(ISERROR(MATCH('Analysis backend'!$M$1,E5501:I5501,0)),"Dire","Radiant"),"")</f>
        <v/>
      </c>
    </row>
    <row r="5502" spans="20:21" x14ac:dyDescent="0.3">
      <c r="T5502" t="str">
        <f>IF(ISERROR(MATCH('Analysis backend'!$M$1,E5502:N5502,0)),"",'Analysis backend'!$L$1)</f>
        <v/>
      </c>
      <c r="U5502" t="str">
        <f>IF(T5502='Analysis backend'!$L$1,IF(ISERROR(MATCH('Analysis backend'!$M$1,E5502:I5502,0)),"Dire","Radiant"),"")</f>
        <v/>
      </c>
    </row>
    <row r="5503" spans="20:21" x14ac:dyDescent="0.3">
      <c r="T5503" t="str">
        <f>IF(ISERROR(MATCH('Analysis backend'!$M$1,E5503:N5503,0)),"",'Analysis backend'!$L$1)</f>
        <v/>
      </c>
      <c r="U5503" t="str">
        <f>IF(T5503='Analysis backend'!$L$1,IF(ISERROR(MATCH('Analysis backend'!$M$1,E5503:I5503,0)),"Dire","Radiant"),"")</f>
        <v/>
      </c>
    </row>
    <row r="5504" spans="20:21" x14ac:dyDescent="0.3">
      <c r="T5504" t="str">
        <f>IF(ISERROR(MATCH('Analysis backend'!$M$1,E5504:N5504,0)),"",'Analysis backend'!$L$1)</f>
        <v/>
      </c>
      <c r="U5504" t="str">
        <f>IF(T5504='Analysis backend'!$L$1,IF(ISERROR(MATCH('Analysis backend'!$M$1,E5504:I5504,0)),"Dire","Radiant"),"")</f>
        <v/>
      </c>
    </row>
    <row r="5505" spans="20:21" x14ac:dyDescent="0.3">
      <c r="T5505" t="str">
        <f>IF(ISERROR(MATCH('Analysis backend'!$M$1,E5505:N5505,0)),"",'Analysis backend'!$L$1)</f>
        <v/>
      </c>
      <c r="U5505" t="str">
        <f>IF(T5505='Analysis backend'!$L$1,IF(ISERROR(MATCH('Analysis backend'!$M$1,E5505:I5505,0)),"Dire","Radiant"),"")</f>
        <v/>
      </c>
    </row>
    <row r="5506" spans="20:21" x14ac:dyDescent="0.3">
      <c r="T5506" t="str">
        <f>IF(ISERROR(MATCH('Analysis backend'!$M$1,E5506:N5506,0)),"",'Analysis backend'!$L$1)</f>
        <v/>
      </c>
      <c r="U5506" t="str">
        <f>IF(T5506='Analysis backend'!$L$1,IF(ISERROR(MATCH('Analysis backend'!$M$1,E5506:I5506,0)),"Dire","Radiant"),"")</f>
        <v/>
      </c>
    </row>
    <row r="5507" spans="20:21" x14ac:dyDescent="0.3">
      <c r="T5507" t="str">
        <f>IF(ISERROR(MATCH('Analysis backend'!$M$1,E5507:N5507,0)),"",'Analysis backend'!$L$1)</f>
        <v/>
      </c>
      <c r="U5507" t="str">
        <f>IF(T5507='Analysis backend'!$L$1,IF(ISERROR(MATCH('Analysis backend'!$M$1,E5507:I5507,0)),"Dire","Radiant"),"")</f>
        <v/>
      </c>
    </row>
    <row r="5508" spans="20:21" x14ac:dyDescent="0.3">
      <c r="T5508" t="str">
        <f>IF(ISERROR(MATCH('Analysis backend'!$M$1,E5508:N5508,0)),"",'Analysis backend'!$L$1)</f>
        <v/>
      </c>
      <c r="U5508" t="str">
        <f>IF(T5508='Analysis backend'!$L$1,IF(ISERROR(MATCH('Analysis backend'!$M$1,E5508:I5508,0)),"Dire","Radiant"),"")</f>
        <v/>
      </c>
    </row>
    <row r="5509" spans="20:21" x14ac:dyDescent="0.3">
      <c r="T5509" t="str">
        <f>IF(ISERROR(MATCH('Analysis backend'!$M$1,E5509:N5509,0)),"",'Analysis backend'!$L$1)</f>
        <v/>
      </c>
      <c r="U5509" t="str">
        <f>IF(T5509='Analysis backend'!$L$1,IF(ISERROR(MATCH('Analysis backend'!$M$1,E5509:I5509,0)),"Dire","Radiant"),"")</f>
        <v/>
      </c>
    </row>
    <row r="5510" spans="20:21" x14ac:dyDescent="0.3">
      <c r="T5510" t="str">
        <f>IF(ISERROR(MATCH('Analysis backend'!$M$1,E5510:N5510,0)),"",'Analysis backend'!$L$1)</f>
        <v/>
      </c>
      <c r="U5510" t="str">
        <f>IF(T5510='Analysis backend'!$L$1,IF(ISERROR(MATCH('Analysis backend'!$M$1,E5510:I5510,0)),"Dire","Radiant"),"")</f>
        <v/>
      </c>
    </row>
    <row r="5511" spans="20:21" x14ac:dyDescent="0.3">
      <c r="T5511" t="str">
        <f>IF(ISERROR(MATCH('Analysis backend'!$M$1,E5511:N5511,0)),"",'Analysis backend'!$L$1)</f>
        <v/>
      </c>
      <c r="U5511" t="str">
        <f>IF(T5511='Analysis backend'!$L$1,IF(ISERROR(MATCH('Analysis backend'!$M$1,E5511:I5511,0)),"Dire","Radiant"),"")</f>
        <v/>
      </c>
    </row>
    <row r="5512" spans="20:21" x14ac:dyDescent="0.3">
      <c r="T5512" t="str">
        <f>IF(ISERROR(MATCH('Analysis backend'!$M$1,E5512:N5512,0)),"",'Analysis backend'!$L$1)</f>
        <v/>
      </c>
      <c r="U5512" t="str">
        <f>IF(T5512='Analysis backend'!$L$1,IF(ISERROR(MATCH('Analysis backend'!$M$1,E5512:I5512,0)),"Dire","Radiant"),"")</f>
        <v/>
      </c>
    </row>
    <row r="5513" spans="20:21" x14ac:dyDescent="0.3">
      <c r="T5513" t="str">
        <f>IF(ISERROR(MATCH('Analysis backend'!$M$1,E5513:N5513,0)),"",'Analysis backend'!$L$1)</f>
        <v/>
      </c>
      <c r="U5513" t="str">
        <f>IF(T5513='Analysis backend'!$L$1,IF(ISERROR(MATCH('Analysis backend'!$M$1,E5513:I5513,0)),"Dire","Radiant"),"")</f>
        <v/>
      </c>
    </row>
    <row r="5514" spans="20:21" x14ac:dyDescent="0.3">
      <c r="T5514" t="str">
        <f>IF(ISERROR(MATCH('Analysis backend'!$M$1,E5514:N5514,0)),"",'Analysis backend'!$L$1)</f>
        <v/>
      </c>
      <c r="U5514" t="str">
        <f>IF(T5514='Analysis backend'!$L$1,IF(ISERROR(MATCH('Analysis backend'!$M$1,E5514:I5514,0)),"Dire","Radiant"),"")</f>
        <v/>
      </c>
    </row>
    <row r="5515" spans="20:21" x14ac:dyDescent="0.3">
      <c r="T5515" t="str">
        <f>IF(ISERROR(MATCH('Analysis backend'!$M$1,E5515:N5515,0)),"",'Analysis backend'!$L$1)</f>
        <v/>
      </c>
      <c r="U5515" t="str">
        <f>IF(T5515='Analysis backend'!$L$1,IF(ISERROR(MATCH('Analysis backend'!$M$1,E5515:I5515,0)),"Dire","Radiant"),"")</f>
        <v/>
      </c>
    </row>
    <row r="5516" spans="20:21" x14ac:dyDescent="0.3">
      <c r="T5516" t="str">
        <f>IF(ISERROR(MATCH('Analysis backend'!$M$1,E5516:N5516,0)),"",'Analysis backend'!$L$1)</f>
        <v/>
      </c>
      <c r="U5516" t="str">
        <f>IF(T5516='Analysis backend'!$L$1,IF(ISERROR(MATCH('Analysis backend'!$M$1,E5516:I5516,0)),"Dire","Radiant"),"")</f>
        <v/>
      </c>
    </row>
    <row r="5517" spans="20:21" x14ac:dyDescent="0.3">
      <c r="T5517" t="str">
        <f>IF(ISERROR(MATCH('Analysis backend'!$M$1,E5517:N5517,0)),"",'Analysis backend'!$L$1)</f>
        <v/>
      </c>
      <c r="U5517" t="str">
        <f>IF(T5517='Analysis backend'!$L$1,IF(ISERROR(MATCH('Analysis backend'!$M$1,E5517:I5517,0)),"Dire","Radiant"),"")</f>
        <v/>
      </c>
    </row>
    <row r="5518" spans="20:21" x14ac:dyDescent="0.3">
      <c r="T5518" t="str">
        <f>IF(ISERROR(MATCH('Analysis backend'!$M$1,E5518:N5518,0)),"",'Analysis backend'!$L$1)</f>
        <v/>
      </c>
      <c r="U5518" t="str">
        <f>IF(T5518='Analysis backend'!$L$1,IF(ISERROR(MATCH('Analysis backend'!$M$1,E5518:I5518,0)),"Dire","Radiant"),"")</f>
        <v/>
      </c>
    </row>
    <row r="5519" spans="20:21" x14ac:dyDescent="0.3">
      <c r="T5519" t="str">
        <f>IF(ISERROR(MATCH('Analysis backend'!$M$1,E5519:N5519,0)),"",'Analysis backend'!$L$1)</f>
        <v/>
      </c>
      <c r="U5519" t="str">
        <f>IF(T5519='Analysis backend'!$L$1,IF(ISERROR(MATCH('Analysis backend'!$M$1,E5519:I5519,0)),"Dire","Radiant"),"")</f>
        <v/>
      </c>
    </row>
    <row r="5520" spans="20:21" x14ac:dyDescent="0.3">
      <c r="T5520" t="str">
        <f>IF(ISERROR(MATCH('Analysis backend'!$M$1,E5520:N5520,0)),"",'Analysis backend'!$L$1)</f>
        <v/>
      </c>
      <c r="U5520" t="str">
        <f>IF(T5520='Analysis backend'!$L$1,IF(ISERROR(MATCH('Analysis backend'!$M$1,E5520:I5520,0)),"Dire","Radiant"),"")</f>
        <v/>
      </c>
    </row>
    <row r="5521" spans="20:21" x14ac:dyDescent="0.3">
      <c r="T5521" t="str">
        <f>IF(ISERROR(MATCH('Analysis backend'!$M$1,E5521:N5521,0)),"",'Analysis backend'!$L$1)</f>
        <v/>
      </c>
      <c r="U5521" t="str">
        <f>IF(T5521='Analysis backend'!$L$1,IF(ISERROR(MATCH('Analysis backend'!$M$1,E5521:I5521,0)),"Dire","Radiant"),"")</f>
        <v/>
      </c>
    </row>
    <row r="5522" spans="20:21" x14ac:dyDescent="0.3">
      <c r="T5522" t="str">
        <f>IF(ISERROR(MATCH('Analysis backend'!$M$1,E5522:N5522,0)),"",'Analysis backend'!$L$1)</f>
        <v/>
      </c>
      <c r="U5522" t="str">
        <f>IF(T5522='Analysis backend'!$L$1,IF(ISERROR(MATCH('Analysis backend'!$M$1,E5522:I5522,0)),"Dire","Radiant"),"")</f>
        <v/>
      </c>
    </row>
    <row r="5523" spans="20:21" x14ac:dyDescent="0.3">
      <c r="T5523" t="str">
        <f>IF(ISERROR(MATCH('Analysis backend'!$M$1,E5523:N5523,0)),"",'Analysis backend'!$L$1)</f>
        <v/>
      </c>
      <c r="U5523" t="str">
        <f>IF(T5523='Analysis backend'!$L$1,IF(ISERROR(MATCH('Analysis backend'!$M$1,E5523:I5523,0)),"Dire","Radiant"),"")</f>
        <v/>
      </c>
    </row>
    <row r="5524" spans="20:21" x14ac:dyDescent="0.3">
      <c r="T5524" t="str">
        <f>IF(ISERROR(MATCH('Analysis backend'!$M$1,E5524:N5524,0)),"",'Analysis backend'!$L$1)</f>
        <v/>
      </c>
      <c r="U5524" t="str">
        <f>IF(T5524='Analysis backend'!$L$1,IF(ISERROR(MATCH('Analysis backend'!$M$1,E5524:I5524,0)),"Dire","Radiant"),"")</f>
        <v/>
      </c>
    </row>
    <row r="5525" spans="20:21" x14ac:dyDescent="0.3">
      <c r="T5525" t="str">
        <f>IF(ISERROR(MATCH('Analysis backend'!$M$1,E5525:N5525,0)),"",'Analysis backend'!$L$1)</f>
        <v/>
      </c>
      <c r="U5525" t="str">
        <f>IF(T5525='Analysis backend'!$L$1,IF(ISERROR(MATCH('Analysis backend'!$M$1,E5525:I5525,0)),"Dire","Radiant"),"")</f>
        <v/>
      </c>
    </row>
    <row r="5526" spans="20:21" x14ac:dyDescent="0.3">
      <c r="T5526" t="str">
        <f>IF(ISERROR(MATCH('Analysis backend'!$M$1,E5526:N5526,0)),"",'Analysis backend'!$L$1)</f>
        <v/>
      </c>
      <c r="U5526" t="str">
        <f>IF(T5526='Analysis backend'!$L$1,IF(ISERROR(MATCH('Analysis backend'!$M$1,E5526:I5526,0)),"Dire","Radiant"),"")</f>
        <v/>
      </c>
    </row>
    <row r="5527" spans="20:21" x14ac:dyDescent="0.3">
      <c r="T5527" t="str">
        <f>IF(ISERROR(MATCH('Analysis backend'!$M$1,E5527:N5527,0)),"",'Analysis backend'!$L$1)</f>
        <v/>
      </c>
      <c r="U5527" t="str">
        <f>IF(T5527='Analysis backend'!$L$1,IF(ISERROR(MATCH('Analysis backend'!$M$1,E5527:I5527,0)),"Dire","Radiant"),"")</f>
        <v/>
      </c>
    </row>
    <row r="5528" spans="20:21" x14ac:dyDescent="0.3">
      <c r="T5528" t="str">
        <f>IF(ISERROR(MATCH('Analysis backend'!$M$1,E5528:N5528,0)),"",'Analysis backend'!$L$1)</f>
        <v/>
      </c>
      <c r="U5528" t="str">
        <f>IF(T5528='Analysis backend'!$L$1,IF(ISERROR(MATCH('Analysis backend'!$M$1,E5528:I5528,0)),"Dire","Radiant"),"")</f>
        <v/>
      </c>
    </row>
    <row r="5529" spans="20:21" x14ac:dyDescent="0.3">
      <c r="T5529" t="str">
        <f>IF(ISERROR(MATCH('Analysis backend'!$M$1,E5529:N5529,0)),"",'Analysis backend'!$L$1)</f>
        <v/>
      </c>
      <c r="U5529" t="str">
        <f>IF(T5529='Analysis backend'!$L$1,IF(ISERROR(MATCH('Analysis backend'!$M$1,E5529:I5529,0)),"Dire","Radiant"),"")</f>
        <v/>
      </c>
    </row>
    <row r="5530" spans="20:21" x14ac:dyDescent="0.3">
      <c r="T5530" t="str">
        <f>IF(ISERROR(MATCH('Analysis backend'!$M$1,E5530:N5530,0)),"",'Analysis backend'!$L$1)</f>
        <v/>
      </c>
      <c r="U5530" t="str">
        <f>IF(T5530='Analysis backend'!$L$1,IF(ISERROR(MATCH('Analysis backend'!$M$1,E5530:I5530,0)),"Dire","Radiant"),"")</f>
        <v/>
      </c>
    </row>
    <row r="5531" spans="20:21" x14ac:dyDescent="0.3">
      <c r="T5531" t="str">
        <f>IF(ISERROR(MATCH('Analysis backend'!$M$1,E5531:N5531,0)),"",'Analysis backend'!$L$1)</f>
        <v/>
      </c>
      <c r="U5531" t="str">
        <f>IF(T5531='Analysis backend'!$L$1,IF(ISERROR(MATCH('Analysis backend'!$M$1,E5531:I5531,0)),"Dire","Radiant"),"")</f>
        <v/>
      </c>
    </row>
    <row r="5532" spans="20:21" x14ac:dyDescent="0.3">
      <c r="T5532" t="str">
        <f>IF(ISERROR(MATCH('Analysis backend'!$M$1,E5532:N5532,0)),"",'Analysis backend'!$L$1)</f>
        <v/>
      </c>
      <c r="U5532" t="str">
        <f>IF(T5532='Analysis backend'!$L$1,IF(ISERROR(MATCH('Analysis backend'!$M$1,E5532:I5532,0)),"Dire","Radiant"),"")</f>
        <v/>
      </c>
    </row>
    <row r="5533" spans="20:21" x14ac:dyDescent="0.3">
      <c r="T5533" t="str">
        <f>IF(ISERROR(MATCH('Analysis backend'!$M$1,E5533:N5533,0)),"",'Analysis backend'!$L$1)</f>
        <v/>
      </c>
      <c r="U5533" t="str">
        <f>IF(T5533='Analysis backend'!$L$1,IF(ISERROR(MATCH('Analysis backend'!$M$1,E5533:I5533,0)),"Dire","Radiant"),"")</f>
        <v/>
      </c>
    </row>
    <row r="5534" spans="20:21" x14ac:dyDescent="0.3">
      <c r="T5534" t="str">
        <f>IF(ISERROR(MATCH('Analysis backend'!$M$1,E5534:N5534,0)),"",'Analysis backend'!$L$1)</f>
        <v/>
      </c>
      <c r="U5534" t="str">
        <f>IF(T5534='Analysis backend'!$L$1,IF(ISERROR(MATCH('Analysis backend'!$M$1,E5534:I5534,0)),"Dire","Radiant"),"")</f>
        <v/>
      </c>
    </row>
    <row r="5535" spans="20:21" x14ac:dyDescent="0.3">
      <c r="T5535" t="str">
        <f>IF(ISERROR(MATCH('Analysis backend'!$M$1,E5535:N5535,0)),"",'Analysis backend'!$L$1)</f>
        <v/>
      </c>
      <c r="U5535" t="str">
        <f>IF(T5535='Analysis backend'!$L$1,IF(ISERROR(MATCH('Analysis backend'!$M$1,E5535:I5535,0)),"Dire","Radiant"),"")</f>
        <v/>
      </c>
    </row>
    <row r="5536" spans="20:21" x14ac:dyDescent="0.3">
      <c r="T5536" t="str">
        <f>IF(ISERROR(MATCH('Analysis backend'!$M$1,E5536:N5536,0)),"",'Analysis backend'!$L$1)</f>
        <v/>
      </c>
      <c r="U5536" t="str">
        <f>IF(T5536='Analysis backend'!$L$1,IF(ISERROR(MATCH('Analysis backend'!$M$1,E5536:I5536,0)),"Dire","Radiant"),"")</f>
        <v/>
      </c>
    </row>
    <row r="5537" spans="20:21" x14ac:dyDescent="0.3">
      <c r="T5537" t="str">
        <f>IF(ISERROR(MATCH('Analysis backend'!$M$1,E5537:N5537,0)),"",'Analysis backend'!$L$1)</f>
        <v/>
      </c>
      <c r="U5537" t="str">
        <f>IF(T5537='Analysis backend'!$L$1,IF(ISERROR(MATCH('Analysis backend'!$M$1,E5537:I5537,0)),"Dire","Radiant"),"")</f>
        <v/>
      </c>
    </row>
    <row r="5538" spans="20:21" x14ac:dyDescent="0.3">
      <c r="T5538" t="str">
        <f>IF(ISERROR(MATCH('Analysis backend'!$M$1,E5538:N5538,0)),"",'Analysis backend'!$L$1)</f>
        <v/>
      </c>
      <c r="U5538" t="str">
        <f>IF(T5538='Analysis backend'!$L$1,IF(ISERROR(MATCH('Analysis backend'!$M$1,E5538:I5538,0)),"Dire","Radiant"),"")</f>
        <v/>
      </c>
    </row>
    <row r="5539" spans="20:21" x14ac:dyDescent="0.3">
      <c r="T5539" t="str">
        <f>IF(ISERROR(MATCH('Analysis backend'!$M$1,E5539:N5539,0)),"",'Analysis backend'!$L$1)</f>
        <v/>
      </c>
      <c r="U5539" t="str">
        <f>IF(T5539='Analysis backend'!$L$1,IF(ISERROR(MATCH('Analysis backend'!$M$1,E5539:I5539,0)),"Dire","Radiant"),"")</f>
        <v/>
      </c>
    </row>
    <row r="5540" spans="20:21" x14ac:dyDescent="0.3">
      <c r="T5540" t="str">
        <f>IF(ISERROR(MATCH('Analysis backend'!$M$1,E5540:N5540,0)),"",'Analysis backend'!$L$1)</f>
        <v/>
      </c>
      <c r="U5540" t="str">
        <f>IF(T5540='Analysis backend'!$L$1,IF(ISERROR(MATCH('Analysis backend'!$M$1,E5540:I5540,0)),"Dire","Radiant"),"")</f>
        <v/>
      </c>
    </row>
    <row r="5541" spans="20:21" x14ac:dyDescent="0.3">
      <c r="T5541" t="str">
        <f>IF(ISERROR(MATCH('Analysis backend'!$M$1,E5541:N5541,0)),"",'Analysis backend'!$L$1)</f>
        <v/>
      </c>
      <c r="U5541" t="str">
        <f>IF(T5541='Analysis backend'!$L$1,IF(ISERROR(MATCH('Analysis backend'!$M$1,E5541:I5541,0)),"Dire","Radiant"),"")</f>
        <v/>
      </c>
    </row>
    <row r="5542" spans="20:21" x14ac:dyDescent="0.3">
      <c r="T5542" t="str">
        <f>IF(ISERROR(MATCH('Analysis backend'!$M$1,E5542:N5542,0)),"",'Analysis backend'!$L$1)</f>
        <v/>
      </c>
      <c r="U5542" t="str">
        <f>IF(T5542='Analysis backend'!$L$1,IF(ISERROR(MATCH('Analysis backend'!$M$1,E5542:I5542,0)),"Dire","Radiant"),"")</f>
        <v/>
      </c>
    </row>
    <row r="5543" spans="20:21" x14ac:dyDescent="0.3">
      <c r="T5543" t="str">
        <f>IF(ISERROR(MATCH('Analysis backend'!$M$1,E5543:N5543,0)),"",'Analysis backend'!$L$1)</f>
        <v/>
      </c>
      <c r="U5543" t="str">
        <f>IF(T5543='Analysis backend'!$L$1,IF(ISERROR(MATCH('Analysis backend'!$M$1,E5543:I5543,0)),"Dire","Radiant"),"")</f>
        <v/>
      </c>
    </row>
    <row r="5544" spans="20:21" x14ac:dyDescent="0.3">
      <c r="T5544" t="str">
        <f>IF(ISERROR(MATCH('Analysis backend'!$M$1,E5544:N5544,0)),"",'Analysis backend'!$L$1)</f>
        <v/>
      </c>
      <c r="U5544" t="str">
        <f>IF(T5544='Analysis backend'!$L$1,IF(ISERROR(MATCH('Analysis backend'!$M$1,E5544:I5544,0)),"Dire","Radiant"),"")</f>
        <v/>
      </c>
    </row>
    <row r="5545" spans="20:21" x14ac:dyDescent="0.3">
      <c r="T5545" t="str">
        <f>IF(ISERROR(MATCH('Analysis backend'!$M$1,E5545:N5545,0)),"",'Analysis backend'!$L$1)</f>
        <v/>
      </c>
      <c r="U5545" t="str">
        <f>IF(T5545='Analysis backend'!$L$1,IF(ISERROR(MATCH('Analysis backend'!$M$1,E5545:I5545,0)),"Dire","Radiant"),"")</f>
        <v/>
      </c>
    </row>
    <row r="5546" spans="20:21" x14ac:dyDescent="0.3">
      <c r="T5546" t="str">
        <f>IF(ISERROR(MATCH('Analysis backend'!$M$1,E5546:N5546,0)),"",'Analysis backend'!$L$1)</f>
        <v/>
      </c>
      <c r="U5546" t="str">
        <f>IF(T5546='Analysis backend'!$L$1,IF(ISERROR(MATCH('Analysis backend'!$M$1,E5546:I5546,0)),"Dire","Radiant"),"")</f>
        <v/>
      </c>
    </row>
    <row r="5547" spans="20:21" x14ac:dyDescent="0.3">
      <c r="T5547" t="str">
        <f>IF(ISERROR(MATCH('Analysis backend'!$M$1,E5547:N5547,0)),"",'Analysis backend'!$L$1)</f>
        <v/>
      </c>
      <c r="U5547" t="str">
        <f>IF(T5547='Analysis backend'!$L$1,IF(ISERROR(MATCH('Analysis backend'!$M$1,E5547:I5547,0)),"Dire","Radiant"),"")</f>
        <v/>
      </c>
    </row>
    <row r="5548" spans="20:21" x14ac:dyDescent="0.3">
      <c r="T5548" t="str">
        <f>IF(ISERROR(MATCH('Analysis backend'!$M$1,E5548:N5548,0)),"",'Analysis backend'!$L$1)</f>
        <v/>
      </c>
      <c r="U5548" t="str">
        <f>IF(T5548='Analysis backend'!$L$1,IF(ISERROR(MATCH('Analysis backend'!$M$1,E5548:I5548,0)),"Dire","Radiant"),"")</f>
        <v/>
      </c>
    </row>
    <row r="5549" spans="20:21" x14ac:dyDescent="0.3">
      <c r="T5549" t="str">
        <f>IF(ISERROR(MATCH('Analysis backend'!$M$1,E5549:N5549,0)),"",'Analysis backend'!$L$1)</f>
        <v/>
      </c>
      <c r="U5549" t="str">
        <f>IF(T5549='Analysis backend'!$L$1,IF(ISERROR(MATCH('Analysis backend'!$M$1,E5549:I5549,0)),"Dire","Radiant"),"")</f>
        <v/>
      </c>
    </row>
    <row r="5550" spans="20:21" x14ac:dyDescent="0.3">
      <c r="T5550" t="str">
        <f>IF(ISERROR(MATCH('Analysis backend'!$M$1,E5550:N5550,0)),"",'Analysis backend'!$L$1)</f>
        <v/>
      </c>
      <c r="U5550" t="str">
        <f>IF(T5550='Analysis backend'!$L$1,IF(ISERROR(MATCH('Analysis backend'!$M$1,E5550:I5550,0)),"Dire","Radiant"),"")</f>
        <v/>
      </c>
    </row>
    <row r="5551" spans="20:21" x14ac:dyDescent="0.3">
      <c r="T5551" t="str">
        <f>IF(ISERROR(MATCH('Analysis backend'!$M$1,E5551:N5551,0)),"",'Analysis backend'!$L$1)</f>
        <v/>
      </c>
      <c r="U5551" t="str">
        <f>IF(T5551='Analysis backend'!$L$1,IF(ISERROR(MATCH('Analysis backend'!$M$1,E5551:I5551,0)),"Dire","Radiant"),"")</f>
        <v/>
      </c>
    </row>
    <row r="5552" spans="20:21" x14ac:dyDescent="0.3">
      <c r="T5552" t="str">
        <f>IF(ISERROR(MATCH('Analysis backend'!$M$1,E5552:N5552,0)),"",'Analysis backend'!$L$1)</f>
        <v/>
      </c>
      <c r="U5552" t="str">
        <f>IF(T5552='Analysis backend'!$L$1,IF(ISERROR(MATCH('Analysis backend'!$M$1,E5552:I5552,0)),"Dire","Radiant"),"")</f>
        <v/>
      </c>
    </row>
    <row r="5553" spans="20:21" x14ac:dyDescent="0.3">
      <c r="T5553" t="str">
        <f>IF(ISERROR(MATCH('Analysis backend'!$M$1,E5553:N5553,0)),"",'Analysis backend'!$L$1)</f>
        <v/>
      </c>
      <c r="U5553" t="str">
        <f>IF(T5553='Analysis backend'!$L$1,IF(ISERROR(MATCH('Analysis backend'!$M$1,E5553:I5553,0)),"Dire","Radiant"),"")</f>
        <v/>
      </c>
    </row>
    <row r="5554" spans="20:21" x14ac:dyDescent="0.3">
      <c r="T5554" t="str">
        <f>IF(ISERROR(MATCH('Analysis backend'!$M$1,E5554:N5554,0)),"",'Analysis backend'!$L$1)</f>
        <v/>
      </c>
      <c r="U5554" t="str">
        <f>IF(T5554='Analysis backend'!$L$1,IF(ISERROR(MATCH('Analysis backend'!$M$1,E5554:I5554,0)),"Dire","Radiant"),"")</f>
        <v/>
      </c>
    </row>
    <row r="5555" spans="20:21" x14ac:dyDescent="0.3">
      <c r="T5555" t="str">
        <f>IF(ISERROR(MATCH('Analysis backend'!$M$1,E5555:N5555,0)),"",'Analysis backend'!$L$1)</f>
        <v/>
      </c>
      <c r="U5555" t="str">
        <f>IF(T5555='Analysis backend'!$L$1,IF(ISERROR(MATCH('Analysis backend'!$M$1,E5555:I5555,0)),"Dire","Radiant"),"")</f>
        <v/>
      </c>
    </row>
    <row r="5556" spans="20:21" x14ac:dyDescent="0.3">
      <c r="T5556" t="str">
        <f>IF(ISERROR(MATCH('Analysis backend'!$M$1,E5556:N5556,0)),"",'Analysis backend'!$L$1)</f>
        <v/>
      </c>
      <c r="U5556" t="str">
        <f>IF(T5556='Analysis backend'!$L$1,IF(ISERROR(MATCH('Analysis backend'!$M$1,E5556:I5556,0)),"Dire","Radiant"),"")</f>
        <v/>
      </c>
    </row>
    <row r="5557" spans="20:21" x14ac:dyDescent="0.3">
      <c r="T5557" t="str">
        <f>IF(ISERROR(MATCH('Analysis backend'!$M$1,E5557:N5557,0)),"",'Analysis backend'!$L$1)</f>
        <v/>
      </c>
      <c r="U5557" t="str">
        <f>IF(T5557='Analysis backend'!$L$1,IF(ISERROR(MATCH('Analysis backend'!$M$1,E5557:I5557,0)),"Dire","Radiant"),"")</f>
        <v/>
      </c>
    </row>
    <row r="5558" spans="20:21" x14ac:dyDescent="0.3">
      <c r="T5558" t="str">
        <f>IF(ISERROR(MATCH('Analysis backend'!$M$1,E5558:N5558,0)),"",'Analysis backend'!$L$1)</f>
        <v/>
      </c>
      <c r="U5558" t="str">
        <f>IF(T5558='Analysis backend'!$L$1,IF(ISERROR(MATCH('Analysis backend'!$M$1,E5558:I5558,0)),"Dire","Radiant"),"")</f>
        <v/>
      </c>
    </row>
    <row r="5559" spans="20:21" x14ac:dyDescent="0.3">
      <c r="T5559" t="str">
        <f>IF(ISERROR(MATCH('Analysis backend'!$M$1,E5559:N5559,0)),"",'Analysis backend'!$L$1)</f>
        <v/>
      </c>
      <c r="U5559" t="str">
        <f>IF(T5559='Analysis backend'!$L$1,IF(ISERROR(MATCH('Analysis backend'!$M$1,E5559:I5559,0)),"Dire","Radiant"),"")</f>
        <v/>
      </c>
    </row>
    <row r="5560" spans="20:21" x14ac:dyDescent="0.3">
      <c r="T5560" t="str">
        <f>IF(ISERROR(MATCH('Analysis backend'!$M$1,E5560:N5560,0)),"",'Analysis backend'!$L$1)</f>
        <v/>
      </c>
      <c r="U5560" t="str">
        <f>IF(T5560='Analysis backend'!$L$1,IF(ISERROR(MATCH('Analysis backend'!$M$1,E5560:I5560,0)),"Dire","Radiant"),"")</f>
        <v/>
      </c>
    </row>
    <row r="5561" spans="20:21" x14ac:dyDescent="0.3">
      <c r="T5561" t="str">
        <f>IF(ISERROR(MATCH('Analysis backend'!$M$1,E5561:N5561,0)),"",'Analysis backend'!$L$1)</f>
        <v/>
      </c>
      <c r="U5561" t="str">
        <f>IF(T5561='Analysis backend'!$L$1,IF(ISERROR(MATCH('Analysis backend'!$M$1,E5561:I5561,0)),"Dire","Radiant"),"")</f>
        <v/>
      </c>
    </row>
    <row r="5562" spans="20:21" x14ac:dyDescent="0.3">
      <c r="T5562" t="str">
        <f>IF(ISERROR(MATCH('Analysis backend'!$M$1,E5562:N5562,0)),"",'Analysis backend'!$L$1)</f>
        <v/>
      </c>
      <c r="U5562" t="str">
        <f>IF(T5562='Analysis backend'!$L$1,IF(ISERROR(MATCH('Analysis backend'!$M$1,E5562:I5562,0)),"Dire","Radiant"),"")</f>
        <v/>
      </c>
    </row>
    <row r="5563" spans="20:21" x14ac:dyDescent="0.3">
      <c r="T5563" t="str">
        <f>IF(ISERROR(MATCH('Analysis backend'!$M$1,E5563:N5563,0)),"",'Analysis backend'!$L$1)</f>
        <v/>
      </c>
      <c r="U5563" t="str">
        <f>IF(T5563='Analysis backend'!$L$1,IF(ISERROR(MATCH('Analysis backend'!$M$1,E5563:I5563,0)),"Dire","Radiant"),"")</f>
        <v/>
      </c>
    </row>
    <row r="5564" spans="20:21" x14ac:dyDescent="0.3">
      <c r="T5564" t="str">
        <f>IF(ISERROR(MATCH('Analysis backend'!$M$1,E5564:N5564,0)),"",'Analysis backend'!$L$1)</f>
        <v/>
      </c>
      <c r="U5564" t="str">
        <f>IF(T5564='Analysis backend'!$L$1,IF(ISERROR(MATCH('Analysis backend'!$M$1,E5564:I5564,0)),"Dire","Radiant"),"")</f>
        <v/>
      </c>
    </row>
    <row r="5565" spans="20:21" x14ac:dyDescent="0.3">
      <c r="T5565" t="str">
        <f>IF(ISERROR(MATCH('Analysis backend'!$M$1,E5565:N5565,0)),"",'Analysis backend'!$L$1)</f>
        <v/>
      </c>
      <c r="U5565" t="str">
        <f>IF(T5565='Analysis backend'!$L$1,IF(ISERROR(MATCH('Analysis backend'!$M$1,E5565:I5565,0)),"Dire","Radiant"),"")</f>
        <v/>
      </c>
    </row>
    <row r="5566" spans="20:21" x14ac:dyDescent="0.3">
      <c r="T5566" t="str">
        <f>IF(ISERROR(MATCH('Analysis backend'!$M$1,E5566:N5566,0)),"",'Analysis backend'!$L$1)</f>
        <v/>
      </c>
      <c r="U5566" t="str">
        <f>IF(T5566='Analysis backend'!$L$1,IF(ISERROR(MATCH('Analysis backend'!$M$1,E5566:I5566,0)),"Dire","Radiant"),"")</f>
        <v/>
      </c>
    </row>
    <row r="5567" spans="20:21" x14ac:dyDescent="0.3">
      <c r="T5567" t="str">
        <f>IF(ISERROR(MATCH('Analysis backend'!$M$1,E5567:N5567,0)),"",'Analysis backend'!$L$1)</f>
        <v/>
      </c>
      <c r="U5567" t="str">
        <f>IF(T5567='Analysis backend'!$L$1,IF(ISERROR(MATCH('Analysis backend'!$M$1,E5567:I5567,0)),"Dire","Radiant"),"")</f>
        <v/>
      </c>
    </row>
    <row r="5568" spans="20:21" x14ac:dyDescent="0.3">
      <c r="T5568" t="str">
        <f>IF(ISERROR(MATCH('Analysis backend'!$M$1,E5568:N5568,0)),"",'Analysis backend'!$L$1)</f>
        <v/>
      </c>
      <c r="U5568" t="str">
        <f>IF(T5568='Analysis backend'!$L$1,IF(ISERROR(MATCH('Analysis backend'!$M$1,E5568:I5568,0)),"Dire","Radiant"),"")</f>
        <v/>
      </c>
    </row>
    <row r="5569" spans="20:21" x14ac:dyDescent="0.3">
      <c r="T5569" t="str">
        <f>IF(ISERROR(MATCH('Analysis backend'!$M$1,E5569:N5569,0)),"",'Analysis backend'!$L$1)</f>
        <v/>
      </c>
      <c r="U5569" t="str">
        <f>IF(T5569='Analysis backend'!$L$1,IF(ISERROR(MATCH('Analysis backend'!$M$1,E5569:I5569,0)),"Dire","Radiant"),"")</f>
        <v/>
      </c>
    </row>
    <row r="5570" spans="20:21" x14ac:dyDescent="0.3">
      <c r="T5570" t="str">
        <f>IF(ISERROR(MATCH('Analysis backend'!$M$1,E5570:N5570,0)),"",'Analysis backend'!$L$1)</f>
        <v/>
      </c>
      <c r="U5570" t="str">
        <f>IF(T5570='Analysis backend'!$L$1,IF(ISERROR(MATCH('Analysis backend'!$M$1,E5570:I5570,0)),"Dire","Radiant"),"")</f>
        <v/>
      </c>
    </row>
    <row r="5571" spans="20:21" x14ac:dyDescent="0.3">
      <c r="T5571" t="str">
        <f>IF(ISERROR(MATCH('Analysis backend'!$M$1,E5571:N5571,0)),"",'Analysis backend'!$L$1)</f>
        <v/>
      </c>
      <c r="U5571" t="str">
        <f>IF(T5571='Analysis backend'!$L$1,IF(ISERROR(MATCH('Analysis backend'!$M$1,E5571:I5571,0)),"Dire","Radiant"),"")</f>
        <v/>
      </c>
    </row>
    <row r="5572" spans="20:21" x14ac:dyDescent="0.3">
      <c r="T5572" t="str">
        <f>IF(ISERROR(MATCH('Analysis backend'!$M$1,E5572:N5572,0)),"",'Analysis backend'!$L$1)</f>
        <v/>
      </c>
      <c r="U5572" t="str">
        <f>IF(T5572='Analysis backend'!$L$1,IF(ISERROR(MATCH('Analysis backend'!$M$1,E5572:I5572,0)),"Dire","Radiant"),"")</f>
        <v/>
      </c>
    </row>
    <row r="5573" spans="20:21" x14ac:dyDescent="0.3">
      <c r="T5573" t="str">
        <f>IF(ISERROR(MATCH('Analysis backend'!$M$1,E5573:N5573,0)),"",'Analysis backend'!$L$1)</f>
        <v/>
      </c>
      <c r="U5573" t="str">
        <f>IF(T5573='Analysis backend'!$L$1,IF(ISERROR(MATCH('Analysis backend'!$M$1,E5573:I5573,0)),"Dire","Radiant"),"")</f>
        <v/>
      </c>
    </row>
    <row r="5574" spans="20:21" x14ac:dyDescent="0.3">
      <c r="T5574" t="str">
        <f>IF(ISERROR(MATCH('Analysis backend'!$M$1,E5574:N5574,0)),"",'Analysis backend'!$L$1)</f>
        <v/>
      </c>
      <c r="U5574" t="str">
        <f>IF(T5574='Analysis backend'!$L$1,IF(ISERROR(MATCH('Analysis backend'!$M$1,E5574:I5574,0)),"Dire","Radiant"),"")</f>
        <v/>
      </c>
    </row>
    <row r="5575" spans="20:21" x14ac:dyDescent="0.3">
      <c r="T5575" t="str">
        <f>IF(ISERROR(MATCH('Analysis backend'!$M$1,E5575:N5575,0)),"",'Analysis backend'!$L$1)</f>
        <v/>
      </c>
      <c r="U5575" t="str">
        <f>IF(T5575='Analysis backend'!$L$1,IF(ISERROR(MATCH('Analysis backend'!$M$1,E5575:I5575,0)),"Dire","Radiant"),"")</f>
        <v/>
      </c>
    </row>
    <row r="5576" spans="20:21" x14ac:dyDescent="0.3">
      <c r="T5576" t="str">
        <f>IF(ISERROR(MATCH('Analysis backend'!$M$1,E5576:N5576,0)),"",'Analysis backend'!$L$1)</f>
        <v/>
      </c>
      <c r="U5576" t="str">
        <f>IF(T5576='Analysis backend'!$L$1,IF(ISERROR(MATCH('Analysis backend'!$M$1,E5576:I5576,0)),"Dire","Radiant"),"")</f>
        <v/>
      </c>
    </row>
    <row r="5577" spans="20:21" x14ac:dyDescent="0.3">
      <c r="T5577" t="str">
        <f>IF(ISERROR(MATCH('Analysis backend'!$M$1,E5577:N5577,0)),"",'Analysis backend'!$L$1)</f>
        <v/>
      </c>
      <c r="U5577" t="str">
        <f>IF(T5577='Analysis backend'!$L$1,IF(ISERROR(MATCH('Analysis backend'!$M$1,E5577:I5577,0)),"Dire","Radiant"),"")</f>
        <v/>
      </c>
    </row>
    <row r="5578" spans="20:21" x14ac:dyDescent="0.3">
      <c r="T5578" t="str">
        <f>IF(ISERROR(MATCH('Analysis backend'!$M$1,E5578:N5578,0)),"",'Analysis backend'!$L$1)</f>
        <v/>
      </c>
      <c r="U5578" t="str">
        <f>IF(T5578='Analysis backend'!$L$1,IF(ISERROR(MATCH('Analysis backend'!$M$1,E5578:I5578,0)),"Dire","Radiant"),"")</f>
        <v/>
      </c>
    </row>
    <row r="5579" spans="20:21" x14ac:dyDescent="0.3">
      <c r="T5579" t="str">
        <f>IF(ISERROR(MATCH('Analysis backend'!$M$1,E5579:N5579,0)),"",'Analysis backend'!$L$1)</f>
        <v/>
      </c>
      <c r="U5579" t="str">
        <f>IF(T5579='Analysis backend'!$L$1,IF(ISERROR(MATCH('Analysis backend'!$M$1,E5579:I5579,0)),"Dire","Radiant"),"")</f>
        <v/>
      </c>
    </row>
    <row r="5580" spans="20:21" x14ac:dyDescent="0.3">
      <c r="T5580" t="str">
        <f>IF(ISERROR(MATCH('Analysis backend'!$M$1,E5580:N5580,0)),"",'Analysis backend'!$L$1)</f>
        <v/>
      </c>
      <c r="U5580" t="str">
        <f>IF(T5580='Analysis backend'!$L$1,IF(ISERROR(MATCH('Analysis backend'!$M$1,E5580:I5580,0)),"Dire","Radiant"),"")</f>
        <v/>
      </c>
    </row>
    <row r="5581" spans="20:21" x14ac:dyDescent="0.3">
      <c r="T5581" t="str">
        <f>IF(ISERROR(MATCH('Analysis backend'!$M$1,E5581:N5581,0)),"",'Analysis backend'!$L$1)</f>
        <v/>
      </c>
      <c r="U5581" t="str">
        <f>IF(T5581='Analysis backend'!$L$1,IF(ISERROR(MATCH('Analysis backend'!$M$1,E5581:I5581,0)),"Dire","Radiant"),"")</f>
        <v/>
      </c>
    </row>
    <row r="5582" spans="20:21" x14ac:dyDescent="0.3">
      <c r="T5582" t="str">
        <f>IF(ISERROR(MATCH('Analysis backend'!$M$1,E5582:N5582,0)),"",'Analysis backend'!$L$1)</f>
        <v/>
      </c>
      <c r="U5582" t="str">
        <f>IF(T5582='Analysis backend'!$L$1,IF(ISERROR(MATCH('Analysis backend'!$M$1,E5582:I5582,0)),"Dire","Radiant"),"")</f>
        <v/>
      </c>
    </row>
    <row r="5583" spans="20:21" x14ac:dyDescent="0.3">
      <c r="T5583" t="str">
        <f>IF(ISERROR(MATCH('Analysis backend'!$M$1,E5583:N5583,0)),"",'Analysis backend'!$L$1)</f>
        <v/>
      </c>
      <c r="U5583" t="str">
        <f>IF(T5583='Analysis backend'!$L$1,IF(ISERROR(MATCH('Analysis backend'!$M$1,E5583:I5583,0)),"Dire","Radiant"),"")</f>
        <v/>
      </c>
    </row>
    <row r="5584" spans="20:21" x14ac:dyDescent="0.3">
      <c r="T5584" t="str">
        <f>IF(ISERROR(MATCH('Analysis backend'!$M$1,E5584:N5584,0)),"",'Analysis backend'!$L$1)</f>
        <v/>
      </c>
      <c r="U5584" t="str">
        <f>IF(T5584='Analysis backend'!$L$1,IF(ISERROR(MATCH('Analysis backend'!$M$1,E5584:I5584,0)),"Dire","Radiant"),"")</f>
        <v/>
      </c>
    </row>
    <row r="5585" spans="20:21" x14ac:dyDescent="0.3">
      <c r="T5585" t="str">
        <f>IF(ISERROR(MATCH('Analysis backend'!$M$1,E5585:N5585,0)),"",'Analysis backend'!$L$1)</f>
        <v/>
      </c>
      <c r="U5585" t="str">
        <f>IF(T5585='Analysis backend'!$L$1,IF(ISERROR(MATCH('Analysis backend'!$M$1,E5585:I5585,0)),"Dire","Radiant"),"")</f>
        <v/>
      </c>
    </row>
    <row r="5586" spans="20:21" x14ac:dyDescent="0.3">
      <c r="T5586" t="str">
        <f>IF(ISERROR(MATCH('Analysis backend'!$M$1,E5586:N5586,0)),"",'Analysis backend'!$L$1)</f>
        <v/>
      </c>
      <c r="U5586" t="str">
        <f>IF(T5586='Analysis backend'!$L$1,IF(ISERROR(MATCH('Analysis backend'!$M$1,E5586:I5586,0)),"Dire","Radiant"),"")</f>
        <v/>
      </c>
    </row>
    <row r="5587" spans="20:21" x14ac:dyDescent="0.3">
      <c r="T5587" t="str">
        <f>IF(ISERROR(MATCH('Analysis backend'!$M$1,E5587:N5587,0)),"",'Analysis backend'!$L$1)</f>
        <v/>
      </c>
      <c r="U5587" t="str">
        <f>IF(T5587='Analysis backend'!$L$1,IF(ISERROR(MATCH('Analysis backend'!$M$1,E5587:I5587,0)),"Dire","Radiant"),"")</f>
        <v/>
      </c>
    </row>
    <row r="5588" spans="20:21" x14ac:dyDescent="0.3">
      <c r="T5588" t="str">
        <f>IF(ISERROR(MATCH('Analysis backend'!$M$1,E5588:N5588,0)),"",'Analysis backend'!$L$1)</f>
        <v/>
      </c>
      <c r="U5588" t="str">
        <f>IF(T5588='Analysis backend'!$L$1,IF(ISERROR(MATCH('Analysis backend'!$M$1,E5588:I5588,0)),"Dire","Radiant"),"")</f>
        <v/>
      </c>
    </row>
    <row r="5589" spans="20:21" x14ac:dyDescent="0.3">
      <c r="T5589" t="str">
        <f>IF(ISERROR(MATCH('Analysis backend'!$M$1,E5589:N5589,0)),"",'Analysis backend'!$L$1)</f>
        <v/>
      </c>
      <c r="U5589" t="str">
        <f>IF(T5589='Analysis backend'!$L$1,IF(ISERROR(MATCH('Analysis backend'!$M$1,E5589:I5589,0)),"Dire","Radiant"),"")</f>
        <v/>
      </c>
    </row>
    <row r="5590" spans="20:21" x14ac:dyDescent="0.3">
      <c r="T5590" t="str">
        <f>IF(ISERROR(MATCH('Analysis backend'!$M$1,E5590:N5590,0)),"",'Analysis backend'!$L$1)</f>
        <v/>
      </c>
      <c r="U5590" t="str">
        <f>IF(T5590='Analysis backend'!$L$1,IF(ISERROR(MATCH('Analysis backend'!$M$1,E5590:I5590,0)),"Dire","Radiant"),"")</f>
        <v/>
      </c>
    </row>
    <row r="5591" spans="20:21" x14ac:dyDescent="0.3">
      <c r="T5591" t="str">
        <f>IF(ISERROR(MATCH('Analysis backend'!$M$1,E5591:N5591,0)),"",'Analysis backend'!$L$1)</f>
        <v/>
      </c>
      <c r="U5591" t="str">
        <f>IF(T5591='Analysis backend'!$L$1,IF(ISERROR(MATCH('Analysis backend'!$M$1,E5591:I5591,0)),"Dire","Radiant"),"")</f>
        <v/>
      </c>
    </row>
    <row r="5592" spans="20:21" x14ac:dyDescent="0.3">
      <c r="T5592" t="str">
        <f>IF(ISERROR(MATCH('Analysis backend'!$M$1,E5592:N5592,0)),"",'Analysis backend'!$L$1)</f>
        <v/>
      </c>
      <c r="U5592" t="str">
        <f>IF(T5592='Analysis backend'!$L$1,IF(ISERROR(MATCH('Analysis backend'!$M$1,E5592:I5592,0)),"Dire","Radiant"),"")</f>
        <v/>
      </c>
    </row>
    <row r="5593" spans="20:21" x14ac:dyDescent="0.3">
      <c r="T5593" t="str">
        <f>IF(ISERROR(MATCH('Analysis backend'!$M$1,E5593:N5593,0)),"",'Analysis backend'!$L$1)</f>
        <v/>
      </c>
      <c r="U5593" t="str">
        <f>IF(T5593='Analysis backend'!$L$1,IF(ISERROR(MATCH('Analysis backend'!$M$1,E5593:I5593,0)),"Dire","Radiant"),"")</f>
        <v/>
      </c>
    </row>
    <row r="5594" spans="20:21" x14ac:dyDescent="0.3">
      <c r="T5594" t="str">
        <f>IF(ISERROR(MATCH('Analysis backend'!$M$1,E5594:N5594,0)),"",'Analysis backend'!$L$1)</f>
        <v/>
      </c>
      <c r="U5594" t="str">
        <f>IF(T5594='Analysis backend'!$L$1,IF(ISERROR(MATCH('Analysis backend'!$M$1,E5594:I5594,0)),"Dire","Radiant"),"")</f>
        <v/>
      </c>
    </row>
    <row r="5595" spans="20:21" x14ac:dyDescent="0.3">
      <c r="T5595" t="str">
        <f>IF(ISERROR(MATCH('Analysis backend'!$M$1,E5595:N5595,0)),"",'Analysis backend'!$L$1)</f>
        <v/>
      </c>
      <c r="U5595" t="str">
        <f>IF(T5595='Analysis backend'!$L$1,IF(ISERROR(MATCH('Analysis backend'!$M$1,E5595:I5595,0)),"Dire","Radiant"),"")</f>
        <v/>
      </c>
    </row>
    <row r="5596" spans="20:21" x14ac:dyDescent="0.3">
      <c r="T5596" t="str">
        <f>IF(ISERROR(MATCH('Analysis backend'!$M$1,E5596:N5596,0)),"",'Analysis backend'!$L$1)</f>
        <v/>
      </c>
      <c r="U5596" t="str">
        <f>IF(T5596='Analysis backend'!$L$1,IF(ISERROR(MATCH('Analysis backend'!$M$1,E5596:I5596,0)),"Dire","Radiant"),"")</f>
        <v/>
      </c>
    </row>
    <row r="5597" spans="20:21" x14ac:dyDescent="0.3">
      <c r="T5597" t="str">
        <f>IF(ISERROR(MATCH('Analysis backend'!$M$1,E5597:N5597,0)),"",'Analysis backend'!$L$1)</f>
        <v/>
      </c>
      <c r="U5597" t="str">
        <f>IF(T5597='Analysis backend'!$L$1,IF(ISERROR(MATCH('Analysis backend'!$M$1,E5597:I5597,0)),"Dire","Radiant"),"")</f>
        <v/>
      </c>
    </row>
    <row r="5598" spans="20:21" x14ac:dyDescent="0.3">
      <c r="T5598" t="str">
        <f>IF(ISERROR(MATCH('Analysis backend'!$M$1,E5598:N5598,0)),"",'Analysis backend'!$L$1)</f>
        <v/>
      </c>
      <c r="U5598" t="str">
        <f>IF(T5598='Analysis backend'!$L$1,IF(ISERROR(MATCH('Analysis backend'!$M$1,E5598:I5598,0)),"Dire","Radiant"),"")</f>
        <v/>
      </c>
    </row>
    <row r="5599" spans="20:21" x14ac:dyDescent="0.3">
      <c r="T5599" t="str">
        <f>IF(ISERROR(MATCH('Analysis backend'!$M$1,E5599:N5599,0)),"",'Analysis backend'!$L$1)</f>
        <v/>
      </c>
      <c r="U5599" t="str">
        <f>IF(T5599='Analysis backend'!$L$1,IF(ISERROR(MATCH('Analysis backend'!$M$1,E5599:I5599,0)),"Dire","Radiant"),"")</f>
        <v/>
      </c>
    </row>
    <row r="5600" spans="20:21" x14ac:dyDescent="0.3">
      <c r="T5600" t="str">
        <f>IF(ISERROR(MATCH('Analysis backend'!$M$1,E5600:N5600,0)),"",'Analysis backend'!$L$1)</f>
        <v/>
      </c>
      <c r="U5600" t="str">
        <f>IF(T5600='Analysis backend'!$L$1,IF(ISERROR(MATCH('Analysis backend'!$M$1,E5600:I5600,0)),"Dire","Radiant"),"")</f>
        <v/>
      </c>
    </row>
    <row r="5601" spans="20:21" x14ac:dyDescent="0.3">
      <c r="T5601" t="str">
        <f>IF(ISERROR(MATCH('Analysis backend'!$M$1,E5601:N5601,0)),"",'Analysis backend'!$L$1)</f>
        <v/>
      </c>
      <c r="U5601" t="str">
        <f>IF(T5601='Analysis backend'!$L$1,IF(ISERROR(MATCH('Analysis backend'!$M$1,E5601:I5601,0)),"Dire","Radiant"),"")</f>
        <v/>
      </c>
    </row>
    <row r="5602" spans="20:21" x14ac:dyDescent="0.3">
      <c r="T5602" t="str">
        <f>IF(ISERROR(MATCH('Analysis backend'!$M$1,E5602:N5602,0)),"",'Analysis backend'!$L$1)</f>
        <v/>
      </c>
      <c r="U5602" t="str">
        <f>IF(T5602='Analysis backend'!$L$1,IF(ISERROR(MATCH('Analysis backend'!$M$1,E5602:I5602,0)),"Dire","Radiant"),"")</f>
        <v/>
      </c>
    </row>
    <row r="5603" spans="20:21" x14ac:dyDescent="0.3">
      <c r="T5603" t="str">
        <f>IF(ISERROR(MATCH('Analysis backend'!$M$1,E5603:N5603,0)),"",'Analysis backend'!$L$1)</f>
        <v/>
      </c>
      <c r="U5603" t="str">
        <f>IF(T5603='Analysis backend'!$L$1,IF(ISERROR(MATCH('Analysis backend'!$M$1,E5603:I5603,0)),"Dire","Radiant"),"")</f>
        <v/>
      </c>
    </row>
    <row r="5604" spans="20:21" x14ac:dyDescent="0.3">
      <c r="T5604" t="str">
        <f>IF(ISERROR(MATCH('Analysis backend'!$M$1,E5604:N5604,0)),"",'Analysis backend'!$L$1)</f>
        <v/>
      </c>
      <c r="U5604" t="str">
        <f>IF(T5604='Analysis backend'!$L$1,IF(ISERROR(MATCH('Analysis backend'!$M$1,E5604:I5604,0)),"Dire","Radiant"),"")</f>
        <v/>
      </c>
    </row>
    <row r="5605" spans="20:21" x14ac:dyDescent="0.3">
      <c r="T5605" t="str">
        <f>IF(ISERROR(MATCH('Analysis backend'!$M$1,E5605:N5605,0)),"",'Analysis backend'!$L$1)</f>
        <v/>
      </c>
      <c r="U5605" t="str">
        <f>IF(T5605='Analysis backend'!$L$1,IF(ISERROR(MATCH('Analysis backend'!$M$1,E5605:I5605,0)),"Dire","Radiant"),"")</f>
        <v/>
      </c>
    </row>
    <row r="5606" spans="20:21" x14ac:dyDescent="0.3">
      <c r="T5606" t="str">
        <f>IF(ISERROR(MATCH('Analysis backend'!$M$1,E5606:N5606,0)),"",'Analysis backend'!$L$1)</f>
        <v/>
      </c>
      <c r="U5606" t="str">
        <f>IF(T5606='Analysis backend'!$L$1,IF(ISERROR(MATCH('Analysis backend'!$M$1,E5606:I5606,0)),"Dire","Radiant"),"")</f>
        <v/>
      </c>
    </row>
    <row r="5607" spans="20:21" x14ac:dyDescent="0.3">
      <c r="T5607" t="str">
        <f>IF(ISERROR(MATCH('Analysis backend'!$M$1,E5607:N5607,0)),"",'Analysis backend'!$L$1)</f>
        <v/>
      </c>
      <c r="U5607" t="str">
        <f>IF(T5607='Analysis backend'!$L$1,IF(ISERROR(MATCH('Analysis backend'!$M$1,E5607:I5607,0)),"Dire","Radiant"),"")</f>
        <v/>
      </c>
    </row>
    <row r="5608" spans="20:21" x14ac:dyDescent="0.3">
      <c r="T5608" t="str">
        <f>IF(ISERROR(MATCH('Analysis backend'!$M$1,E5608:N5608,0)),"",'Analysis backend'!$L$1)</f>
        <v/>
      </c>
      <c r="U5608" t="str">
        <f>IF(T5608='Analysis backend'!$L$1,IF(ISERROR(MATCH('Analysis backend'!$M$1,E5608:I5608,0)),"Dire","Radiant"),"")</f>
        <v/>
      </c>
    </row>
    <row r="5609" spans="20:21" x14ac:dyDescent="0.3">
      <c r="T5609" t="str">
        <f>IF(ISERROR(MATCH('Analysis backend'!$M$1,E5609:N5609,0)),"",'Analysis backend'!$L$1)</f>
        <v/>
      </c>
      <c r="U5609" t="str">
        <f>IF(T5609='Analysis backend'!$L$1,IF(ISERROR(MATCH('Analysis backend'!$M$1,E5609:I5609,0)),"Dire","Radiant"),"")</f>
        <v/>
      </c>
    </row>
    <row r="5610" spans="20:21" x14ac:dyDescent="0.3">
      <c r="T5610" t="str">
        <f>IF(ISERROR(MATCH('Analysis backend'!$M$1,E5610:N5610,0)),"",'Analysis backend'!$L$1)</f>
        <v/>
      </c>
      <c r="U5610" t="str">
        <f>IF(T5610='Analysis backend'!$L$1,IF(ISERROR(MATCH('Analysis backend'!$M$1,E5610:I5610,0)),"Dire","Radiant"),"")</f>
        <v/>
      </c>
    </row>
    <row r="5611" spans="20:21" x14ac:dyDescent="0.3">
      <c r="T5611" t="str">
        <f>IF(ISERROR(MATCH('Analysis backend'!$M$1,E5611:N5611,0)),"",'Analysis backend'!$L$1)</f>
        <v/>
      </c>
      <c r="U5611" t="str">
        <f>IF(T5611='Analysis backend'!$L$1,IF(ISERROR(MATCH('Analysis backend'!$M$1,E5611:I5611,0)),"Dire","Radiant"),"")</f>
        <v/>
      </c>
    </row>
    <row r="5612" spans="20:21" x14ac:dyDescent="0.3">
      <c r="T5612" t="str">
        <f>IF(ISERROR(MATCH('Analysis backend'!$M$1,E5612:N5612,0)),"",'Analysis backend'!$L$1)</f>
        <v/>
      </c>
      <c r="U5612" t="str">
        <f>IF(T5612='Analysis backend'!$L$1,IF(ISERROR(MATCH('Analysis backend'!$M$1,E5612:I5612,0)),"Dire","Radiant"),"")</f>
        <v/>
      </c>
    </row>
    <row r="5613" spans="20:21" x14ac:dyDescent="0.3">
      <c r="T5613" t="str">
        <f>IF(ISERROR(MATCH('Analysis backend'!$M$1,E5613:N5613,0)),"",'Analysis backend'!$L$1)</f>
        <v/>
      </c>
      <c r="U5613" t="str">
        <f>IF(T5613='Analysis backend'!$L$1,IF(ISERROR(MATCH('Analysis backend'!$M$1,E5613:I5613,0)),"Dire","Radiant"),"")</f>
        <v/>
      </c>
    </row>
    <row r="5614" spans="20:21" x14ac:dyDescent="0.3">
      <c r="T5614" t="str">
        <f>IF(ISERROR(MATCH('Analysis backend'!$M$1,E5614:N5614,0)),"",'Analysis backend'!$L$1)</f>
        <v/>
      </c>
      <c r="U5614" t="str">
        <f>IF(T5614='Analysis backend'!$L$1,IF(ISERROR(MATCH('Analysis backend'!$M$1,E5614:I5614,0)),"Dire","Radiant"),"")</f>
        <v/>
      </c>
    </row>
    <row r="5615" spans="20:21" x14ac:dyDescent="0.3">
      <c r="T5615" t="str">
        <f>IF(ISERROR(MATCH('Analysis backend'!$M$1,E5615:N5615,0)),"",'Analysis backend'!$L$1)</f>
        <v/>
      </c>
      <c r="U5615" t="str">
        <f>IF(T5615='Analysis backend'!$L$1,IF(ISERROR(MATCH('Analysis backend'!$M$1,E5615:I5615,0)),"Dire","Radiant"),"")</f>
        <v/>
      </c>
    </row>
    <row r="5616" spans="20:21" x14ac:dyDescent="0.3">
      <c r="T5616" t="str">
        <f>IF(ISERROR(MATCH('Analysis backend'!$M$1,E5616:N5616,0)),"",'Analysis backend'!$L$1)</f>
        <v/>
      </c>
      <c r="U5616" t="str">
        <f>IF(T5616='Analysis backend'!$L$1,IF(ISERROR(MATCH('Analysis backend'!$M$1,E5616:I5616,0)),"Dire","Radiant"),"")</f>
        <v/>
      </c>
    </row>
    <row r="5617" spans="20:21" x14ac:dyDescent="0.3">
      <c r="T5617" t="str">
        <f>IF(ISERROR(MATCH('Analysis backend'!$M$1,E5617:N5617,0)),"",'Analysis backend'!$L$1)</f>
        <v/>
      </c>
      <c r="U5617" t="str">
        <f>IF(T5617='Analysis backend'!$L$1,IF(ISERROR(MATCH('Analysis backend'!$M$1,E5617:I5617,0)),"Dire","Radiant"),"")</f>
        <v/>
      </c>
    </row>
    <row r="5618" spans="20:21" x14ac:dyDescent="0.3">
      <c r="T5618" t="str">
        <f>IF(ISERROR(MATCH('Analysis backend'!$M$1,E5618:N5618,0)),"",'Analysis backend'!$L$1)</f>
        <v/>
      </c>
      <c r="U5618" t="str">
        <f>IF(T5618='Analysis backend'!$L$1,IF(ISERROR(MATCH('Analysis backend'!$M$1,E5618:I5618,0)),"Dire","Radiant"),"")</f>
        <v/>
      </c>
    </row>
    <row r="5619" spans="20:21" x14ac:dyDescent="0.3">
      <c r="T5619" t="str">
        <f>IF(ISERROR(MATCH('Analysis backend'!$M$1,E5619:N5619,0)),"",'Analysis backend'!$L$1)</f>
        <v/>
      </c>
      <c r="U5619" t="str">
        <f>IF(T5619='Analysis backend'!$L$1,IF(ISERROR(MATCH('Analysis backend'!$M$1,E5619:I5619,0)),"Dire","Radiant"),"")</f>
        <v/>
      </c>
    </row>
    <row r="5620" spans="20:21" x14ac:dyDescent="0.3">
      <c r="T5620" t="str">
        <f>IF(ISERROR(MATCH('Analysis backend'!$M$1,E5620:N5620,0)),"",'Analysis backend'!$L$1)</f>
        <v/>
      </c>
      <c r="U5620" t="str">
        <f>IF(T5620='Analysis backend'!$L$1,IF(ISERROR(MATCH('Analysis backend'!$M$1,E5620:I5620,0)),"Dire","Radiant"),"")</f>
        <v/>
      </c>
    </row>
    <row r="5621" spans="20:21" x14ac:dyDescent="0.3">
      <c r="T5621" t="str">
        <f>IF(ISERROR(MATCH('Analysis backend'!$M$1,E5621:N5621,0)),"",'Analysis backend'!$L$1)</f>
        <v/>
      </c>
      <c r="U5621" t="str">
        <f>IF(T5621='Analysis backend'!$L$1,IF(ISERROR(MATCH('Analysis backend'!$M$1,E5621:I5621,0)),"Dire","Radiant"),"")</f>
        <v/>
      </c>
    </row>
    <row r="5622" spans="20:21" x14ac:dyDescent="0.3">
      <c r="T5622" t="str">
        <f>IF(ISERROR(MATCH('Analysis backend'!$M$1,E5622:N5622,0)),"",'Analysis backend'!$L$1)</f>
        <v/>
      </c>
      <c r="U5622" t="str">
        <f>IF(T5622='Analysis backend'!$L$1,IF(ISERROR(MATCH('Analysis backend'!$M$1,E5622:I5622,0)),"Dire","Radiant"),"")</f>
        <v/>
      </c>
    </row>
    <row r="5623" spans="20:21" x14ac:dyDescent="0.3">
      <c r="T5623" t="str">
        <f>IF(ISERROR(MATCH('Analysis backend'!$M$1,E5623:N5623,0)),"",'Analysis backend'!$L$1)</f>
        <v/>
      </c>
      <c r="U5623" t="str">
        <f>IF(T5623='Analysis backend'!$L$1,IF(ISERROR(MATCH('Analysis backend'!$M$1,E5623:I5623,0)),"Dire","Radiant"),"")</f>
        <v/>
      </c>
    </row>
    <row r="5624" spans="20:21" x14ac:dyDescent="0.3">
      <c r="T5624" t="str">
        <f>IF(ISERROR(MATCH('Analysis backend'!$M$1,E5624:N5624,0)),"",'Analysis backend'!$L$1)</f>
        <v/>
      </c>
      <c r="U5624" t="str">
        <f>IF(T5624='Analysis backend'!$L$1,IF(ISERROR(MATCH('Analysis backend'!$M$1,E5624:I5624,0)),"Dire","Radiant"),"")</f>
        <v/>
      </c>
    </row>
    <row r="5625" spans="20:21" x14ac:dyDescent="0.3">
      <c r="T5625" t="str">
        <f>IF(ISERROR(MATCH('Analysis backend'!$M$1,E5625:N5625,0)),"",'Analysis backend'!$L$1)</f>
        <v/>
      </c>
      <c r="U5625" t="str">
        <f>IF(T5625='Analysis backend'!$L$1,IF(ISERROR(MATCH('Analysis backend'!$M$1,E5625:I5625,0)),"Dire","Radiant"),"")</f>
        <v/>
      </c>
    </row>
    <row r="5626" spans="20:21" x14ac:dyDescent="0.3">
      <c r="T5626" t="str">
        <f>IF(ISERROR(MATCH('Analysis backend'!$M$1,E5626:N5626,0)),"",'Analysis backend'!$L$1)</f>
        <v/>
      </c>
      <c r="U5626" t="str">
        <f>IF(T5626='Analysis backend'!$L$1,IF(ISERROR(MATCH('Analysis backend'!$M$1,E5626:I5626,0)),"Dire","Radiant"),"")</f>
        <v/>
      </c>
    </row>
    <row r="5627" spans="20:21" x14ac:dyDescent="0.3">
      <c r="T5627" t="str">
        <f>IF(ISERROR(MATCH('Analysis backend'!$M$1,E5627:N5627,0)),"",'Analysis backend'!$L$1)</f>
        <v/>
      </c>
      <c r="U5627" t="str">
        <f>IF(T5627='Analysis backend'!$L$1,IF(ISERROR(MATCH('Analysis backend'!$M$1,E5627:I5627,0)),"Dire","Radiant"),"")</f>
        <v/>
      </c>
    </row>
    <row r="5628" spans="20:21" x14ac:dyDescent="0.3">
      <c r="T5628" t="str">
        <f>IF(ISERROR(MATCH('Analysis backend'!$M$1,E5628:N5628,0)),"",'Analysis backend'!$L$1)</f>
        <v/>
      </c>
      <c r="U5628" t="str">
        <f>IF(T5628='Analysis backend'!$L$1,IF(ISERROR(MATCH('Analysis backend'!$M$1,E5628:I5628,0)),"Dire","Radiant"),"")</f>
        <v/>
      </c>
    </row>
    <row r="5629" spans="20:21" x14ac:dyDescent="0.3">
      <c r="T5629" t="str">
        <f>IF(ISERROR(MATCH('Analysis backend'!$M$1,E5629:N5629,0)),"",'Analysis backend'!$L$1)</f>
        <v/>
      </c>
      <c r="U5629" t="str">
        <f>IF(T5629='Analysis backend'!$L$1,IF(ISERROR(MATCH('Analysis backend'!$M$1,E5629:I5629,0)),"Dire","Radiant"),"")</f>
        <v/>
      </c>
    </row>
    <row r="5630" spans="20:21" x14ac:dyDescent="0.3">
      <c r="T5630" t="str">
        <f>IF(ISERROR(MATCH('Analysis backend'!$M$1,E5630:N5630,0)),"",'Analysis backend'!$L$1)</f>
        <v/>
      </c>
      <c r="U5630" t="str">
        <f>IF(T5630='Analysis backend'!$L$1,IF(ISERROR(MATCH('Analysis backend'!$M$1,E5630:I5630,0)),"Dire","Radiant"),"")</f>
        <v/>
      </c>
    </row>
    <row r="5631" spans="20:21" x14ac:dyDescent="0.3">
      <c r="T5631" t="str">
        <f>IF(ISERROR(MATCH('Analysis backend'!$M$1,E5631:N5631,0)),"",'Analysis backend'!$L$1)</f>
        <v/>
      </c>
      <c r="U5631" t="str">
        <f>IF(T5631='Analysis backend'!$L$1,IF(ISERROR(MATCH('Analysis backend'!$M$1,E5631:I5631,0)),"Dire","Radiant"),"")</f>
        <v/>
      </c>
    </row>
    <row r="5632" spans="20:21" x14ac:dyDescent="0.3">
      <c r="T5632" t="str">
        <f>IF(ISERROR(MATCH('Analysis backend'!$M$1,E5632:N5632,0)),"",'Analysis backend'!$L$1)</f>
        <v/>
      </c>
      <c r="U5632" t="str">
        <f>IF(T5632='Analysis backend'!$L$1,IF(ISERROR(MATCH('Analysis backend'!$M$1,E5632:I5632,0)),"Dire","Radiant"),"")</f>
        <v/>
      </c>
    </row>
    <row r="5633" spans="20:21" x14ac:dyDescent="0.3">
      <c r="T5633" t="str">
        <f>IF(ISERROR(MATCH('Analysis backend'!$M$1,E5633:N5633,0)),"",'Analysis backend'!$L$1)</f>
        <v/>
      </c>
      <c r="U5633" t="str">
        <f>IF(T5633='Analysis backend'!$L$1,IF(ISERROR(MATCH('Analysis backend'!$M$1,E5633:I5633,0)),"Dire","Radiant"),"")</f>
        <v/>
      </c>
    </row>
    <row r="5634" spans="20:21" x14ac:dyDescent="0.3">
      <c r="T5634" t="str">
        <f>IF(ISERROR(MATCH('Analysis backend'!$M$1,E5634:N5634,0)),"",'Analysis backend'!$L$1)</f>
        <v/>
      </c>
      <c r="U5634" t="str">
        <f>IF(T5634='Analysis backend'!$L$1,IF(ISERROR(MATCH('Analysis backend'!$M$1,E5634:I5634,0)),"Dire","Radiant"),"")</f>
        <v/>
      </c>
    </row>
    <row r="5635" spans="20:21" x14ac:dyDescent="0.3">
      <c r="T5635" t="str">
        <f>IF(ISERROR(MATCH('Analysis backend'!$M$1,E5635:N5635,0)),"",'Analysis backend'!$L$1)</f>
        <v/>
      </c>
      <c r="U5635" t="str">
        <f>IF(T5635='Analysis backend'!$L$1,IF(ISERROR(MATCH('Analysis backend'!$M$1,E5635:I5635,0)),"Dire","Radiant"),"")</f>
        <v/>
      </c>
    </row>
    <row r="5636" spans="20:21" x14ac:dyDescent="0.3">
      <c r="T5636" t="str">
        <f>IF(ISERROR(MATCH('Analysis backend'!$M$1,E5636:N5636,0)),"",'Analysis backend'!$L$1)</f>
        <v/>
      </c>
      <c r="U5636" t="str">
        <f>IF(T5636='Analysis backend'!$L$1,IF(ISERROR(MATCH('Analysis backend'!$M$1,E5636:I5636,0)),"Dire","Radiant"),"")</f>
        <v/>
      </c>
    </row>
    <row r="5637" spans="20:21" x14ac:dyDescent="0.3">
      <c r="T5637" t="str">
        <f>IF(ISERROR(MATCH('Analysis backend'!$M$1,E5637:N5637,0)),"",'Analysis backend'!$L$1)</f>
        <v/>
      </c>
      <c r="U5637" t="str">
        <f>IF(T5637='Analysis backend'!$L$1,IF(ISERROR(MATCH('Analysis backend'!$M$1,E5637:I5637,0)),"Dire","Radiant"),"")</f>
        <v/>
      </c>
    </row>
    <row r="5638" spans="20:21" x14ac:dyDescent="0.3">
      <c r="T5638" t="str">
        <f>IF(ISERROR(MATCH('Analysis backend'!$M$1,E5638:N5638,0)),"",'Analysis backend'!$L$1)</f>
        <v/>
      </c>
      <c r="U5638" t="str">
        <f>IF(T5638='Analysis backend'!$L$1,IF(ISERROR(MATCH('Analysis backend'!$M$1,E5638:I5638,0)),"Dire","Radiant"),"")</f>
        <v/>
      </c>
    </row>
    <row r="5639" spans="20:21" x14ac:dyDescent="0.3">
      <c r="T5639" t="str">
        <f>IF(ISERROR(MATCH('Analysis backend'!$M$1,E5639:N5639,0)),"",'Analysis backend'!$L$1)</f>
        <v/>
      </c>
      <c r="U5639" t="str">
        <f>IF(T5639='Analysis backend'!$L$1,IF(ISERROR(MATCH('Analysis backend'!$M$1,E5639:I5639,0)),"Dire","Radiant"),"")</f>
        <v/>
      </c>
    </row>
    <row r="5640" spans="20:21" x14ac:dyDescent="0.3">
      <c r="T5640" t="str">
        <f>IF(ISERROR(MATCH('Analysis backend'!$M$1,E5640:N5640,0)),"",'Analysis backend'!$L$1)</f>
        <v/>
      </c>
      <c r="U5640" t="str">
        <f>IF(T5640='Analysis backend'!$L$1,IF(ISERROR(MATCH('Analysis backend'!$M$1,E5640:I5640,0)),"Dire","Radiant"),"")</f>
        <v/>
      </c>
    </row>
    <row r="5641" spans="20:21" x14ac:dyDescent="0.3">
      <c r="T5641" t="str">
        <f>IF(ISERROR(MATCH('Analysis backend'!$M$1,E5641:N5641,0)),"",'Analysis backend'!$L$1)</f>
        <v/>
      </c>
      <c r="U5641" t="str">
        <f>IF(T5641='Analysis backend'!$L$1,IF(ISERROR(MATCH('Analysis backend'!$M$1,E5641:I5641,0)),"Dire","Radiant"),"")</f>
        <v/>
      </c>
    </row>
    <row r="5642" spans="20:21" x14ac:dyDescent="0.3">
      <c r="T5642" t="str">
        <f>IF(ISERROR(MATCH('Analysis backend'!$M$1,E5642:N5642,0)),"",'Analysis backend'!$L$1)</f>
        <v/>
      </c>
      <c r="U5642" t="str">
        <f>IF(T5642='Analysis backend'!$L$1,IF(ISERROR(MATCH('Analysis backend'!$M$1,E5642:I5642,0)),"Dire","Radiant"),"")</f>
        <v/>
      </c>
    </row>
    <row r="5643" spans="20:21" x14ac:dyDescent="0.3">
      <c r="T5643" t="str">
        <f>IF(ISERROR(MATCH('Analysis backend'!$M$1,E5643:N5643,0)),"",'Analysis backend'!$L$1)</f>
        <v/>
      </c>
      <c r="U5643" t="str">
        <f>IF(T5643='Analysis backend'!$L$1,IF(ISERROR(MATCH('Analysis backend'!$M$1,E5643:I5643,0)),"Dire","Radiant"),"")</f>
        <v/>
      </c>
    </row>
    <row r="5644" spans="20:21" x14ac:dyDescent="0.3">
      <c r="T5644" t="str">
        <f>IF(ISERROR(MATCH('Analysis backend'!$M$1,E5644:N5644,0)),"",'Analysis backend'!$L$1)</f>
        <v/>
      </c>
      <c r="U5644" t="str">
        <f>IF(T5644='Analysis backend'!$L$1,IF(ISERROR(MATCH('Analysis backend'!$M$1,E5644:I5644,0)),"Dire","Radiant"),"")</f>
        <v/>
      </c>
    </row>
    <row r="5645" spans="20:21" x14ac:dyDescent="0.3">
      <c r="T5645" t="str">
        <f>IF(ISERROR(MATCH('Analysis backend'!$M$1,E5645:N5645,0)),"",'Analysis backend'!$L$1)</f>
        <v/>
      </c>
      <c r="U5645" t="str">
        <f>IF(T5645='Analysis backend'!$L$1,IF(ISERROR(MATCH('Analysis backend'!$M$1,E5645:I5645,0)),"Dire","Radiant"),"")</f>
        <v/>
      </c>
    </row>
    <row r="5646" spans="20:21" x14ac:dyDescent="0.3">
      <c r="T5646" t="str">
        <f>IF(ISERROR(MATCH('Analysis backend'!$M$1,E5646:N5646,0)),"",'Analysis backend'!$L$1)</f>
        <v/>
      </c>
      <c r="U5646" t="str">
        <f>IF(T5646='Analysis backend'!$L$1,IF(ISERROR(MATCH('Analysis backend'!$M$1,E5646:I5646,0)),"Dire","Radiant"),"")</f>
        <v/>
      </c>
    </row>
    <row r="5647" spans="20:21" x14ac:dyDescent="0.3">
      <c r="T5647" t="str">
        <f>IF(ISERROR(MATCH('Analysis backend'!$M$1,E5647:N5647,0)),"",'Analysis backend'!$L$1)</f>
        <v/>
      </c>
      <c r="U5647" t="str">
        <f>IF(T5647='Analysis backend'!$L$1,IF(ISERROR(MATCH('Analysis backend'!$M$1,E5647:I5647,0)),"Dire","Radiant"),"")</f>
        <v/>
      </c>
    </row>
    <row r="5648" spans="20:21" x14ac:dyDescent="0.3">
      <c r="T5648" t="str">
        <f>IF(ISERROR(MATCH('Analysis backend'!$M$1,E5648:N5648,0)),"",'Analysis backend'!$L$1)</f>
        <v/>
      </c>
      <c r="U5648" t="str">
        <f>IF(T5648='Analysis backend'!$L$1,IF(ISERROR(MATCH('Analysis backend'!$M$1,E5648:I5648,0)),"Dire","Radiant"),"")</f>
        <v/>
      </c>
    </row>
    <row r="5649" spans="20:21" x14ac:dyDescent="0.3">
      <c r="T5649" t="str">
        <f>IF(ISERROR(MATCH('Analysis backend'!$M$1,E5649:N5649,0)),"",'Analysis backend'!$L$1)</f>
        <v/>
      </c>
      <c r="U5649" t="str">
        <f>IF(T5649='Analysis backend'!$L$1,IF(ISERROR(MATCH('Analysis backend'!$M$1,E5649:I5649,0)),"Dire","Radiant"),"")</f>
        <v/>
      </c>
    </row>
    <row r="5650" spans="20:21" x14ac:dyDescent="0.3">
      <c r="T5650" t="str">
        <f>IF(ISERROR(MATCH('Analysis backend'!$M$1,E5650:N5650,0)),"",'Analysis backend'!$L$1)</f>
        <v/>
      </c>
      <c r="U5650" t="str">
        <f>IF(T5650='Analysis backend'!$L$1,IF(ISERROR(MATCH('Analysis backend'!$M$1,E5650:I5650,0)),"Dire","Radiant"),"")</f>
        <v/>
      </c>
    </row>
    <row r="5651" spans="20:21" x14ac:dyDescent="0.3">
      <c r="T5651" t="str">
        <f>IF(ISERROR(MATCH('Analysis backend'!$M$1,E5651:N5651,0)),"",'Analysis backend'!$L$1)</f>
        <v/>
      </c>
      <c r="U5651" t="str">
        <f>IF(T5651='Analysis backend'!$L$1,IF(ISERROR(MATCH('Analysis backend'!$M$1,E5651:I5651,0)),"Dire","Radiant"),"")</f>
        <v/>
      </c>
    </row>
    <row r="5652" spans="20:21" x14ac:dyDescent="0.3">
      <c r="T5652" t="str">
        <f>IF(ISERROR(MATCH('Analysis backend'!$M$1,E5652:N5652,0)),"",'Analysis backend'!$L$1)</f>
        <v/>
      </c>
      <c r="U5652" t="str">
        <f>IF(T5652='Analysis backend'!$L$1,IF(ISERROR(MATCH('Analysis backend'!$M$1,E5652:I5652,0)),"Dire","Radiant"),"")</f>
        <v/>
      </c>
    </row>
    <row r="5653" spans="20:21" x14ac:dyDescent="0.3">
      <c r="T5653" t="str">
        <f>IF(ISERROR(MATCH('Analysis backend'!$M$1,E5653:N5653,0)),"",'Analysis backend'!$L$1)</f>
        <v/>
      </c>
      <c r="U5653" t="str">
        <f>IF(T5653='Analysis backend'!$L$1,IF(ISERROR(MATCH('Analysis backend'!$M$1,E5653:I5653,0)),"Dire","Radiant"),"")</f>
        <v/>
      </c>
    </row>
    <row r="5654" spans="20:21" x14ac:dyDescent="0.3">
      <c r="T5654" t="str">
        <f>IF(ISERROR(MATCH('Analysis backend'!$M$1,E5654:N5654,0)),"",'Analysis backend'!$L$1)</f>
        <v/>
      </c>
      <c r="U5654" t="str">
        <f>IF(T5654='Analysis backend'!$L$1,IF(ISERROR(MATCH('Analysis backend'!$M$1,E5654:I5654,0)),"Dire","Radiant"),"")</f>
        <v/>
      </c>
    </row>
    <row r="5655" spans="20:21" x14ac:dyDescent="0.3">
      <c r="T5655" t="str">
        <f>IF(ISERROR(MATCH('Analysis backend'!$M$1,E5655:N5655,0)),"",'Analysis backend'!$L$1)</f>
        <v/>
      </c>
      <c r="U5655" t="str">
        <f>IF(T5655='Analysis backend'!$L$1,IF(ISERROR(MATCH('Analysis backend'!$M$1,E5655:I5655,0)),"Dire","Radiant"),"")</f>
        <v/>
      </c>
    </row>
    <row r="5656" spans="20:21" x14ac:dyDescent="0.3">
      <c r="T5656" t="str">
        <f>IF(ISERROR(MATCH('Analysis backend'!$M$1,E5656:N5656,0)),"",'Analysis backend'!$L$1)</f>
        <v/>
      </c>
      <c r="U5656" t="str">
        <f>IF(T5656='Analysis backend'!$L$1,IF(ISERROR(MATCH('Analysis backend'!$M$1,E5656:I5656,0)),"Dire","Radiant"),"")</f>
        <v/>
      </c>
    </row>
    <row r="5657" spans="20:21" x14ac:dyDescent="0.3">
      <c r="T5657" t="str">
        <f>IF(ISERROR(MATCH('Analysis backend'!$M$1,E5657:N5657,0)),"",'Analysis backend'!$L$1)</f>
        <v/>
      </c>
      <c r="U5657" t="str">
        <f>IF(T5657='Analysis backend'!$L$1,IF(ISERROR(MATCH('Analysis backend'!$M$1,E5657:I5657,0)),"Dire","Radiant"),"")</f>
        <v/>
      </c>
    </row>
    <row r="5658" spans="20:21" x14ac:dyDescent="0.3">
      <c r="T5658" t="str">
        <f>IF(ISERROR(MATCH('Analysis backend'!$M$1,E5658:N5658,0)),"",'Analysis backend'!$L$1)</f>
        <v/>
      </c>
      <c r="U5658" t="str">
        <f>IF(T5658='Analysis backend'!$L$1,IF(ISERROR(MATCH('Analysis backend'!$M$1,E5658:I5658,0)),"Dire","Radiant"),"")</f>
        <v/>
      </c>
    </row>
    <row r="5659" spans="20:21" x14ac:dyDescent="0.3">
      <c r="T5659" t="str">
        <f>IF(ISERROR(MATCH('Analysis backend'!$M$1,E5659:N5659,0)),"",'Analysis backend'!$L$1)</f>
        <v/>
      </c>
      <c r="U5659" t="str">
        <f>IF(T5659='Analysis backend'!$L$1,IF(ISERROR(MATCH('Analysis backend'!$M$1,E5659:I5659,0)),"Dire","Radiant"),"")</f>
        <v/>
      </c>
    </row>
    <row r="5660" spans="20:21" x14ac:dyDescent="0.3">
      <c r="T5660" t="str">
        <f>IF(ISERROR(MATCH('Analysis backend'!$M$1,E5660:N5660,0)),"",'Analysis backend'!$L$1)</f>
        <v/>
      </c>
      <c r="U5660" t="str">
        <f>IF(T5660='Analysis backend'!$L$1,IF(ISERROR(MATCH('Analysis backend'!$M$1,E5660:I5660,0)),"Dire","Radiant"),"")</f>
        <v/>
      </c>
    </row>
    <row r="5661" spans="20:21" x14ac:dyDescent="0.3">
      <c r="T5661" t="str">
        <f>IF(ISERROR(MATCH('Analysis backend'!$M$1,E5661:N5661,0)),"",'Analysis backend'!$L$1)</f>
        <v/>
      </c>
      <c r="U5661" t="str">
        <f>IF(T5661='Analysis backend'!$L$1,IF(ISERROR(MATCH('Analysis backend'!$M$1,E5661:I5661,0)),"Dire","Radiant"),"")</f>
        <v/>
      </c>
    </row>
    <row r="5662" spans="20:21" x14ac:dyDescent="0.3">
      <c r="T5662" t="str">
        <f>IF(ISERROR(MATCH('Analysis backend'!$M$1,E5662:N5662,0)),"",'Analysis backend'!$L$1)</f>
        <v/>
      </c>
      <c r="U5662" t="str">
        <f>IF(T5662='Analysis backend'!$L$1,IF(ISERROR(MATCH('Analysis backend'!$M$1,E5662:I5662,0)),"Dire","Radiant"),"")</f>
        <v/>
      </c>
    </row>
    <row r="5663" spans="20:21" x14ac:dyDescent="0.3">
      <c r="T5663" t="str">
        <f>IF(ISERROR(MATCH('Analysis backend'!$M$1,E5663:N5663,0)),"",'Analysis backend'!$L$1)</f>
        <v/>
      </c>
      <c r="U5663" t="str">
        <f>IF(T5663='Analysis backend'!$L$1,IF(ISERROR(MATCH('Analysis backend'!$M$1,E5663:I5663,0)),"Dire","Radiant"),"")</f>
        <v/>
      </c>
    </row>
    <row r="5664" spans="20:21" x14ac:dyDescent="0.3">
      <c r="T5664" t="str">
        <f>IF(ISERROR(MATCH('Analysis backend'!$M$1,E5664:N5664,0)),"",'Analysis backend'!$L$1)</f>
        <v/>
      </c>
      <c r="U5664" t="str">
        <f>IF(T5664='Analysis backend'!$L$1,IF(ISERROR(MATCH('Analysis backend'!$M$1,E5664:I5664,0)),"Dire","Radiant"),"")</f>
        <v/>
      </c>
    </row>
    <row r="5665" spans="20:21" x14ac:dyDescent="0.3">
      <c r="T5665" t="str">
        <f>IF(ISERROR(MATCH('Analysis backend'!$M$1,E5665:N5665,0)),"",'Analysis backend'!$L$1)</f>
        <v/>
      </c>
      <c r="U5665" t="str">
        <f>IF(T5665='Analysis backend'!$L$1,IF(ISERROR(MATCH('Analysis backend'!$M$1,E5665:I5665,0)),"Dire","Radiant"),"")</f>
        <v/>
      </c>
    </row>
    <row r="5666" spans="20:21" x14ac:dyDescent="0.3">
      <c r="T5666" t="str">
        <f>IF(ISERROR(MATCH('Analysis backend'!$M$1,E5666:N5666,0)),"",'Analysis backend'!$L$1)</f>
        <v/>
      </c>
      <c r="U5666" t="str">
        <f>IF(T5666='Analysis backend'!$L$1,IF(ISERROR(MATCH('Analysis backend'!$M$1,E5666:I5666,0)),"Dire","Radiant"),"")</f>
        <v/>
      </c>
    </row>
    <row r="5667" spans="20:21" x14ac:dyDescent="0.3">
      <c r="T5667" t="str">
        <f>IF(ISERROR(MATCH('Analysis backend'!$M$1,E5667:N5667,0)),"",'Analysis backend'!$L$1)</f>
        <v/>
      </c>
      <c r="U5667" t="str">
        <f>IF(T5667='Analysis backend'!$L$1,IF(ISERROR(MATCH('Analysis backend'!$M$1,E5667:I5667,0)),"Dire","Radiant"),"")</f>
        <v/>
      </c>
    </row>
    <row r="5668" spans="20:21" x14ac:dyDescent="0.3">
      <c r="T5668" t="str">
        <f>IF(ISERROR(MATCH('Analysis backend'!$M$1,E5668:N5668,0)),"",'Analysis backend'!$L$1)</f>
        <v/>
      </c>
      <c r="U5668" t="str">
        <f>IF(T5668='Analysis backend'!$L$1,IF(ISERROR(MATCH('Analysis backend'!$M$1,E5668:I5668,0)),"Dire","Radiant"),"")</f>
        <v/>
      </c>
    </row>
    <row r="5669" spans="20:21" x14ac:dyDescent="0.3">
      <c r="T5669" t="str">
        <f>IF(ISERROR(MATCH('Analysis backend'!$M$1,E5669:N5669,0)),"",'Analysis backend'!$L$1)</f>
        <v/>
      </c>
      <c r="U5669" t="str">
        <f>IF(T5669='Analysis backend'!$L$1,IF(ISERROR(MATCH('Analysis backend'!$M$1,E5669:I5669,0)),"Dire","Radiant"),"")</f>
        <v/>
      </c>
    </row>
    <row r="5670" spans="20:21" x14ac:dyDescent="0.3">
      <c r="T5670" t="str">
        <f>IF(ISERROR(MATCH('Analysis backend'!$M$1,E5670:N5670,0)),"",'Analysis backend'!$L$1)</f>
        <v/>
      </c>
      <c r="U5670" t="str">
        <f>IF(T5670='Analysis backend'!$L$1,IF(ISERROR(MATCH('Analysis backend'!$M$1,E5670:I5670,0)),"Dire","Radiant"),"")</f>
        <v/>
      </c>
    </row>
    <row r="5671" spans="20:21" x14ac:dyDescent="0.3">
      <c r="T5671" t="str">
        <f>IF(ISERROR(MATCH('Analysis backend'!$M$1,E5671:N5671,0)),"",'Analysis backend'!$L$1)</f>
        <v/>
      </c>
      <c r="U5671" t="str">
        <f>IF(T5671='Analysis backend'!$L$1,IF(ISERROR(MATCH('Analysis backend'!$M$1,E5671:I5671,0)),"Dire","Radiant"),"")</f>
        <v/>
      </c>
    </row>
    <row r="5672" spans="20:21" x14ac:dyDescent="0.3">
      <c r="T5672" t="str">
        <f>IF(ISERROR(MATCH('Analysis backend'!$M$1,E5672:N5672,0)),"",'Analysis backend'!$L$1)</f>
        <v/>
      </c>
      <c r="U5672" t="str">
        <f>IF(T5672='Analysis backend'!$L$1,IF(ISERROR(MATCH('Analysis backend'!$M$1,E5672:I5672,0)),"Dire","Radiant"),"")</f>
        <v/>
      </c>
    </row>
    <row r="5673" spans="20:21" x14ac:dyDescent="0.3">
      <c r="T5673" t="str">
        <f>IF(ISERROR(MATCH('Analysis backend'!$M$1,E5673:N5673,0)),"",'Analysis backend'!$L$1)</f>
        <v/>
      </c>
      <c r="U5673" t="str">
        <f>IF(T5673='Analysis backend'!$L$1,IF(ISERROR(MATCH('Analysis backend'!$M$1,E5673:I5673,0)),"Dire","Radiant"),"")</f>
        <v/>
      </c>
    </row>
    <row r="5674" spans="20:21" x14ac:dyDescent="0.3">
      <c r="T5674" t="str">
        <f>IF(ISERROR(MATCH('Analysis backend'!$M$1,E5674:N5674,0)),"",'Analysis backend'!$L$1)</f>
        <v/>
      </c>
      <c r="U5674" t="str">
        <f>IF(T5674='Analysis backend'!$L$1,IF(ISERROR(MATCH('Analysis backend'!$M$1,E5674:I5674,0)),"Dire","Radiant"),"")</f>
        <v/>
      </c>
    </row>
    <row r="5675" spans="20:21" x14ac:dyDescent="0.3">
      <c r="T5675" t="str">
        <f>IF(ISERROR(MATCH('Analysis backend'!$M$1,E5675:N5675,0)),"",'Analysis backend'!$L$1)</f>
        <v/>
      </c>
      <c r="U5675" t="str">
        <f>IF(T5675='Analysis backend'!$L$1,IF(ISERROR(MATCH('Analysis backend'!$M$1,E5675:I5675,0)),"Dire","Radiant"),"")</f>
        <v/>
      </c>
    </row>
    <row r="5676" spans="20:21" x14ac:dyDescent="0.3">
      <c r="T5676" t="str">
        <f>IF(ISERROR(MATCH('Analysis backend'!$M$1,E5676:N5676,0)),"",'Analysis backend'!$L$1)</f>
        <v/>
      </c>
      <c r="U5676" t="str">
        <f>IF(T5676='Analysis backend'!$L$1,IF(ISERROR(MATCH('Analysis backend'!$M$1,E5676:I5676,0)),"Dire","Radiant"),"")</f>
        <v/>
      </c>
    </row>
    <row r="5677" spans="20:21" x14ac:dyDescent="0.3">
      <c r="T5677" t="str">
        <f>IF(ISERROR(MATCH('Analysis backend'!$M$1,E5677:N5677,0)),"",'Analysis backend'!$L$1)</f>
        <v/>
      </c>
      <c r="U5677" t="str">
        <f>IF(T5677='Analysis backend'!$L$1,IF(ISERROR(MATCH('Analysis backend'!$M$1,E5677:I5677,0)),"Dire","Radiant"),"")</f>
        <v/>
      </c>
    </row>
    <row r="5678" spans="20:21" x14ac:dyDescent="0.3">
      <c r="T5678" t="str">
        <f>IF(ISERROR(MATCH('Analysis backend'!$M$1,E5678:N5678,0)),"",'Analysis backend'!$L$1)</f>
        <v/>
      </c>
      <c r="U5678" t="str">
        <f>IF(T5678='Analysis backend'!$L$1,IF(ISERROR(MATCH('Analysis backend'!$M$1,E5678:I5678,0)),"Dire","Radiant"),"")</f>
        <v/>
      </c>
    </row>
    <row r="5679" spans="20:21" x14ac:dyDescent="0.3">
      <c r="T5679" t="str">
        <f>IF(ISERROR(MATCH('Analysis backend'!$M$1,E5679:N5679,0)),"",'Analysis backend'!$L$1)</f>
        <v/>
      </c>
      <c r="U5679" t="str">
        <f>IF(T5679='Analysis backend'!$L$1,IF(ISERROR(MATCH('Analysis backend'!$M$1,E5679:I5679,0)),"Dire","Radiant"),"")</f>
        <v/>
      </c>
    </row>
    <row r="5680" spans="20:21" x14ac:dyDescent="0.3">
      <c r="T5680" t="str">
        <f>IF(ISERROR(MATCH('Analysis backend'!$M$1,E5680:N5680,0)),"",'Analysis backend'!$L$1)</f>
        <v/>
      </c>
      <c r="U5680" t="str">
        <f>IF(T5680='Analysis backend'!$L$1,IF(ISERROR(MATCH('Analysis backend'!$M$1,E5680:I5680,0)),"Dire","Radiant"),"")</f>
        <v/>
      </c>
    </row>
    <row r="5681" spans="20:21" x14ac:dyDescent="0.3">
      <c r="T5681" t="str">
        <f>IF(ISERROR(MATCH('Analysis backend'!$M$1,E5681:N5681,0)),"",'Analysis backend'!$L$1)</f>
        <v/>
      </c>
      <c r="U5681" t="str">
        <f>IF(T5681='Analysis backend'!$L$1,IF(ISERROR(MATCH('Analysis backend'!$M$1,E5681:I5681,0)),"Dire","Radiant"),"")</f>
        <v/>
      </c>
    </row>
    <row r="5682" spans="20:21" x14ac:dyDescent="0.3">
      <c r="T5682" t="str">
        <f>IF(ISERROR(MATCH('Analysis backend'!$M$1,E5682:N5682,0)),"",'Analysis backend'!$L$1)</f>
        <v/>
      </c>
      <c r="U5682" t="str">
        <f>IF(T5682='Analysis backend'!$L$1,IF(ISERROR(MATCH('Analysis backend'!$M$1,E5682:I5682,0)),"Dire","Radiant"),"")</f>
        <v/>
      </c>
    </row>
    <row r="5683" spans="20:21" x14ac:dyDescent="0.3">
      <c r="T5683" t="str">
        <f>IF(ISERROR(MATCH('Analysis backend'!$M$1,E5683:N5683,0)),"",'Analysis backend'!$L$1)</f>
        <v/>
      </c>
      <c r="U5683" t="str">
        <f>IF(T5683='Analysis backend'!$L$1,IF(ISERROR(MATCH('Analysis backend'!$M$1,E5683:I5683,0)),"Dire","Radiant"),"")</f>
        <v/>
      </c>
    </row>
    <row r="5684" spans="20:21" x14ac:dyDescent="0.3">
      <c r="T5684" t="str">
        <f>IF(ISERROR(MATCH('Analysis backend'!$M$1,E5684:N5684,0)),"",'Analysis backend'!$L$1)</f>
        <v/>
      </c>
      <c r="U5684" t="str">
        <f>IF(T5684='Analysis backend'!$L$1,IF(ISERROR(MATCH('Analysis backend'!$M$1,E5684:I5684,0)),"Dire","Radiant"),"")</f>
        <v/>
      </c>
    </row>
    <row r="5685" spans="20:21" x14ac:dyDescent="0.3">
      <c r="T5685" t="str">
        <f>IF(ISERROR(MATCH('Analysis backend'!$M$1,E5685:N5685,0)),"",'Analysis backend'!$L$1)</f>
        <v/>
      </c>
      <c r="U5685" t="str">
        <f>IF(T5685='Analysis backend'!$L$1,IF(ISERROR(MATCH('Analysis backend'!$M$1,E5685:I5685,0)),"Dire","Radiant"),"")</f>
        <v/>
      </c>
    </row>
    <row r="5686" spans="20:21" x14ac:dyDescent="0.3">
      <c r="T5686" t="str">
        <f>IF(ISERROR(MATCH('Analysis backend'!$M$1,E5686:N5686,0)),"",'Analysis backend'!$L$1)</f>
        <v/>
      </c>
      <c r="U5686" t="str">
        <f>IF(T5686='Analysis backend'!$L$1,IF(ISERROR(MATCH('Analysis backend'!$M$1,E5686:I5686,0)),"Dire","Radiant"),"")</f>
        <v/>
      </c>
    </row>
    <row r="5687" spans="20:21" x14ac:dyDescent="0.3">
      <c r="T5687" t="str">
        <f>IF(ISERROR(MATCH('Analysis backend'!$M$1,E5687:N5687,0)),"",'Analysis backend'!$L$1)</f>
        <v/>
      </c>
      <c r="U5687" t="str">
        <f>IF(T5687='Analysis backend'!$L$1,IF(ISERROR(MATCH('Analysis backend'!$M$1,E5687:I5687,0)),"Dire","Radiant"),"")</f>
        <v/>
      </c>
    </row>
    <row r="5688" spans="20:21" x14ac:dyDescent="0.3">
      <c r="T5688" t="str">
        <f>IF(ISERROR(MATCH('Analysis backend'!$M$1,E5688:N5688,0)),"",'Analysis backend'!$L$1)</f>
        <v/>
      </c>
      <c r="U5688" t="str">
        <f>IF(T5688='Analysis backend'!$L$1,IF(ISERROR(MATCH('Analysis backend'!$M$1,E5688:I5688,0)),"Dire","Radiant"),"")</f>
        <v/>
      </c>
    </row>
    <row r="5689" spans="20:21" x14ac:dyDescent="0.3">
      <c r="T5689" t="str">
        <f>IF(ISERROR(MATCH('Analysis backend'!$M$1,E5689:N5689,0)),"",'Analysis backend'!$L$1)</f>
        <v/>
      </c>
      <c r="U5689" t="str">
        <f>IF(T5689='Analysis backend'!$L$1,IF(ISERROR(MATCH('Analysis backend'!$M$1,E5689:I5689,0)),"Dire","Radiant"),"")</f>
        <v/>
      </c>
    </row>
    <row r="5690" spans="20:21" x14ac:dyDescent="0.3">
      <c r="T5690" t="str">
        <f>IF(ISERROR(MATCH('Analysis backend'!$M$1,E5690:N5690,0)),"",'Analysis backend'!$L$1)</f>
        <v/>
      </c>
      <c r="U5690" t="str">
        <f>IF(T5690='Analysis backend'!$L$1,IF(ISERROR(MATCH('Analysis backend'!$M$1,E5690:I5690,0)),"Dire","Radiant"),"")</f>
        <v/>
      </c>
    </row>
    <row r="5691" spans="20:21" x14ac:dyDescent="0.3">
      <c r="T5691" t="str">
        <f>IF(ISERROR(MATCH('Analysis backend'!$M$1,E5691:N5691,0)),"",'Analysis backend'!$L$1)</f>
        <v/>
      </c>
      <c r="U5691" t="str">
        <f>IF(T5691='Analysis backend'!$L$1,IF(ISERROR(MATCH('Analysis backend'!$M$1,E5691:I5691,0)),"Dire","Radiant"),"")</f>
        <v/>
      </c>
    </row>
    <row r="5692" spans="20:21" x14ac:dyDescent="0.3">
      <c r="T5692" t="str">
        <f>IF(ISERROR(MATCH('Analysis backend'!$M$1,E5692:N5692,0)),"",'Analysis backend'!$L$1)</f>
        <v/>
      </c>
      <c r="U5692" t="str">
        <f>IF(T5692='Analysis backend'!$L$1,IF(ISERROR(MATCH('Analysis backend'!$M$1,E5692:I5692,0)),"Dire","Radiant"),"")</f>
        <v/>
      </c>
    </row>
    <row r="5693" spans="20:21" x14ac:dyDescent="0.3">
      <c r="T5693" t="str">
        <f>IF(ISERROR(MATCH('Analysis backend'!$M$1,E5693:N5693,0)),"",'Analysis backend'!$L$1)</f>
        <v/>
      </c>
      <c r="U5693" t="str">
        <f>IF(T5693='Analysis backend'!$L$1,IF(ISERROR(MATCH('Analysis backend'!$M$1,E5693:I5693,0)),"Dire","Radiant"),"")</f>
        <v/>
      </c>
    </row>
    <row r="5694" spans="20:21" x14ac:dyDescent="0.3">
      <c r="T5694" t="str">
        <f>IF(ISERROR(MATCH('Analysis backend'!$M$1,E5694:N5694,0)),"",'Analysis backend'!$L$1)</f>
        <v/>
      </c>
      <c r="U5694" t="str">
        <f>IF(T5694='Analysis backend'!$L$1,IF(ISERROR(MATCH('Analysis backend'!$M$1,E5694:I5694,0)),"Dire","Radiant"),"")</f>
        <v/>
      </c>
    </row>
    <row r="5695" spans="20:21" x14ac:dyDescent="0.3">
      <c r="T5695" t="str">
        <f>IF(ISERROR(MATCH('Analysis backend'!$M$1,E5695:N5695,0)),"",'Analysis backend'!$L$1)</f>
        <v/>
      </c>
      <c r="U5695" t="str">
        <f>IF(T5695='Analysis backend'!$L$1,IF(ISERROR(MATCH('Analysis backend'!$M$1,E5695:I5695,0)),"Dire","Radiant"),"")</f>
        <v/>
      </c>
    </row>
    <row r="5696" spans="20:21" x14ac:dyDescent="0.3">
      <c r="T5696" t="str">
        <f>IF(ISERROR(MATCH('Analysis backend'!$M$1,E5696:N5696,0)),"",'Analysis backend'!$L$1)</f>
        <v/>
      </c>
      <c r="U5696" t="str">
        <f>IF(T5696='Analysis backend'!$L$1,IF(ISERROR(MATCH('Analysis backend'!$M$1,E5696:I5696,0)),"Dire","Radiant"),"")</f>
        <v/>
      </c>
    </row>
    <row r="5697" spans="20:21" x14ac:dyDescent="0.3">
      <c r="T5697" t="str">
        <f>IF(ISERROR(MATCH('Analysis backend'!$M$1,E5697:N5697,0)),"",'Analysis backend'!$L$1)</f>
        <v/>
      </c>
      <c r="U5697" t="str">
        <f>IF(T5697='Analysis backend'!$L$1,IF(ISERROR(MATCH('Analysis backend'!$M$1,E5697:I5697,0)),"Dire","Radiant"),"")</f>
        <v/>
      </c>
    </row>
    <row r="5698" spans="20:21" x14ac:dyDescent="0.3">
      <c r="T5698" t="str">
        <f>IF(ISERROR(MATCH('Analysis backend'!$M$1,E5698:N5698,0)),"",'Analysis backend'!$L$1)</f>
        <v/>
      </c>
      <c r="U5698" t="str">
        <f>IF(T5698='Analysis backend'!$L$1,IF(ISERROR(MATCH('Analysis backend'!$M$1,E5698:I5698,0)),"Dire","Radiant"),"")</f>
        <v/>
      </c>
    </row>
    <row r="5699" spans="20:21" x14ac:dyDescent="0.3">
      <c r="T5699" t="str">
        <f>IF(ISERROR(MATCH('Analysis backend'!$M$1,E5699:N5699,0)),"",'Analysis backend'!$L$1)</f>
        <v/>
      </c>
      <c r="U5699" t="str">
        <f>IF(T5699='Analysis backend'!$L$1,IF(ISERROR(MATCH('Analysis backend'!$M$1,E5699:I5699,0)),"Dire","Radiant"),"")</f>
        <v/>
      </c>
    </row>
    <row r="5700" spans="20:21" x14ac:dyDescent="0.3">
      <c r="T5700" t="str">
        <f>IF(ISERROR(MATCH('Analysis backend'!$M$1,E5700:N5700,0)),"",'Analysis backend'!$L$1)</f>
        <v/>
      </c>
      <c r="U5700" t="str">
        <f>IF(T5700='Analysis backend'!$L$1,IF(ISERROR(MATCH('Analysis backend'!$M$1,E5700:I5700,0)),"Dire","Radiant"),"")</f>
        <v/>
      </c>
    </row>
    <row r="5701" spans="20:21" x14ac:dyDescent="0.3">
      <c r="T5701" t="str">
        <f>IF(ISERROR(MATCH('Analysis backend'!$M$1,E5701:N5701,0)),"",'Analysis backend'!$L$1)</f>
        <v/>
      </c>
      <c r="U5701" t="str">
        <f>IF(T5701='Analysis backend'!$L$1,IF(ISERROR(MATCH('Analysis backend'!$M$1,E5701:I5701,0)),"Dire","Radiant"),"")</f>
        <v/>
      </c>
    </row>
    <row r="5702" spans="20:21" x14ac:dyDescent="0.3">
      <c r="T5702" t="str">
        <f>IF(ISERROR(MATCH('Analysis backend'!$M$1,E5702:N5702,0)),"",'Analysis backend'!$L$1)</f>
        <v/>
      </c>
      <c r="U5702" t="str">
        <f>IF(T5702='Analysis backend'!$L$1,IF(ISERROR(MATCH('Analysis backend'!$M$1,E5702:I5702,0)),"Dire","Radiant"),"")</f>
        <v/>
      </c>
    </row>
    <row r="5703" spans="20:21" x14ac:dyDescent="0.3">
      <c r="T5703" t="str">
        <f>IF(ISERROR(MATCH('Analysis backend'!$M$1,E5703:N5703,0)),"",'Analysis backend'!$L$1)</f>
        <v/>
      </c>
      <c r="U5703" t="str">
        <f>IF(T5703='Analysis backend'!$L$1,IF(ISERROR(MATCH('Analysis backend'!$M$1,E5703:I5703,0)),"Dire","Radiant"),"")</f>
        <v/>
      </c>
    </row>
    <row r="5704" spans="20:21" x14ac:dyDescent="0.3">
      <c r="T5704" t="str">
        <f>IF(ISERROR(MATCH('Analysis backend'!$M$1,E5704:N5704,0)),"",'Analysis backend'!$L$1)</f>
        <v/>
      </c>
      <c r="U5704" t="str">
        <f>IF(T5704='Analysis backend'!$L$1,IF(ISERROR(MATCH('Analysis backend'!$M$1,E5704:I5704,0)),"Dire","Radiant"),"")</f>
        <v/>
      </c>
    </row>
    <row r="5705" spans="20:21" x14ac:dyDescent="0.3">
      <c r="T5705" t="str">
        <f>IF(ISERROR(MATCH('Analysis backend'!$M$1,E5705:N5705,0)),"",'Analysis backend'!$L$1)</f>
        <v/>
      </c>
      <c r="U5705" t="str">
        <f>IF(T5705='Analysis backend'!$L$1,IF(ISERROR(MATCH('Analysis backend'!$M$1,E5705:I5705,0)),"Dire","Radiant"),"")</f>
        <v/>
      </c>
    </row>
    <row r="5706" spans="20:21" x14ac:dyDescent="0.3">
      <c r="T5706" t="str">
        <f>IF(ISERROR(MATCH('Analysis backend'!$M$1,E5706:N5706,0)),"",'Analysis backend'!$L$1)</f>
        <v/>
      </c>
      <c r="U5706" t="str">
        <f>IF(T5706='Analysis backend'!$L$1,IF(ISERROR(MATCH('Analysis backend'!$M$1,E5706:I5706,0)),"Dire","Radiant"),"")</f>
        <v/>
      </c>
    </row>
    <row r="5707" spans="20:21" x14ac:dyDescent="0.3">
      <c r="T5707" t="str">
        <f>IF(ISERROR(MATCH('Analysis backend'!$M$1,E5707:N5707,0)),"",'Analysis backend'!$L$1)</f>
        <v/>
      </c>
      <c r="U5707" t="str">
        <f>IF(T5707='Analysis backend'!$L$1,IF(ISERROR(MATCH('Analysis backend'!$M$1,E5707:I5707,0)),"Dire","Radiant"),"")</f>
        <v/>
      </c>
    </row>
    <row r="5708" spans="20:21" x14ac:dyDescent="0.3">
      <c r="T5708" t="str">
        <f>IF(ISERROR(MATCH('Analysis backend'!$M$1,E5708:N5708,0)),"",'Analysis backend'!$L$1)</f>
        <v/>
      </c>
      <c r="U5708" t="str">
        <f>IF(T5708='Analysis backend'!$L$1,IF(ISERROR(MATCH('Analysis backend'!$M$1,E5708:I5708,0)),"Dire","Radiant"),"")</f>
        <v/>
      </c>
    </row>
    <row r="5709" spans="20:21" x14ac:dyDescent="0.3">
      <c r="T5709" t="str">
        <f>IF(ISERROR(MATCH('Analysis backend'!$M$1,E5709:N5709,0)),"",'Analysis backend'!$L$1)</f>
        <v/>
      </c>
      <c r="U5709" t="str">
        <f>IF(T5709='Analysis backend'!$L$1,IF(ISERROR(MATCH('Analysis backend'!$M$1,E5709:I5709,0)),"Dire","Radiant"),"")</f>
        <v/>
      </c>
    </row>
    <row r="5710" spans="20:21" x14ac:dyDescent="0.3">
      <c r="T5710" t="str">
        <f>IF(ISERROR(MATCH('Analysis backend'!$M$1,E5710:N5710,0)),"",'Analysis backend'!$L$1)</f>
        <v/>
      </c>
      <c r="U5710" t="str">
        <f>IF(T5710='Analysis backend'!$L$1,IF(ISERROR(MATCH('Analysis backend'!$M$1,E5710:I5710,0)),"Dire","Radiant"),"")</f>
        <v/>
      </c>
    </row>
    <row r="5711" spans="20:21" x14ac:dyDescent="0.3">
      <c r="T5711" t="str">
        <f>IF(ISERROR(MATCH('Analysis backend'!$M$1,E5711:N5711,0)),"",'Analysis backend'!$L$1)</f>
        <v/>
      </c>
      <c r="U5711" t="str">
        <f>IF(T5711='Analysis backend'!$L$1,IF(ISERROR(MATCH('Analysis backend'!$M$1,E5711:I5711,0)),"Dire","Radiant"),"")</f>
        <v/>
      </c>
    </row>
    <row r="5712" spans="20:21" x14ac:dyDescent="0.3">
      <c r="T5712" t="str">
        <f>IF(ISERROR(MATCH('Analysis backend'!$M$1,E5712:N5712,0)),"",'Analysis backend'!$L$1)</f>
        <v/>
      </c>
      <c r="U5712" t="str">
        <f>IF(T5712='Analysis backend'!$L$1,IF(ISERROR(MATCH('Analysis backend'!$M$1,E5712:I5712,0)),"Dire","Radiant"),"")</f>
        <v/>
      </c>
    </row>
    <row r="5713" spans="20:21" x14ac:dyDescent="0.3">
      <c r="T5713" t="str">
        <f>IF(ISERROR(MATCH('Analysis backend'!$M$1,E5713:N5713,0)),"",'Analysis backend'!$L$1)</f>
        <v/>
      </c>
      <c r="U5713" t="str">
        <f>IF(T5713='Analysis backend'!$L$1,IF(ISERROR(MATCH('Analysis backend'!$M$1,E5713:I5713,0)),"Dire","Radiant"),"")</f>
        <v/>
      </c>
    </row>
    <row r="5714" spans="20:21" x14ac:dyDescent="0.3">
      <c r="T5714" t="str">
        <f>IF(ISERROR(MATCH('Analysis backend'!$M$1,E5714:N5714,0)),"",'Analysis backend'!$L$1)</f>
        <v/>
      </c>
      <c r="U5714" t="str">
        <f>IF(T5714='Analysis backend'!$L$1,IF(ISERROR(MATCH('Analysis backend'!$M$1,E5714:I5714,0)),"Dire","Radiant"),"")</f>
        <v/>
      </c>
    </row>
    <row r="5715" spans="20:21" x14ac:dyDescent="0.3">
      <c r="T5715" t="str">
        <f>IF(ISERROR(MATCH('Analysis backend'!$M$1,E5715:N5715,0)),"",'Analysis backend'!$L$1)</f>
        <v/>
      </c>
      <c r="U5715" t="str">
        <f>IF(T5715='Analysis backend'!$L$1,IF(ISERROR(MATCH('Analysis backend'!$M$1,E5715:I5715,0)),"Dire","Radiant"),"")</f>
        <v/>
      </c>
    </row>
    <row r="5716" spans="20:21" x14ac:dyDescent="0.3">
      <c r="T5716" t="str">
        <f>IF(ISERROR(MATCH('Analysis backend'!$M$1,E5716:N5716,0)),"",'Analysis backend'!$L$1)</f>
        <v/>
      </c>
      <c r="U5716" t="str">
        <f>IF(T5716='Analysis backend'!$L$1,IF(ISERROR(MATCH('Analysis backend'!$M$1,E5716:I5716,0)),"Dire","Radiant"),"")</f>
        <v/>
      </c>
    </row>
    <row r="5717" spans="20:21" x14ac:dyDescent="0.3">
      <c r="T5717" t="str">
        <f>IF(ISERROR(MATCH('Analysis backend'!$M$1,E5717:N5717,0)),"",'Analysis backend'!$L$1)</f>
        <v/>
      </c>
      <c r="U5717" t="str">
        <f>IF(T5717='Analysis backend'!$L$1,IF(ISERROR(MATCH('Analysis backend'!$M$1,E5717:I5717,0)),"Dire","Radiant"),"")</f>
        <v/>
      </c>
    </row>
    <row r="5718" spans="20:21" x14ac:dyDescent="0.3">
      <c r="T5718" t="str">
        <f>IF(ISERROR(MATCH('Analysis backend'!$M$1,E5718:N5718,0)),"",'Analysis backend'!$L$1)</f>
        <v/>
      </c>
      <c r="U5718" t="str">
        <f>IF(T5718='Analysis backend'!$L$1,IF(ISERROR(MATCH('Analysis backend'!$M$1,E5718:I5718,0)),"Dire","Radiant"),"")</f>
        <v/>
      </c>
    </row>
    <row r="5719" spans="20:21" x14ac:dyDescent="0.3">
      <c r="T5719" t="str">
        <f>IF(ISERROR(MATCH('Analysis backend'!$M$1,E5719:N5719,0)),"",'Analysis backend'!$L$1)</f>
        <v/>
      </c>
      <c r="U5719" t="str">
        <f>IF(T5719='Analysis backend'!$L$1,IF(ISERROR(MATCH('Analysis backend'!$M$1,E5719:I5719,0)),"Dire","Radiant"),"")</f>
        <v/>
      </c>
    </row>
    <row r="5720" spans="20:21" x14ac:dyDescent="0.3">
      <c r="T5720" t="str">
        <f>IF(ISERROR(MATCH('Analysis backend'!$M$1,E5720:N5720,0)),"",'Analysis backend'!$L$1)</f>
        <v/>
      </c>
      <c r="U5720" t="str">
        <f>IF(T5720='Analysis backend'!$L$1,IF(ISERROR(MATCH('Analysis backend'!$M$1,E5720:I5720,0)),"Dire","Radiant"),"")</f>
        <v/>
      </c>
    </row>
    <row r="5721" spans="20:21" x14ac:dyDescent="0.3">
      <c r="T5721" t="str">
        <f>IF(ISERROR(MATCH('Analysis backend'!$M$1,E5721:N5721,0)),"",'Analysis backend'!$L$1)</f>
        <v/>
      </c>
      <c r="U5721" t="str">
        <f>IF(T5721='Analysis backend'!$L$1,IF(ISERROR(MATCH('Analysis backend'!$M$1,E5721:I5721,0)),"Dire","Radiant"),"")</f>
        <v/>
      </c>
    </row>
    <row r="5722" spans="20:21" x14ac:dyDescent="0.3">
      <c r="T5722" t="str">
        <f>IF(ISERROR(MATCH('Analysis backend'!$M$1,E5722:N5722,0)),"",'Analysis backend'!$L$1)</f>
        <v/>
      </c>
      <c r="U5722" t="str">
        <f>IF(T5722='Analysis backend'!$L$1,IF(ISERROR(MATCH('Analysis backend'!$M$1,E5722:I5722,0)),"Dire","Radiant"),"")</f>
        <v/>
      </c>
    </row>
    <row r="5723" spans="20:21" x14ac:dyDescent="0.3">
      <c r="T5723" t="str">
        <f>IF(ISERROR(MATCH('Analysis backend'!$M$1,E5723:N5723,0)),"",'Analysis backend'!$L$1)</f>
        <v/>
      </c>
      <c r="U5723" t="str">
        <f>IF(T5723='Analysis backend'!$L$1,IF(ISERROR(MATCH('Analysis backend'!$M$1,E5723:I5723,0)),"Dire","Radiant"),"")</f>
        <v/>
      </c>
    </row>
    <row r="5724" spans="20:21" x14ac:dyDescent="0.3">
      <c r="T5724" t="str">
        <f>IF(ISERROR(MATCH('Analysis backend'!$M$1,E5724:N5724,0)),"",'Analysis backend'!$L$1)</f>
        <v/>
      </c>
      <c r="U5724" t="str">
        <f>IF(T5724='Analysis backend'!$L$1,IF(ISERROR(MATCH('Analysis backend'!$M$1,E5724:I5724,0)),"Dire","Radiant"),"")</f>
        <v/>
      </c>
    </row>
    <row r="5725" spans="20:21" x14ac:dyDescent="0.3">
      <c r="T5725" t="str">
        <f>IF(ISERROR(MATCH('Analysis backend'!$M$1,E5725:N5725,0)),"",'Analysis backend'!$L$1)</f>
        <v/>
      </c>
      <c r="U5725" t="str">
        <f>IF(T5725='Analysis backend'!$L$1,IF(ISERROR(MATCH('Analysis backend'!$M$1,E5725:I5725,0)),"Dire","Radiant"),"")</f>
        <v/>
      </c>
    </row>
    <row r="5726" spans="20:21" x14ac:dyDescent="0.3">
      <c r="T5726" t="str">
        <f>IF(ISERROR(MATCH('Analysis backend'!$M$1,E5726:N5726,0)),"",'Analysis backend'!$L$1)</f>
        <v/>
      </c>
      <c r="U5726" t="str">
        <f>IF(T5726='Analysis backend'!$L$1,IF(ISERROR(MATCH('Analysis backend'!$M$1,E5726:I5726,0)),"Dire","Radiant"),"")</f>
        <v/>
      </c>
    </row>
    <row r="5727" spans="20:21" x14ac:dyDescent="0.3">
      <c r="T5727" t="str">
        <f>IF(ISERROR(MATCH('Analysis backend'!$M$1,E5727:N5727,0)),"",'Analysis backend'!$L$1)</f>
        <v/>
      </c>
      <c r="U5727" t="str">
        <f>IF(T5727='Analysis backend'!$L$1,IF(ISERROR(MATCH('Analysis backend'!$M$1,E5727:I5727,0)),"Dire","Radiant"),"")</f>
        <v/>
      </c>
    </row>
    <row r="5728" spans="20:21" x14ac:dyDescent="0.3">
      <c r="T5728" t="str">
        <f>IF(ISERROR(MATCH('Analysis backend'!$M$1,E5728:N5728,0)),"",'Analysis backend'!$L$1)</f>
        <v/>
      </c>
      <c r="U5728" t="str">
        <f>IF(T5728='Analysis backend'!$L$1,IF(ISERROR(MATCH('Analysis backend'!$M$1,E5728:I5728,0)),"Dire","Radiant"),"")</f>
        <v/>
      </c>
    </row>
    <row r="5729" spans="20:21" x14ac:dyDescent="0.3">
      <c r="T5729" t="str">
        <f>IF(ISERROR(MATCH('Analysis backend'!$M$1,E5729:N5729,0)),"",'Analysis backend'!$L$1)</f>
        <v/>
      </c>
      <c r="U5729" t="str">
        <f>IF(T5729='Analysis backend'!$L$1,IF(ISERROR(MATCH('Analysis backend'!$M$1,E5729:I5729,0)),"Dire","Radiant"),"")</f>
        <v/>
      </c>
    </row>
    <row r="5730" spans="20:21" x14ac:dyDescent="0.3">
      <c r="T5730" t="str">
        <f>IF(ISERROR(MATCH('Analysis backend'!$M$1,E5730:N5730,0)),"",'Analysis backend'!$L$1)</f>
        <v/>
      </c>
      <c r="U5730" t="str">
        <f>IF(T5730='Analysis backend'!$L$1,IF(ISERROR(MATCH('Analysis backend'!$M$1,E5730:I5730,0)),"Dire","Radiant"),"")</f>
        <v/>
      </c>
    </row>
    <row r="5731" spans="20:21" x14ac:dyDescent="0.3">
      <c r="T5731" t="str">
        <f>IF(ISERROR(MATCH('Analysis backend'!$M$1,E5731:N5731,0)),"",'Analysis backend'!$L$1)</f>
        <v/>
      </c>
      <c r="U5731" t="str">
        <f>IF(T5731='Analysis backend'!$L$1,IF(ISERROR(MATCH('Analysis backend'!$M$1,E5731:I5731,0)),"Dire","Radiant"),"")</f>
        <v/>
      </c>
    </row>
    <row r="5732" spans="20:21" x14ac:dyDescent="0.3">
      <c r="T5732" t="str">
        <f>IF(ISERROR(MATCH('Analysis backend'!$M$1,E5732:N5732,0)),"",'Analysis backend'!$L$1)</f>
        <v/>
      </c>
      <c r="U5732" t="str">
        <f>IF(T5732='Analysis backend'!$L$1,IF(ISERROR(MATCH('Analysis backend'!$M$1,E5732:I5732,0)),"Dire","Radiant"),"")</f>
        <v/>
      </c>
    </row>
    <row r="5733" spans="20:21" x14ac:dyDescent="0.3">
      <c r="T5733" t="str">
        <f>IF(ISERROR(MATCH('Analysis backend'!$M$1,E5733:N5733,0)),"",'Analysis backend'!$L$1)</f>
        <v/>
      </c>
      <c r="U5733" t="str">
        <f>IF(T5733='Analysis backend'!$L$1,IF(ISERROR(MATCH('Analysis backend'!$M$1,E5733:I5733,0)),"Dire","Radiant"),"")</f>
        <v/>
      </c>
    </row>
    <row r="5734" spans="20:21" x14ac:dyDescent="0.3">
      <c r="T5734" t="str">
        <f>IF(ISERROR(MATCH('Analysis backend'!$M$1,E5734:N5734,0)),"",'Analysis backend'!$L$1)</f>
        <v/>
      </c>
      <c r="U5734" t="str">
        <f>IF(T5734='Analysis backend'!$L$1,IF(ISERROR(MATCH('Analysis backend'!$M$1,E5734:I5734,0)),"Dire","Radiant"),"")</f>
        <v/>
      </c>
    </row>
    <row r="5735" spans="20:21" x14ac:dyDescent="0.3">
      <c r="T5735" t="str">
        <f>IF(ISERROR(MATCH('Analysis backend'!$M$1,E5735:N5735,0)),"",'Analysis backend'!$L$1)</f>
        <v/>
      </c>
      <c r="U5735" t="str">
        <f>IF(T5735='Analysis backend'!$L$1,IF(ISERROR(MATCH('Analysis backend'!$M$1,E5735:I5735,0)),"Dire","Radiant"),"")</f>
        <v/>
      </c>
    </row>
    <row r="5736" spans="20:21" x14ac:dyDescent="0.3">
      <c r="T5736" t="str">
        <f>IF(ISERROR(MATCH('Analysis backend'!$M$1,E5736:N5736,0)),"",'Analysis backend'!$L$1)</f>
        <v/>
      </c>
      <c r="U5736" t="str">
        <f>IF(T5736='Analysis backend'!$L$1,IF(ISERROR(MATCH('Analysis backend'!$M$1,E5736:I5736,0)),"Dire","Radiant"),"")</f>
        <v/>
      </c>
    </row>
    <row r="5737" spans="20:21" x14ac:dyDescent="0.3">
      <c r="T5737" t="str">
        <f>IF(ISERROR(MATCH('Analysis backend'!$M$1,E5737:N5737,0)),"",'Analysis backend'!$L$1)</f>
        <v/>
      </c>
      <c r="U5737" t="str">
        <f>IF(T5737='Analysis backend'!$L$1,IF(ISERROR(MATCH('Analysis backend'!$M$1,E5737:I5737,0)),"Dire","Radiant"),"")</f>
        <v/>
      </c>
    </row>
    <row r="5738" spans="20:21" x14ac:dyDescent="0.3">
      <c r="T5738" t="str">
        <f>IF(ISERROR(MATCH('Analysis backend'!$M$1,E5738:N5738,0)),"",'Analysis backend'!$L$1)</f>
        <v/>
      </c>
      <c r="U5738" t="str">
        <f>IF(T5738='Analysis backend'!$L$1,IF(ISERROR(MATCH('Analysis backend'!$M$1,E5738:I5738,0)),"Dire","Radiant"),"")</f>
        <v/>
      </c>
    </row>
    <row r="5739" spans="20:21" x14ac:dyDescent="0.3">
      <c r="T5739" t="str">
        <f>IF(ISERROR(MATCH('Analysis backend'!$M$1,E5739:N5739,0)),"",'Analysis backend'!$L$1)</f>
        <v/>
      </c>
      <c r="U5739" t="str">
        <f>IF(T5739='Analysis backend'!$L$1,IF(ISERROR(MATCH('Analysis backend'!$M$1,E5739:I5739,0)),"Dire","Radiant"),"")</f>
        <v/>
      </c>
    </row>
    <row r="5740" spans="20:21" x14ac:dyDescent="0.3">
      <c r="T5740" t="str">
        <f>IF(ISERROR(MATCH('Analysis backend'!$M$1,E5740:N5740,0)),"",'Analysis backend'!$L$1)</f>
        <v/>
      </c>
      <c r="U5740" t="str">
        <f>IF(T5740='Analysis backend'!$L$1,IF(ISERROR(MATCH('Analysis backend'!$M$1,E5740:I5740,0)),"Dire","Radiant"),"")</f>
        <v/>
      </c>
    </row>
    <row r="5741" spans="20:21" x14ac:dyDescent="0.3">
      <c r="T5741" t="str">
        <f>IF(ISERROR(MATCH('Analysis backend'!$M$1,E5741:N5741,0)),"",'Analysis backend'!$L$1)</f>
        <v/>
      </c>
      <c r="U5741" t="str">
        <f>IF(T5741='Analysis backend'!$L$1,IF(ISERROR(MATCH('Analysis backend'!$M$1,E5741:I5741,0)),"Dire","Radiant"),"")</f>
        <v/>
      </c>
    </row>
    <row r="5742" spans="20:21" x14ac:dyDescent="0.3">
      <c r="T5742" t="str">
        <f>IF(ISERROR(MATCH('Analysis backend'!$M$1,E5742:N5742,0)),"",'Analysis backend'!$L$1)</f>
        <v/>
      </c>
      <c r="U5742" t="str">
        <f>IF(T5742='Analysis backend'!$L$1,IF(ISERROR(MATCH('Analysis backend'!$M$1,E5742:I5742,0)),"Dire","Radiant"),"")</f>
        <v/>
      </c>
    </row>
    <row r="5743" spans="20:21" x14ac:dyDescent="0.3">
      <c r="T5743" t="str">
        <f>IF(ISERROR(MATCH('Analysis backend'!$M$1,E5743:N5743,0)),"",'Analysis backend'!$L$1)</f>
        <v/>
      </c>
      <c r="U5743" t="str">
        <f>IF(T5743='Analysis backend'!$L$1,IF(ISERROR(MATCH('Analysis backend'!$M$1,E5743:I5743,0)),"Dire","Radiant"),"")</f>
        <v/>
      </c>
    </row>
    <row r="5744" spans="20:21" x14ac:dyDescent="0.3">
      <c r="T5744" t="str">
        <f>IF(ISERROR(MATCH('Analysis backend'!$M$1,E5744:N5744,0)),"",'Analysis backend'!$L$1)</f>
        <v/>
      </c>
      <c r="U5744" t="str">
        <f>IF(T5744='Analysis backend'!$L$1,IF(ISERROR(MATCH('Analysis backend'!$M$1,E5744:I5744,0)),"Dire","Radiant"),"")</f>
        <v/>
      </c>
    </row>
    <row r="5745" spans="20:21" x14ac:dyDescent="0.3">
      <c r="T5745" t="str">
        <f>IF(ISERROR(MATCH('Analysis backend'!$M$1,E5745:N5745,0)),"",'Analysis backend'!$L$1)</f>
        <v/>
      </c>
      <c r="U5745" t="str">
        <f>IF(T5745='Analysis backend'!$L$1,IF(ISERROR(MATCH('Analysis backend'!$M$1,E5745:I5745,0)),"Dire","Radiant"),"")</f>
        <v/>
      </c>
    </row>
    <row r="5746" spans="20:21" x14ac:dyDescent="0.3">
      <c r="T5746" t="str">
        <f>IF(ISERROR(MATCH('Analysis backend'!$M$1,E5746:N5746,0)),"",'Analysis backend'!$L$1)</f>
        <v/>
      </c>
      <c r="U5746" t="str">
        <f>IF(T5746='Analysis backend'!$L$1,IF(ISERROR(MATCH('Analysis backend'!$M$1,E5746:I5746,0)),"Dire","Radiant"),"")</f>
        <v/>
      </c>
    </row>
    <row r="5747" spans="20:21" x14ac:dyDescent="0.3">
      <c r="T5747" t="str">
        <f>IF(ISERROR(MATCH('Analysis backend'!$M$1,E5747:N5747,0)),"",'Analysis backend'!$L$1)</f>
        <v/>
      </c>
      <c r="U5747" t="str">
        <f>IF(T5747='Analysis backend'!$L$1,IF(ISERROR(MATCH('Analysis backend'!$M$1,E5747:I5747,0)),"Dire","Radiant"),"")</f>
        <v/>
      </c>
    </row>
    <row r="5748" spans="20:21" x14ac:dyDescent="0.3">
      <c r="T5748" t="str">
        <f>IF(ISERROR(MATCH('Analysis backend'!$M$1,E5748:N5748,0)),"",'Analysis backend'!$L$1)</f>
        <v/>
      </c>
      <c r="U5748" t="str">
        <f>IF(T5748='Analysis backend'!$L$1,IF(ISERROR(MATCH('Analysis backend'!$M$1,E5748:I5748,0)),"Dire","Radiant"),"")</f>
        <v/>
      </c>
    </row>
    <row r="5749" spans="20:21" x14ac:dyDescent="0.3">
      <c r="T5749" t="str">
        <f>IF(ISERROR(MATCH('Analysis backend'!$M$1,E5749:N5749,0)),"",'Analysis backend'!$L$1)</f>
        <v/>
      </c>
      <c r="U5749" t="str">
        <f>IF(T5749='Analysis backend'!$L$1,IF(ISERROR(MATCH('Analysis backend'!$M$1,E5749:I5749,0)),"Dire","Radiant"),"")</f>
        <v/>
      </c>
    </row>
    <row r="5750" spans="20:21" x14ac:dyDescent="0.3">
      <c r="T5750" t="str">
        <f>IF(ISERROR(MATCH('Analysis backend'!$M$1,E5750:N5750,0)),"",'Analysis backend'!$L$1)</f>
        <v/>
      </c>
      <c r="U5750" t="str">
        <f>IF(T5750='Analysis backend'!$L$1,IF(ISERROR(MATCH('Analysis backend'!$M$1,E5750:I5750,0)),"Dire","Radiant"),"")</f>
        <v/>
      </c>
    </row>
    <row r="5751" spans="20:21" x14ac:dyDescent="0.3">
      <c r="T5751" t="str">
        <f>IF(ISERROR(MATCH('Analysis backend'!$M$1,E5751:N5751,0)),"",'Analysis backend'!$L$1)</f>
        <v/>
      </c>
      <c r="U5751" t="str">
        <f>IF(T5751='Analysis backend'!$L$1,IF(ISERROR(MATCH('Analysis backend'!$M$1,E5751:I5751,0)),"Dire","Radiant"),"")</f>
        <v/>
      </c>
    </row>
    <row r="5752" spans="20:21" x14ac:dyDescent="0.3">
      <c r="T5752" t="str">
        <f>IF(ISERROR(MATCH('Analysis backend'!$M$1,E5752:N5752,0)),"",'Analysis backend'!$L$1)</f>
        <v/>
      </c>
      <c r="U5752" t="str">
        <f>IF(T5752='Analysis backend'!$L$1,IF(ISERROR(MATCH('Analysis backend'!$M$1,E5752:I5752,0)),"Dire","Radiant"),"")</f>
        <v/>
      </c>
    </row>
    <row r="5753" spans="20:21" x14ac:dyDescent="0.3">
      <c r="T5753" t="str">
        <f>IF(ISERROR(MATCH('Analysis backend'!$M$1,E5753:N5753,0)),"",'Analysis backend'!$L$1)</f>
        <v/>
      </c>
      <c r="U5753" t="str">
        <f>IF(T5753='Analysis backend'!$L$1,IF(ISERROR(MATCH('Analysis backend'!$M$1,E5753:I5753,0)),"Dire","Radiant"),"")</f>
        <v/>
      </c>
    </row>
    <row r="5754" spans="20:21" x14ac:dyDescent="0.3">
      <c r="T5754" t="str">
        <f>IF(ISERROR(MATCH('Analysis backend'!$M$1,E5754:N5754,0)),"",'Analysis backend'!$L$1)</f>
        <v/>
      </c>
      <c r="U5754" t="str">
        <f>IF(T5754='Analysis backend'!$L$1,IF(ISERROR(MATCH('Analysis backend'!$M$1,E5754:I5754,0)),"Dire","Radiant"),"")</f>
        <v/>
      </c>
    </row>
    <row r="5755" spans="20:21" x14ac:dyDescent="0.3">
      <c r="T5755" t="str">
        <f>IF(ISERROR(MATCH('Analysis backend'!$M$1,E5755:N5755,0)),"",'Analysis backend'!$L$1)</f>
        <v/>
      </c>
      <c r="U5755" t="str">
        <f>IF(T5755='Analysis backend'!$L$1,IF(ISERROR(MATCH('Analysis backend'!$M$1,E5755:I5755,0)),"Dire","Radiant"),"")</f>
        <v/>
      </c>
    </row>
    <row r="5756" spans="20:21" x14ac:dyDescent="0.3">
      <c r="T5756" t="str">
        <f>IF(ISERROR(MATCH('Analysis backend'!$M$1,E5756:N5756,0)),"",'Analysis backend'!$L$1)</f>
        <v/>
      </c>
      <c r="U5756" t="str">
        <f>IF(T5756='Analysis backend'!$L$1,IF(ISERROR(MATCH('Analysis backend'!$M$1,E5756:I5756,0)),"Dire","Radiant"),"")</f>
        <v/>
      </c>
    </row>
    <row r="5757" spans="20:21" x14ac:dyDescent="0.3">
      <c r="T5757" t="str">
        <f>IF(ISERROR(MATCH('Analysis backend'!$M$1,E5757:N5757,0)),"",'Analysis backend'!$L$1)</f>
        <v/>
      </c>
      <c r="U5757" t="str">
        <f>IF(T5757='Analysis backend'!$L$1,IF(ISERROR(MATCH('Analysis backend'!$M$1,E5757:I5757,0)),"Dire","Radiant"),"")</f>
        <v/>
      </c>
    </row>
    <row r="5758" spans="20:21" x14ac:dyDescent="0.3">
      <c r="T5758" t="str">
        <f>IF(ISERROR(MATCH('Analysis backend'!$M$1,E5758:N5758,0)),"",'Analysis backend'!$L$1)</f>
        <v/>
      </c>
      <c r="U5758" t="str">
        <f>IF(T5758='Analysis backend'!$L$1,IF(ISERROR(MATCH('Analysis backend'!$M$1,E5758:I5758,0)),"Dire","Radiant"),"")</f>
        <v/>
      </c>
    </row>
    <row r="5759" spans="20:21" x14ac:dyDescent="0.3">
      <c r="T5759" t="str">
        <f>IF(ISERROR(MATCH('Analysis backend'!$M$1,E5759:N5759,0)),"",'Analysis backend'!$L$1)</f>
        <v/>
      </c>
      <c r="U5759" t="str">
        <f>IF(T5759='Analysis backend'!$L$1,IF(ISERROR(MATCH('Analysis backend'!$M$1,E5759:I5759,0)),"Dire","Radiant"),"")</f>
        <v/>
      </c>
    </row>
    <row r="5760" spans="20:21" x14ac:dyDescent="0.3">
      <c r="T5760" t="str">
        <f>IF(ISERROR(MATCH('Analysis backend'!$M$1,E5760:N5760,0)),"",'Analysis backend'!$L$1)</f>
        <v/>
      </c>
      <c r="U5760" t="str">
        <f>IF(T5760='Analysis backend'!$L$1,IF(ISERROR(MATCH('Analysis backend'!$M$1,E5760:I5760,0)),"Dire","Radiant"),"")</f>
        <v/>
      </c>
    </row>
    <row r="5761" spans="20:21" x14ac:dyDescent="0.3">
      <c r="T5761" t="str">
        <f>IF(ISERROR(MATCH('Analysis backend'!$M$1,E5761:N5761,0)),"",'Analysis backend'!$L$1)</f>
        <v/>
      </c>
      <c r="U5761" t="str">
        <f>IF(T5761='Analysis backend'!$L$1,IF(ISERROR(MATCH('Analysis backend'!$M$1,E5761:I5761,0)),"Dire","Radiant"),"")</f>
        <v/>
      </c>
    </row>
    <row r="5762" spans="20:21" x14ac:dyDescent="0.3">
      <c r="T5762" t="str">
        <f>IF(ISERROR(MATCH('Analysis backend'!$M$1,E5762:N5762,0)),"",'Analysis backend'!$L$1)</f>
        <v/>
      </c>
      <c r="U5762" t="str">
        <f>IF(T5762='Analysis backend'!$L$1,IF(ISERROR(MATCH('Analysis backend'!$M$1,E5762:I5762,0)),"Dire","Radiant"),"")</f>
        <v/>
      </c>
    </row>
    <row r="5763" spans="20:21" x14ac:dyDescent="0.3">
      <c r="T5763" t="str">
        <f>IF(ISERROR(MATCH('Analysis backend'!$M$1,E5763:N5763,0)),"",'Analysis backend'!$L$1)</f>
        <v/>
      </c>
      <c r="U5763" t="str">
        <f>IF(T5763='Analysis backend'!$L$1,IF(ISERROR(MATCH('Analysis backend'!$M$1,E5763:I5763,0)),"Dire","Radiant"),"")</f>
        <v/>
      </c>
    </row>
    <row r="5764" spans="20:21" x14ac:dyDescent="0.3">
      <c r="T5764" t="str">
        <f>IF(ISERROR(MATCH('Analysis backend'!$M$1,E5764:N5764,0)),"",'Analysis backend'!$L$1)</f>
        <v/>
      </c>
      <c r="U5764" t="str">
        <f>IF(T5764='Analysis backend'!$L$1,IF(ISERROR(MATCH('Analysis backend'!$M$1,E5764:I5764,0)),"Dire","Radiant"),"")</f>
        <v/>
      </c>
    </row>
    <row r="5765" spans="20:21" x14ac:dyDescent="0.3">
      <c r="T5765" t="str">
        <f>IF(ISERROR(MATCH('Analysis backend'!$M$1,E5765:N5765,0)),"",'Analysis backend'!$L$1)</f>
        <v/>
      </c>
      <c r="U5765" t="str">
        <f>IF(T5765='Analysis backend'!$L$1,IF(ISERROR(MATCH('Analysis backend'!$M$1,E5765:I5765,0)),"Dire","Radiant"),"")</f>
        <v/>
      </c>
    </row>
    <row r="5766" spans="20:21" x14ac:dyDescent="0.3">
      <c r="T5766" t="str">
        <f>IF(ISERROR(MATCH('Analysis backend'!$M$1,E5766:N5766,0)),"",'Analysis backend'!$L$1)</f>
        <v/>
      </c>
      <c r="U5766" t="str">
        <f>IF(T5766='Analysis backend'!$L$1,IF(ISERROR(MATCH('Analysis backend'!$M$1,E5766:I5766,0)),"Dire","Radiant"),"")</f>
        <v/>
      </c>
    </row>
    <row r="5767" spans="20:21" x14ac:dyDescent="0.3">
      <c r="T5767" t="str">
        <f>IF(ISERROR(MATCH('Analysis backend'!$M$1,E5767:N5767,0)),"",'Analysis backend'!$L$1)</f>
        <v/>
      </c>
      <c r="U5767" t="str">
        <f>IF(T5767='Analysis backend'!$L$1,IF(ISERROR(MATCH('Analysis backend'!$M$1,E5767:I5767,0)),"Dire","Radiant"),"")</f>
        <v/>
      </c>
    </row>
    <row r="5768" spans="20:21" x14ac:dyDescent="0.3">
      <c r="T5768" t="str">
        <f>IF(ISERROR(MATCH('Analysis backend'!$M$1,E5768:N5768,0)),"",'Analysis backend'!$L$1)</f>
        <v/>
      </c>
      <c r="U5768" t="str">
        <f>IF(T5768='Analysis backend'!$L$1,IF(ISERROR(MATCH('Analysis backend'!$M$1,E5768:I5768,0)),"Dire","Radiant"),"")</f>
        <v/>
      </c>
    </row>
    <row r="5769" spans="20:21" x14ac:dyDescent="0.3">
      <c r="T5769" t="str">
        <f>IF(ISERROR(MATCH('Analysis backend'!$M$1,E5769:N5769,0)),"",'Analysis backend'!$L$1)</f>
        <v/>
      </c>
      <c r="U5769" t="str">
        <f>IF(T5769='Analysis backend'!$L$1,IF(ISERROR(MATCH('Analysis backend'!$M$1,E5769:I5769,0)),"Dire","Radiant"),"")</f>
        <v/>
      </c>
    </row>
    <row r="5770" spans="20:21" x14ac:dyDescent="0.3">
      <c r="T5770" t="str">
        <f>IF(ISERROR(MATCH('Analysis backend'!$M$1,E5770:N5770,0)),"",'Analysis backend'!$L$1)</f>
        <v/>
      </c>
      <c r="U5770" t="str">
        <f>IF(T5770='Analysis backend'!$L$1,IF(ISERROR(MATCH('Analysis backend'!$M$1,E5770:I5770,0)),"Dire","Radiant"),"")</f>
        <v/>
      </c>
    </row>
    <row r="5771" spans="20:21" x14ac:dyDescent="0.3">
      <c r="T5771" t="str">
        <f>IF(ISERROR(MATCH('Analysis backend'!$M$1,E5771:N5771,0)),"",'Analysis backend'!$L$1)</f>
        <v/>
      </c>
      <c r="U5771" t="str">
        <f>IF(T5771='Analysis backend'!$L$1,IF(ISERROR(MATCH('Analysis backend'!$M$1,E5771:I5771,0)),"Dire","Radiant"),"")</f>
        <v/>
      </c>
    </row>
    <row r="5772" spans="20:21" x14ac:dyDescent="0.3">
      <c r="T5772" t="str">
        <f>IF(ISERROR(MATCH('Analysis backend'!$M$1,E5772:N5772,0)),"",'Analysis backend'!$L$1)</f>
        <v/>
      </c>
      <c r="U5772" t="str">
        <f>IF(T5772='Analysis backend'!$L$1,IF(ISERROR(MATCH('Analysis backend'!$M$1,E5772:I5772,0)),"Dire","Radiant"),"")</f>
        <v/>
      </c>
    </row>
    <row r="5773" spans="20:21" x14ac:dyDescent="0.3">
      <c r="T5773" t="str">
        <f>IF(ISERROR(MATCH('Analysis backend'!$M$1,E5773:N5773,0)),"",'Analysis backend'!$L$1)</f>
        <v/>
      </c>
      <c r="U5773" t="str">
        <f>IF(T5773='Analysis backend'!$L$1,IF(ISERROR(MATCH('Analysis backend'!$M$1,E5773:I5773,0)),"Dire","Radiant"),"")</f>
        <v/>
      </c>
    </row>
    <row r="5774" spans="20:21" x14ac:dyDescent="0.3">
      <c r="T5774" t="str">
        <f>IF(ISERROR(MATCH('Analysis backend'!$M$1,E5774:N5774,0)),"",'Analysis backend'!$L$1)</f>
        <v/>
      </c>
      <c r="U5774" t="str">
        <f>IF(T5774='Analysis backend'!$L$1,IF(ISERROR(MATCH('Analysis backend'!$M$1,E5774:I5774,0)),"Dire","Radiant"),"")</f>
        <v/>
      </c>
    </row>
    <row r="5775" spans="20:21" x14ac:dyDescent="0.3">
      <c r="T5775" t="str">
        <f>IF(ISERROR(MATCH('Analysis backend'!$M$1,E5775:N5775,0)),"",'Analysis backend'!$L$1)</f>
        <v/>
      </c>
      <c r="U5775" t="str">
        <f>IF(T5775='Analysis backend'!$L$1,IF(ISERROR(MATCH('Analysis backend'!$M$1,E5775:I5775,0)),"Dire","Radiant"),"")</f>
        <v/>
      </c>
    </row>
    <row r="5776" spans="20:21" x14ac:dyDescent="0.3">
      <c r="T5776" t="str">
        <f>IF(ISERROR(MATCH('Analysis backend'!$M$1,E5776:N5776,0)),"",'Analysis backend'!$L$1)</f>
        <v/>
      </c>
      <c r="U5776" t="str">
        <f>IF(T5776='Analysis backend'!$L$1,IF(ISERROR(MATCH('Analysis backend'!$M$1,E5776:I5776,0)),"Dire","Radiant"),"")</f>
        <v/>
      </c>
    </row>
    <row r="5777" spans="20:21" x14ac:dyDescent="0.3">
      <c r="T5777" t="str">
        <f>IF(ISERROR(MATCH('Analysis backend'!$M$1,E5777:N5777,0)),"",'Analysis backend'!$L$1)</f>
        <v/>
      </c>
      <c r="U5777" t="str">
        <f>IF(T5777='Analysis backend'!$L$1,IF(ISERROR(MATCH('Analysis backend'!$M$1,E5777:I5777,0)),"Dire","Radiant"),"")</f>
        <v/>
      </c>
    </row>
    <row r="5778" spans="20:21" x14ac:dyDescent="0.3">
      <c r="T5778" t="str">
        <f>IF(ISERROR(MATCH('Analysis backend'!$M$1,E5778:N5778,0)),"",'Analysis backend'!$L$1)</f>
        <v/>
      </c>
      <c r="U5778" t="str">
        <f>IF(T5778='Analysis backend'!$L$1,IF(ISERROR(MATCH('Analysis backend'!$M$1,E5778:I5778,0)),"Dire","Radiant"),"")</f>
        <v/>
      </c>
    </row>
    <row r="5779" spans="20:21" x14ac:dyDescent="0.3">
      <c r="T5779" t="str">
        <f>IF(ISERROR(MATCH('Analysis backend'!$M$1,E5779:N5779,0)),"",'Analysis backend'!$L$1)</f>
        <v/>
      </c>
      <c r="U5779" t="str">
        <f>IF(T5779='Analysis backend'!$L$1,IF(ISERROR(MATCH('Analysis backend'!$M$1,E5779:I5779,0)),"Dire","Radiant"),"")</f>
        <v/>
      </c>
    </row>
    <row r="5780" spans="20:21" x14ac:dyDescent="0.3">
      <c r="T5780" t="str">
        <f>IF(ISERROR(MATCH('Analysis backend'!$M$1,E5780:N5780,0)),"",'Analysis backend'!$L$1)</f>
        <v/>
      </c>
      <c r="U5780" t="str">
        <f>IF(T5780='Analysis backend'!$L$1,IF(ISERROR(MATCH('Analysis backend'!$M$1,E5780:I5780,0)),"Dire","Radiant"),"")</f>
        <v/>
      </c>
    </row>
    <row r="5781" spans="20:21" x14ac:dyDescent="0.3">
      <c r="T5781" t="str">
        <f>IF(ISERROR(MATCH('Analysis backend'!$M$1,E5781:N5781,0)),"",'Analysis backend'!$L$1)</f>
        <v/>
      </c>
      <c r="U5781" t="str">
        <f>IF(T5781='Analysis backend'!$L$1,IF(ISERROR(MATCH('Analysis backend'!$M$1,E5781:I5781,0)),"Dire","Radiant"),"")</f>
        <v/>
      </c>
    </row>
    <row r="5782" spans="20:21" x14ac:dyDescent="0.3">
      <c r="T5782" t="str">
        <f>IF(ISERROR(MATCH('Analysis backend'!$M$1,E5782:N5782,0)),"",'Analysis backend'!$L$1)</f>
        <v/>
      </c>
      <c r="U5782" t="str">
        <f>IF(T5782='Analysis backend'!$L$1,IF(ISERROR(MATCH('Analysis backend'!$M$1,E5782:I5782,0)),"Dire","Radiant"),"")</f>
        <v/>
      </c>
    </row>
    <row r="5783" spans="20:21" x14ac:dyDescent="0.3">
      <c r="T5783" t="str">
        <f>IF(ISERROR(MATCH('Analysis backend'!$M$1,E5783:N5783,0)),"",'Analysis backend'!$L$1)</f>
        <v/>
      </c>
      <c r="U5783" t="str">
        <f>IF(T5783='Analysis backend'!$L$1,IF(ISERROR(MATCH('Analysis backend'!$M$1,E5783:I5783,0)),"Dire","Radiant"),"")</f>
        <v/>
      </c>
    </row>
    <row r="5784" spans="20:21" x14ac:dyDescent="0.3">
      <c r="T5784" t="str">
        <f>IF(ISERROR(MATCH('Analysis backend'!$M$1,E5784:N5784,0)),"",'Analysis backend'!$L$1)</f>
        <v/>
      </c>
      <c r="U5784" t="str">
        <f>IF(T5784='Analysis backend'!$L$1,IF(ISERROR(MATCH('Analysis backend'!$M$1,E5784:I5784,0)),"Dire","Radiant"),"")</f>
        <v/>
      </c>
    </row>
    <row r="5785" spans="20:21" x14ac:dyDescent="0.3">
      <c r="T5785" t="str">
        <f>IF(ISERROR(MATCH('Analysis backend'!$M$1,E5785:N5785,0)),"",'Analysis backend'!$L$1)</f>
        <v/>
      </c>
      <c r="U5785" t="str">
        <f>IF(T5785='Analysis backend'!$L$1,IF(ISERROR(MATCH('Analysis backend'!$M$1,E5785:I5785,0)),"Dire","Radiant"),"")</f>
        <v/>
      </c>
    </row>
    <row r="5786" spans="20:21" x14ac:dyDescent="0.3">
      <c r="T5786" t="str">
        <f>IF(ISERROR(MATCH('Analysis backend'!$M$1,E5786:N5786,0)),"",'Analysis backend'!$L$1)</f>
        <v/>
      </c>
      <c r="U5786" t="str">
        <f>IF(T5786='Analysis backend'!$L$1,IF(ISERROR(MATCH('Analysis backend'!$M$1,E5786:I5786,0)),"Dire","Radiant"),"")</f>
        <v/>
      </c>
    </row>
    <row r="5787" spans="20:21" x14ac:dyDescent="0.3">
      <c r="T5787" t="str">
        <f>IF(ISERROR(MATCH('Analysis backend'!$M$1,E5787:N5787,0)),"",'Analysis backend'!$L$1)</f>
        <v/>
      </c>
      <c r="U5787" t="str">
        <f>IF(T5787='Analysis backend'!$L$1,IF(ISERROR(MATCH('Analysis backend'!$M$1,E5787:I5787,0)),"Dire","Radiant"),"")</f>
        <v/>
      </c>
    </row>
    <row r="5788" spans="20:21" x14ac:dyDescent="0.3">
      <c r="T5788" t="str">
        <f>IF(ISERROR(MATCH('Analysis backend'!$M$1,E5788:N5788,0)),"",'Analysis backend'!$L$1)</f>
        <v/>
      </c>
      <c r="U5788" t="str">
        <f>IF(T5788='Analysis backend'!$L$1,IF(ISERROR(MATCH('Analysis backend'!$M$1,E5788:I5788,0)),"Dire","Radiant"),"")</f>
        <v/>
      </c>
    </row>
    <row r="5789" spans="20:21" x14ac:dyDescent="0.3">
      <c r="T5789" t="str">
        <f>IF(ISERROR(MATCH('Analysis backend'!$M$1,E5789:N5789,0)),"",'Analysis backend'!$L$1)</f>
        <v/>
      </c>
      <c r="U5789" t="str">
        <f>IF(T5789='Analysis backend'!$L$1,IF(ISERROR(MATCH('Analysis backend'!$M$1,E5789:I5789,0)),"Dire","Radiant"),"")</f>
        <v/>
      </c>
    </row>
    <row r="5790" spans="20:21" x14ac:dyDescent="0.3">
      <c r="T5790" t="str">
        <f>IF(ISERROR(MATCH('Analysis backend'!$M$1,E5790:N5790,0)),"",'Analysis backend'!$L$1)</f>
        <v/>
      </c>
      <c r="U5790" t="str">
        <f>IF(T5790='Analysis backend'!$L$1,IF(ISERROR(MATCH('Analysis backend'!$M$1,E5790:I5790,0)),"Dire","Radiant"),"")</f>
        <v/>
      </c>
    </row>
    <row r="5791" spans="20:21" x14ac:dyDescent="0.3">
      <c r="T5791" t="str">
        <f>IF(ISERROR(MATCH('Analysis backend'!$M$1,E5791:N5791,0)),"",'Analysis backend'!$L$1)</f>
        <v/>
      </c>
      <c r="U5791" t="str">
        <f>IF(T5791='Analysis backend'!$L$1,IF(ISERROR(MATCH('Analysis backend'!$M$1,E5791:I5791,0)),"Dire","Radiant"),"")</f>
        <v/>
      </c>
    </row>
    <row r="5792" spans="20:21" x14ac:dyDescent="0.3">
      <c r="T5792" t="str">
        <f>IF(ISERROR(MATCH('Analysis backend'!$M$1,E5792:N5792,0)),"",'Analysis backend'!$L$1)</f>
        <v/>
      </c>
      <c r="U5792" t="str">
        <f>IF(T5792='Analysis backend'!$L$1,IF(ISERROR(MATCH('Analysis backend'!$M$1,E5792:I5792,0)),"Dire","Radiant"),"")</f>
        <v/>
      </c>
    </row>
    <row r="5793" spans="20:21" x14ac:dyDescent="0.3">
      <c r="T5793" t="str">
        <f>IF(ISERROR(MATCH('Analysis backend'!$M$1,E5793:N5793,0)),"",'Analysis backend'!$L$1)</f>
        <v/>
      </c>
      <c r="U5793" t="str">
        <f>IF(T5793='Analysis backend'!$L$1,IF(ISERROR(MATCH('Analysis backend'!$M$1,E5793:I5793,0)),"Dire","Radiant"),"")</f>
        <v/>
      </c>
    </row>
    <row r="5794" spans="20:21" x14ac:dyDescent="0.3">
      <c r="T5794" t="str">
        <f>IF(ISERROR(MATCH('Analysis backend'!$M$1,E5794:N5794,0)),"",'Analysis backend'!$L$1)</f>
        <v/>
      </c>
      <c r="U5794" t="str">
        <f>IF(T5794='Analysis backend'!$L$1,IF(ISERROR(MATCH('Analysis backend'!$M$1,E5794:I5794,0)),"Dire","Radiant"),"")</f>
        <v/>
      </c>
    </row>
    <row r="5795" spans="20:21" x14ac:dyDescent="0.3">
      <c r="T5795" t="str">
        <f>IF(ISERROR(MATCH('Analysis backend'!$M$1,E5795:N5795,0)),"",'Analysis backend'!$L$1)</f>
        <v/>
      </c>
      <c r="U5795" t="str">
        <f>IF(T5795='Analysis backend'!$L$1,IF(ISERROR(MATCH('Analysis backend'!$M$1,E5795:I5795,0)),"Dire","Radiant"),"")</f>
        <v/>
      </c>
    </row>
    <row r="5796" spans="20:21" x14ac:dyDescent="0.3">
      <c r="T5796" t="str">
        <f>IF(ISERROR(MATCH('Analysis backend'!$M$1,E5796:N5796,0)),"",'Analysis backend'!$L$1)</f>
        <v/>
      </c>
      <c r="U5796" t="str">
        <f>IF(T5796='Analysis backend'!$L$1,IF(ISERROR(MATCH('Analysis backend'!$M$1,E5796:I5796,0)),"Dire","Radiant"),"")</f>
        <v/>
      </c>
    </row>
    <row r="5797" spans="20:21" x14ac:dyDescent="0.3">
      <c r="T5797" t="str">
        <f>IF(ISERROR(MATCH('Analysis backend'!$M$1,E5797:N5797,0)),"",'Analysis backend'!$L$1)</f>
        <v/>
      </c>
      <c r="U5797" t="str">
        <f>IF(T5797='Analysis backend'!$L$1,IF(ISERROR(MATCH('Analysis backend'!$M$1,E5797:I5797,0)),"Dire","Radiant"),"")</f>
        <v/>
      </c>
    </row>
    <row r="5798" spans="20:21" x14ac:dyDescent="0.3">
      <c r="T5798" t="str">
        <f>IF(ISERROR(MATCH('Analysis backend'!$M$1,E5798:N5798,0)),"",'Analysis backend'!$L$1)</f>
        <v/>
      </c>
      <c r="U5798" t="str">
        <f>IF(T5798='Analysis backend'!$L$1,IF(ISERROR(MATCH('Analysis backend'!$M$1,E5798:I5798,0)),"Dire","Radiant"),"")</f>
        <v/>
      </c>
    </row>
    <row r="5799" spans="20:21" x14ac:dyDescent="0.3">
      <c r="T5799" t="str">
        <f>IF(ISERROR(MATCH('Analysis backend'!$M$1,E5799:N5799,0)),"",'Analysis backend'!$L$1)</f>
        <v/>
      </c>
      <c r="U5799" t="str">
        <f>IF(T5799='Analysis backend'!$L$1,IF(ISERROR(MATCH('Analysis backend'!$M$1,E5799:I5799,0)),"Dire","Radiant"),"")</f>
        <v/>
      </c>
    </row>
    <row r="5800" spans="20:21" x14ac:dyDescent="0.3">
      <c r="T5800" t="str">
        <f>IF(ISERROR(MATCH('Analysis backend'!$M$1,E5800:N5800,0)),"",'Analysis backend'!$L$1)</f>
        <v/>
      </c>
      <c r="U5800" t="str">
        <f>IF(T5800='Analysis backend'!$L$1,IF(ISERROR(MATCH('Analysis backend'!$M$1,E5800:I5800,0)),"Dire","Radiant"),"")</f>
        <v/>
      </c>
    </row>
    <row r="5801" spans="20:21" x14ac:dyDescent="0.3">
      <c r="T5801" t="str">
        <f>IF(ISERROR(MATCH('Analysis backend'!$M$1,E5801:N5801,0)),"",'Analysis backend'!$L$1)</f>
        <v/>
      </c>
      <c r="U5801" t="str">
        <f>IF(T5801='Analysis backend'!$L$1,IF(ISERROR(MATCH('Analysis backend'!$M$1,E5801:I5801,0)),"Dire","Radiant"),"")</f>
        <v/>
      </c>
    </row>
    <row r="5802" spans="20:21" x14ac:dyDescent="0.3">
      <c r="T5802" t="str">
        <f>IF(ISERROR(MATCH('Analysis backend'!$M$1,E5802:N5802,0)),"",'Analysis backend'!$L$1)</f>
        <v/>
      </c>
      <c r="U5802" t="str">
        <f>IF(T5802='Analysis backend'!$L$1,IF(ISERROR(MATCH('Analysis backend'!$M$1,E5802:I5802,0)),"Dire","Radiant"),"")</f>
        <v/>
      </c>
    </row>
    <row r="5803" spans="20:21" x14ac:dyDescent="0.3">
      <c r="T5803" t="str">
        <f>IF(ISERROR(MATCH('Analysis backend'!$M$1,E5803:N5803,0)),"",'Analysis backend'!$L$1)</f>
        <v/>
      </c>
      <c r="U5803" t="str">
        <f>IF(T5803='Analysis backend'!$L$1,IF(ISERROR(MATCH('Analysis backend'!$M$1,E5803:I5803,0)),"Dire","Radiant"),"")</f>
        <v/>
      </c>
    </row>
    <row r="5804" spans="20:21" x14ac:dyDescent="0.3">
      <c r="T5804" t="str">
        <f>IF(ISERROR(MATCH('Analysis backend'!$M$1,E5804:N5804,0)),"",'Analysis backend'!$L$1)</f>
        <v/>
      </c>
      <c r="U5804" t="str">
        <f>IF(T5804='Analysis backend'!$L$1,IF(ISERROR(MATCH('Analysis backend'!$M$1,E5804:I5804,0)),"Dire","Radiant"),"")</f>
        <v/>
      </c>
    </row>
    <row r="5805" spans="20:21" x14ac:dyDescent="0.3">
      <c r="T5805" t="str">
        <f>IF(ISERROR(MATCH('Analysis backend'!$M$1,E5805:N5805,0)),"",'Analysis backend'!$L$1)</f>
        <v/>
      </c>
      <c r="U5805" t="str">
        <f>IF(T5805='Analysis backend'!$L$1,IF(ISERROR(MATCH('Analysis backend'!$M$1,E5805:I5805,0)),"Dire","Radiant"),"")</f>
        <v/>
      </c>
    </row>
    <row r="5806" spans="20:21" x14ac:dyDescent="0.3">
      <c r="T5806" t="str">
        <f>IF(ISERROR(MATCH('Analysis backend'!$M$1,E5806:N5806,0)),"",'Analysis backend'!$L$1)</f>
        <v/>
      </c>
      <c r="U5806" t="str">
        <f>IF(T5806='Analysis backend'!$L$1,IF(ISERROR(MATCH('Analysis backend'!$M$1,E5806:I5806,0)),"Dire","Radiant"),"")</f>
        <v/>
      </c>
    </row>
    <row r="5807" spans="20:21" x14ac:dyDescent="0.3">
      <c r="T5807" t="str">
        <f>IF(ISERROR(MATCH('Analysis backend'!$M$1,E5807:N5807,0)),"",'Analysis backend'!$L$1)</f>
        <v/>
      </c>
      <c r="U5807" t="str">
        <f>IF(T5807='Analysis backend'!$L$1,IF(ISERROR(MATCH('Analysis backend'!$M$1,E5807:I5807,0)),"Dire","Radiant"),"")</f>
        <v/>
      </c>
    </row>
    <row r="5808" spans="20:21" x14ac:dyDescent="0.3">
      <c r="T5808" t="str">
        <f>IF(ISERROR(MATCH('Analysis backend'!$M$1,E5808:N5808,0)),"",'Analysis backend'!$L$1)</f>
        <v/>
      </c>
      <c r="U5808" t="str">
        <f>IF(T5808='Analysis backend'!$L$1,IF(ISERROR(MATCH('Analysis backend'!$M$1,E5808:I5808,0)),"Dire","Radiant"),"")</f>
        <v/>
      </c>
    </row>
    <row r="5809" spans="20:21" x14ac:dyDescent="0.3">
      <c r="T5809" t="str">
        <f>IF(ISERROR(MATCH('Analysis backend'!$M$1,E5809:N5809,0)),"",'Analysis backend'!$L$1)</f>
        <v/>
      </c>
      <c r="U5809" t="str">
        <f>IF(T5809='Analysis backend'!$L$1,IF(ISERROR(MATCH('Analysis backend'!$M$1,E5809:I5809,0)),"Dire","Radiant"),"")</f>
        <v/>
      </c>
    </row>
    <row r="5810" spans="20:21" x14ac:dyDescent="0.3">
      <c r="T5810" t="str">
        <f>IF(ISERROR(MATCH('Analysis backend'!$M$1,E5810:N5810,0)),"",'Analysis backend'!$L$1)</f>
        <v/>
      </c>
      <c r="U5810" t="str">
        <f>IF(T5810='Analysis backend'!$L$1,IF(ISERROR(MATCH('Analysis backend'!$M$1,E5810:I5810,0)),"Dire","Radiant"),"")</f>
        <v/>
      </c>
    </row>
    <row r="5811" spans="20:21" x14ac:dyDescent="0.3">
      <c r="T5811" t="str">
        <f>IF(ISERROR(MATCH('Analysis backend'!$M$1,E5811:N5811,0)),"",'Analysis backend'!$L$1)</f>
        <v/>
      </c>
      <c r="U5811" t="str">
        <f>IF(T5811='Analysis backend'!$L$1,IF(ISERROR(MATCH('Analysis backend'!$M$1,E5811:I5811,0)),"Dire","Radiant"),"")</f>
        <v/>
      </c>
    </row>
    <row r="5812" spans="20:21" x14ac:dyDescent="0.3">
      <c r="T5812" t="str">
        <f>IF(ISERROR(MATCH('Analysis backend'!$M$1,E5812:N5812,0)),"",'Analysis backend'!$L$1)</f>
        <v/>
      </c>
      <c r="U5812" t="str">
        <f>IF(T5812='Analysis backend'!$L$1,IF(ISERROR(MATCH('Analysis backend'!$M$1,E5812:I5812,0)),"Dire","Radiant"),"")</f>
        <v/>
      </c>
    </row>
    <row r="5813" spans="20:21" x14ac:dyDescent="0.3">
      <c r="T5813" t="str">
        <f>IF(ISERROR(MATCH('Analysis backend'!$M$1,E5813:N5813,0)),"",'Analysis backend'!$L$1)</f>
        <v/>
      </c>
      <c r="U5813" t="str">
        <f>IF(T5813='Analysis backend'!$L$1,IF(ISERROR(MATCH('Analysis backend'!$M$1,E5813:I5813,0)),"Dire","Radiant"),"")</f>
        <v/>
      </c>
    </row>
    <row r="5814" spans="20:21" x14ac:dyDescent="0.3">
      <c r="T5814" t="str">
        <f>IF(ISERROR(MATCH('Analysis backend'!$M$1,E5814:N5814,0)),"",'Analysis backend'!$L$1)</f>
        <v/>
      </c>
      <c r="U5814" t="str">
        <f>IF(T5814='Analysis backend'!$L$1,IF(ISERROR(MATCH('Analysis backend'!$M$1,E5814:I5814,0)),"Dire","Radiant"),"")</f>
        <v/>
      </c>
    </row>
    <row r="5815" spans="20:21" x14ac:dyDescent="0.3">
      <c r="T5815" t="str">
        <f>IF(ISERROR(MATCH('Analysis backend'!$M$1,E5815:N5815,0)),"",'Analysis backend'!$L$1)</f>
        <v/>
      </c>
      <c r="U5815" t="str">
        <f>IF(T5815='Analysis backend'!$L$1,IF(ISERROR(MATCH('Analysis backend'!$M$1,E5815:I5815,0)),"Dire","Radiant"),"")</f>
        <v/>
      </c>
    </row>
    <row r="5816" spans="20:21" x14ac:dyDescent="0.3">
      <c r="T5816" t="str">
        <f>IF(ISERROR(MATCH('Analysis backend'!$M$1,E5816:N5816,0)),"",'Analysis backend'!$L$1)</f>
        <v/>
      </c>
      <c r="U5816" t="str">
        <f>IF(T5816='Analysis backend'!$L$1,IF(ISERROR(MATCH('Analysis backend'!$M$1,E5816:I5816,0)),"Dire","Radiant"),"")</f>
        <v/>
      </c>
    </row>
    <row r="5817" spans="20:21" x14ac:dyDescent="0.3">
      <c r="T5817" t="str">
        <f>IF(ISERROR(MATCH('Analysis backend'!$M$1,E5817:N5817,0)),"",'Analysis backend'!$L$1)</f>
        <v/>
      </c>
      <c r="U5817" t="str">
        <f>IF(T5817='Analysis backend'!$L$1,IF(ISERROR(MATCH('Analysis backend'!$M$1,E5817:I5817,0)),"Dire","Radiant"),"")</f>
        <v/>
      </c>
    </row>
    <row r="5818" spans="20:21" x14ac:dyDescent="0.3">
      <c r="T5818" t="str">
        <f>IF(ISERROR(MATCH('Analysis backend'!$M$1,E5818:N5818,0)),"",'Analysis backend'!$L$1)</f>
        <v/>
      </c>
      <c r="U5818" t="str">
        <f>IF(T5818='Analysis backend'!$L$1,IF(ISERROR(MATCH('Analysis backend'!$M$1,E5818:I5818,0)),"Dire","Radiant"),"")</f>
        <v/>
      </c>
    </row>
    <row r="5819" spans="20:21" x14ac:dyDescent="0.3">
      <c r="T5819" t="str">
        <f>IF(ISERROR(MATCH('Analysis backend'!$M$1,E5819:N5819,0)),"",'Analysis backend'!$L$1)</f>
        <v/>
      </c>
      <c r="U5819" t="str">
        <f>IF(T5819='Analysis backend'!$L$1,IF(ISERROR(MATCH('Analysis backend'!$M$1,E5819:I5819,0)),"Dire","Radiant"),"")</f>
        <v/>
      </c>
    </row>
    <row r="5820" spans="20:21" x14ac:dyDescent="0.3">
      <c r="T5820" t="str">
        <f>IF(ISERROR(MATCH('Analysis backend'!$M$1,E5820:N5820,0)),"",'Analysis backend'!$L$1)</f>
        <v/>
      </c>
      <c r="U5820" t="str">
        <f>IF(T5820='Analysis backend'!$L$1,IF(ISERROR(MATCH('Analysis backend'!$M$1,E5820:I5820,0)),"Dire","Radiant"),"")</f>
        <v/>
      </c>
    </row>
    <row r="5821" spans="20:21" x14ac:dyDescent="0.3">
      <c r="T5821" t="str">
        <f>IF(ISERROR(MATCH('Analysis backend'!$M$1,E5821:N5821,0)),"",'Analysis backend'!$L$1)</f>
        <v/>
      </c>
      <c r="U5821" t="str">
        <f>IF(T5821='Analysis backend'!$L$1,IF(ISERROR(MATCH('Analysis backend'!$M$1,E5821:I5821,0)),"Dire","Radiant"),"")</f>
        <v/>
      </c>
    </row>
    <row r="5822" spans="20:21" x14ac:dyDescent="0.3">
      <c r="T5822" t="str">
        <f>IF(ISERROR(MATCH('Analysis backend'!$M$1,E5822:N5822,0)),"",'Analysis backend'!$L$1)</f>
        <v/>
      </c>
      <c r="U5822" t="str">
        <f>IF(T5822='Analysis backend'!$L$1,IF(ISERROR(MATCH('Analysis backend'!$M$1,E5822:I5822,0)),"Dire","Radiant"),"")</f>
        <v/>
      </c>
    </row>
    <row r="5823" spans="20:21" x14ac:dyDescent="0.3">
      <c r="T5823" t="str">
        <f>IF(ISERROR(MATCH('Analysis backend'!$M$1,E5823:N5823,0)),"",'Analysis backend'!$L$1)</f>
        <v/>
      </c>
      <c r="U5823" t="str">
        <f>IF(T5823='Analysis backend'!$L$1,IF(ISERROR(MATCH('Analysis backend'!$M$1,E5823:I5823,0)),"Dire","Radiant"),"")</f>
        <v/>
      </c>
    </row>
    <row r="5824" spans="20:21" x14ac:dyDescent="0.3">
      <c r="T5824" t="str">
        <f>IF(ISERROR(MATCH('Analysis backend'!$M$1,E5824:N5824,0)),"",'Analysis backend'!$L$1)</f>
        <v/>
      </c>
      <c r="U5824" t="str">
        <f>IF(T5824='Analysis backend'!$L$1,IF(ISERROR(MATCH('Analysis backend'!$M$1,E5824:I5824,0)),"Dire","Radiant"),"")</f>
        <v/>
      </c>
    </row>
    <row r="5825" spans="20:21" x14ac:dyDescent="0.3">
      <c r="T5825" t="str">
        <f>IF(ISERROR(MATCH('Analysis backend'!$M$1,E5825:N5825,0)),"",'Analysis backend'!$L$1)</f>
        <v/>
      </c>
      <c r="U5825" t="str">
        <f>IF(T5825='Analysis backend'!$L$1,IF(ISERROR(MATCH('Analysis backend'!$M$1,E5825:I5825,0)),"Dire","Radiant"),"")</f>
        <v/>
      </c>
    </row>
    <row r="5826" spans="20:21" x14ac:dyDescent="0.3">
      <c r="T5826" t="str">
        <f>IF(ISERROR(MATCH('Analysis backend'!$M$1,E5826:N5826,0)),"",'Analysis backend'!$L$1)</f>
        <v/>
      </c>
      <c r="U5826" t="str">
        <f>IF(T5826='Analysis backend'!$L$1,IF(ISERROR(MATCH('Analysis backend'!$M$1,E5826:I5826,0)),"Dire","Radiant"),"")</f>
        <v/>
      </c>
    </row>
    <row r="5827" spans="20:21" x14ac:dyDescent="0.3">
      <c r="T5827" t="str">
        <f>IF(ISERROR(MATCH('Analysis backend'!$M$1,E5827:N5827,0)),"",'Analysis backend'!$L$1)</f>
        <v/>
      </c>
      <c r="U5827" t="str">
        <f>IF(T5827='Analysis backend'!$L$1,IF(ISERROR(MATCH('Analysis backend'!$M$1,E5827:I5827,0)),"Dire","Radiant"),"")</f>
        <v/>
      </c>
    </row>
    <row r="5828" spans="20:21" x14ac:dyDescent="0.3">
      <c r="T5828" t="str">
        <f>IF(ISERROR(MATCH('Analysis backend'!$M$1,E5828:N5828,0)),"",'Analysis backend'!$L$1)</f>
        <v/>
      </c>
      <c r="U5828" t="str">
        <f>IF(T5828='Analysis backend'!$L$1,IF(ISERROR(MATCH('Analysis backend'!$M$1,E5828:I5828,0)),"Dire","Radiant"),"")</f>
        <v/>
      </c>
    </row>
    <row r="5829" spans="20:21" x14ac:dyDescent="0.3">
      <c r="T5829" t="str">
        <f>IF(ISERROR(MATCH('Analysis backend'!$M$1,E5829:N5829,0)),"",'Analysis backend'!$L$1)</f>
        <v/>
      </c>
      <c r="U5829" t="str">
        <f>IF(T5829='Analysis backend'!$L$1,IF(ISERROR(MATCH('Analysis backend'!$M$1,E5829:I5829,0)),"Dire","Radiant"),"")</f>
        <v/>
      </c>
    </row>
    <row r="5830" spans="20:21" x14ac:dyDescent="0.3">
      <c r="T5830" t="str">
        <f>IF(ISERROR(MATCH('Analysis backend'!$M$1,E5830:N5830,0)),"",'Analysis backend'!$L$1)</f>
        <v/>
      </c>
      <c r="U5830" t="str">
        <f>IF(T5830='Analysis backend'!$L$1,IF(ISERROR(MATCH('Analysis backend'!$M$1,E5830:I5830,0)),"Dire","Radiant"),"")</f>
        <v/>
      </c>
    </row>
    <row r="5831" spans="20:21" x14ac:dyDescent="0.3">
      <c r="T5831" t="str">
        <f>IF(ISERROR(MATCH('Analysis backend'!$M$1,E5831:N5831,0)),"",'Analysis backend'!$L$1)</f>
        <v/>
      </c>
      <c r="U5831" t="str">
        <f>IF(T5831='Analysis backend'!$L$1,IF(ISERROR(MATCH('Analysis backend'!$M$1,E5831:I5831,0)),"Dire","Radiant"),"")</f>
        <v/>
      </c>
    </row>
    <row r="5832" spans="20:21" x14ac:dyDescent="0.3">
      <c r="T5832" t="str">
        <f>IF(ISERROR(MATCH('Analysis backend'!$M$1,E5832:N5832,0)),"",'Analysis backend'!$L$1)</f>
        <v/>
      </c>
      <c r="U5832" t="str">
        <f>IF(T5832='Analysis backend'!$L$1,IF(ISERROR(MATCH('Analysis backend'!$M$1,E5832:I5832,0)),"Dire","Radiant"),"")</f>
        <v/>
      </c>
    </row>
    <row r="5833" spans="20:21" x14ac:dyDescent="0.3">
      <c r="T5833" t="str">
        <f>IF(ISERROR(MATCH('Analysis backend'!$M$1,E5833:N5833,0)),"",'Analysis backend'!$L$1)</f>
        <v/>
      </c>
      <c r="U5833" t="str">
        <f>IF(T5833='Analysis backend'!$L$1,IF(ISERROR(MATCH('Analysis backend'!$M$1,E5833:I5833,0)),"Dire","Radiant"),"")</f>
        <v/>
      </c>
    </row>
    <row r="5834" spans="20:21" x14ac:dyDescent="0.3">
      <c r="T5834" t="str">
        <f>IF(ISERROR(MATCH('Analysis backend'!$M$1,E5834:N5834,0)),"",'Analysis backend'!$L$1)</f>
        <v/>
      </c>
      <c r="U5834" t="str">
        <f>IF(T5834='Analysis backend'!$L$1,IF(ISERROR(MATCH('Analysis backend'!$M$1,E5834:I5834,0)),"Dire","Radiant"),"")</f>
        <v/>
      </c>
    </row>
    <row r="5835" spans="20:21" x14ac:dyDescent="0.3">
      <c r="T5835" t="str">
        <f>IF(ISERROR(MATCH('Analysis backend'!$M$1,E5835:N5835,0)),"",'Analysis backend'!$L$1)</f>
        <v/>
      </c>
      <c r="U5835" t="str">
        <f>IF(T5835='Analysis backend'!$L$1,IF(ISERROR(MATCH('Analysis backend'!$M$1,E5835:I5835,0)),"Dire","Radiant"),"")</f>
        <v/>
      </c>
    </row>
    <row r="5836" spans="20:21" x14ac:dyDescent="0.3">
      <c r="T5836" t="str">
        <f>IF(ISERROR(MATCH('Analysis backend'!$M$1,E5836:N5836,0)),"",'Analysis backend'!$L$1)</f>
        <v/>
      </c>
      <c r="U5836" t="str">
        <f>IF(T5836='Analysis backend'!$L$1,IF(ISERROR(MATCH('Analysis backend'!$M$1,E5836:I5836,0)),"Dire","Radiant"),"")</f>
        <v/>
      </c>
    </row>
    <row r="5837" spans="20:21" x14ac:dyDescent="0.3">
      <c r="T5837" t="str">
        <f>IF(ISERROR(MATCH('Analysis backend'!$M$1,E5837:N5837,0)),"",'Analysis backend'!$L$1)</f>
        <v/>
      </c>
      <c r="U5837" t="str">
        <f>IF(T5837='Analysis backend'!$L$1,IF(ISERROR(MATCH('Analysis backend'!$M$1,E5837:I5837,0)),"Dire","Radiant"),"")</f>
        <v/>
      </c>
    </row>
    <row r="5838" spans="20:21" x14ac:dyDescent="0.3">
      <c r="T5838" t="str">
        <f>IF(ISERROR(MATCH('Analysis backend'!$M$1,E5838:N5838,0)),"",'Analysis backend'!$L$1)</f>
        <v/>
      </c>
      <c r="U5838" t="str">
        <f>IF(T5838='Analysis backend'!$L$1,IF(ISERROR(MATCH('Analysis backend'!$M$1,E5838:I5838,0)),"Dire","Radiant"),"")</f>
        <v/>
      </c>
    </row>
    <row r="5839" spans="20:21" x14ac:dyDescent="0.3">
      <c r="T5839" t="str">
        <f>IF(ISERROR(MATCH('Analysis backend'!$M$1,E5839:N5839,0)),"",'Analysis backend'!$L$1)</f>
        <v/>
      </c>
      <c r="U5839" t="str">
        <f>IF(T5839='Analysis backend'!$L$1,IF(ISERROR(MATCH('Analysis backend'!$M$1,E5839:I5839,0)),"Dire","Radiant"),"")</f>
        <v/>
      </c>
    </row>
    <row r="5840" spans="20:21" x14ac:dyDescent="0.3">
      <c r="T5840" t="str">
        <f>IF(ISERROR(MATCH('Analysis backend'!$M$1,E5840:N5840,0)),"",'Analysis backend'!$L$1)</f>
        <v/>
      </c>
      <c r="U5840" t="str">
        <f>IF(T5840='Analysis backend'!$L$1,IF(ISERROR(MATCH('Analysis backend'!$M$1,E5840:I5840,0)),"Dire","Radiant"),"")</f>
        <v/>
      </c>
    </row>
    <row r="5841" spans="20:21" x14ac:dyDescent="0.3">
      <c r="T5841" t="str">
        <f>IF(ISERROR(MATCH('Analysis backend'!$M$1,E5841:N5841,0)),"",'Analysis backend'!$L$1)</f>
        <v/>
      </c>
      <c r="U5841" t="str">
        <f>IF(T5841='Analysis backend'!$L$1,IF(ISERROR(MATCH('Analysis backend'!$M$1,E5841:I5841,0)),"Dire","Radiant"),"")</f>
        <v/>
      </c>
    </row>
    <row r="5842" spans="20:21" x14ac:dyDescent="0.3">
      <c r="T5842" t="str">
        <f>IF(ISERROR(MATCH('Analysis backend'!$M$1,E5842:N5842,0)),"",'Analysis backend'!$L$1)</f>
        <v/>
      </c>
      <c r="U5842" t="str">
        <f>IF(T5842='Analysis backend'!$L$1,IF(ISERROR(MATCH('Analysis backend'!$M$1,E5842:I5842,0)),"Dire","Radiant"),"")</f>
        <v/>
      </c>
    </row>
    <row r="5843" spans="20:21" x14ac:dyDescent="0.3">
      <c r="T5843" t="str">
        <f>IF(ISERROR(MATCH('Analysis backend'!$M$1,E5843:N5843,0)),"",'Analysis backend'!$L$1)</f>
        <v/>
      </c>
      <c r="U5843" t="str">
        <f>IF(T5843='Analysis backend'!$L$1,IF(ISERROR(MATCH('Analysis backend'!$M$1,E5843:I5843,0)),"Dire","Radiant"),"")</f>
        <v/>
      </c>
    </row>
    <row r="5844" spans="20:21" x14ac:dyDescent="0.3">
      <c r="T5844" t="str">
        <f>IF(ISERROR(MATCH('Analysis backend'!$M$1,E5844:N5844,0)),"",'Analysis backend'!$L$1)</f>
        <v/>
      </c>
      <c r="U5844" t="str">
        <f>IF(T5844='Analysis backend'!$L$1,IF(ISERROR(MATCH('Analysis backend'!$M$1,E5844:I5844,0)),"Dire","Radiant"),"")</f>
        <v/>
      </c>
    </row>
    <row r="5845" spans="20:21" x14ac:dyDescent="0.3">
      <c r="T5845" t="str">
        <f>IF(ISERROR(MATCH('Analysis backend'!$M$1,E5845:N5845,0)),"",'Analysis backend'!$L$1)</f>
        <v/>
      </c>
      <c r="U5845" t="str">
        <f>IF(T5845='Analysis backend'!$L$1,IF(ISERROR(MATCH('Analysis backend'!$M$1,E5845:I5845,0)),"Dire","Radiant"),"")</f>
        <v/>
      </c>
    </row>
    <row r="5846" spans="20:21" x14ac:dyDescent="0.3">
      <c r="T5846" t="str">
        <f>IF(ISERROR(MATCH('Analysis backend'!$M$1,E5846:N5846,0)),"",'Analysis backend'!$L$1)</f>
        <v/>
      </c>
      <c r="U5846" t="str">
        <f>IF(T5846='Analysis backend'!$L$1,IF(ISERROR(MATCH('Analysis backend'!$M$1,E5846:I5846,0)),"Dire","Radiant"),"")</f>
        <v/>
      </c>
    </row>
    <row r="5847" spans="20:21" x14ac:dyDescent="0.3">
      <c r="T5847" t="str">
        <f>IF(ISERROR(MATCH('Analysis backend'!$M$1,E5847:N5847,0)),"",'Analysis backend'!$L$1)</f>
        <v/>
      </c>
      <c r="U5847" t="str">
        <f>IF(T5847='Analysis backend'!$L$1,IF(ISERROR(MATCH('Analysis backend'!$M$1,E5847:I5847,0)),"Dire","Radiant"),"")</f>
        <v/>
      </c>
    </row>
    <row r="5848" spans="20:21" x14ac:dyDescent="0.3">
      <c r="T5848" t="str">
        <f>IF(ISERROR(MATCH('Analysis backend'!$M$1,E5848:N5848,0)),"",'Analysis backend'!$L$1)</f>
        <v/>
      </c>
      <c r="U5848" t="str">
        <f>IF(T5848='Analysis backend'!$L$1,IF(ISERROR(MATCH('Analysis backend'!$M$1,E5848:I5848,0)),"Dire","Radiant"),"")</f>
        <v/>
      </c>
    </row>
    <row r="5849" spans="20:21" x14ac:dyDescent="0.3">
      <c r="T5849" t="str">
        <f>IF(ISERROR(MATCH('Analysis backend'!$M$1,E5849:N5849,0)),"",'Analysis backend'!$L$1)</f>
        <v/>
      </c>
      <c r="U5849" t="str">
        <f>IF(T5849='Analysis backend'!$L$1,IF(ISERROR(MATCH('Analysis backend'!$M$1,E5849:I5849,0)),"Dire","Radiant"),"")</f>
        <v/>
      </c>
    </row>
    <row r="5850" spans="20:21" x14ac:dyDescent="0.3">
      <c r="T5850" t="str">
        <f>IF(ISERROR(MATCH('Analysis backend'!$M$1,E5850:N5850,0)),"",'Analysis backend'!$L$1)</f>
        <v/>
      </c>
      <c r="U5850" t="str">
        <f>IF(T5850='Analysis backend'!$L$1,IF(ISERROR(MATCH('Analysis backend'!$M$1,E5850:I5850,0)),"Dire","Radiant"),"")</f>
        <v/>
      </c>
    </row>
    <row r="5851" spans="20:21" x14ac:dyDescent="0.3">
      <c r="T5851" t="str">
        <f>IF(ISERROR(MATCH('Analysis backend'!$M$1,E5851:N5851,0)),"",'Analysis backend'!$L$1)</f>
        <v/>
      </c>
      <c r="U5851" t="str">
        <f>IF(T5851='Analysis backend'!$L$1,IF(ISERROR(MATCH('Analysis backend'!$M$1,E5851:I5851,0)),"Dire","Radiant"),"")</f>
        <v/>
      </c>
    </row>
    <row r="5852" spans="20:21" x14ac:dyDescent="0.3">
      <c r="T5852" t="str">
        <f>IF(ISERROR(MATCH('Analysis backend'!$M$1,E5852:N5852,0)),"",'Analysis backend'!$L$1)</f>
        <v/>
      </c>
      <c r="U5852" t="str">
        <f>IF(T5852='Analysis backend'!$L$1,IF(ISERROR(MATCH('Analysis backend'!$M$1,E5852:I5852,0)),"Dire","Radiant"),"")</f>
        <v/>
      </c>
    </row>
    <row r="5853" spans="20:21" x14ac:dyDescent="0.3">
      <c r="T5853" t="str">
        <f>IF(ISERROR(MATCH('Analysis backend'!$M$1,E5853:N5853,0)),"",'Analysis backend'!$L$1)</f>
        <v/>
      </c>
      <c r="U5853" t="str">
        <f>IF(T5853='Analysis backend'!$L$1,IF(ISERROR(MATCH('Analysis backend'!$M$1,E5853:I5853,0)),"Dire","Radiant"),"")</f>
        <v/>
      </c>
    </row>
    <row r="5854" spans="20:21" x14ac:dyDescent="0.3">
      <c r="T5854" t="str">
        <f>IF(ISERROR(MATCH('Analysis backend'!$M$1,E5854:N5854,0)),"",'Analysis backend'!$L$1)</f>
        <v/>
      </c>
      <c r="U5854" t="str">
        <f>IF(T5854='Analysis backend'!$L$1,IF(ISERROR(MATCH('Analysis backend'!$M$1,E5854:I5854,0)),"Dire","Radiant"),"")</f>
        <v/>
      </c>
    </row>
    <row r="5855" spans="20:21" x14ac:dyDescent="0.3">
      <c r="T5855" t="str">
        <f>IF(ISERROR(MATCH('Analysis backend'!$M$1,E5855:N5855,0)),"",'Analysis backend'!$L$1)</f>
        <v/>
      </c>
      <c r="U5855" t="str">
        <f>IF(T5855='Analysis backend'!$L$1,IF(ISERROR(MATCH('Analysis backend'!$M$1,E5855:I5855,0)),"Dire","Radiant"),"")</f>
        <v/>
      </c>
    </row>
    <row r="5856" spans="20:21" x14ac:dyDescent="0.3">
      <c r="T5856" t="str">
        <f>IF(ISERROR(MATCH('Analysis backend'!$M$1,E5856:N5856,0)),"",'Analysis backend'!$L$1)</f>
        <v/>
      </c>
      <c r="U5856" t="str">
        <f>IF(T5856='Analysis backend'!$L$1,IF(ISERROR(MATCH('Analysis backend'!$M$1,E5856:I5856,0)),"Dire","Radiant"),"")</f>
        <v/>
      </c>
    </row>
    <row r="5857" spans="20:21" x14ac:dyDescent="0.3">
      <c r="T5857" t="str">
        <f>IF(ISERROR(MATCH('Analysis backend'!$M$1,E5857:N5857,0)),"",'Analysis backend'!$L$1)</f>
        <v/>
      </c>
      <c r="U5857" t="str">
        <f>IF(T5857='Analysis backend'!$L$1,IF(ISERROR(MATCH('Analysis backend'!$M$1,E5857:I5857,0)),"Dire","Radiant"),"")</f>
        <v/>
      </c>
    </row>
    <row r="5858" spans="20:21" x14ac:dyDescent="0.3">
      <c r="T5858" t="str">
        <f>IF(ISERROR(MATCH('Analysis backend'!$M$1,E5858:N5858,0)),"",'Analysis backend'!$L$1)</f>
        <v/>
      </c>
      <c r="U5858" t="str">
        <f>IF(T5858='Analysis backend'!$L$1,IF(ISERROR(MATCH('Analysis backend'!$M$1,E5858:I5858,0)),"Dire","Radiant"),"")</f>
        <v/>
      </c>
    </row>
    <row r="5859" spans="20:21" x14ac:dyDescent="0.3">
      <c r="T5859" t="str">
        <f>IF(ISERROR(MATCH('Analysis backend'!$M$1,E5859:N5859,0)),"",'Analysis backend'!$L$1)</f>
        <v/>
      </c>
      <c r="U5859" t="str">
        <f>IF(T5859='Analysis backend'!$L$1,IF(ISERROR(MATCH('Analysis backend'!$M$1,E5859:I5859,0)),"Dire","Radiant"),"")</f>
        <v/>
      </c>
    </row>
    <row r="5860" spans="20:21" x14ac:dyDescent="0.3">
      <c r="T5860" t="str">
        <f>IF(ISERROR(MATCH('Analysis backend'!$M$1,E5860:N5860,0)),"",'Analysis backend'!$L$1)</f>
        <v/>
      </c>
      <c r="U5860" t="str">
        <f>IF(T5860='Analysis backend'!$L$1,IF(ISERROR(MATCH('Analysis backend'!$M$1,E5860:I5860,0)),"Dire","Radiant"),"")</f>
        <v/>
      </c>
    </row>
    <row r="5861" spans="20:21" x14ac:dyDescent="0.3">
      <c r="T5861" t="str">
        <f>IF(ISERROR(MATCH('Analysis backend'!$M$1,E5861:N5861,0)),"",'Analysis backend'!$L$1)</f>
        <v/>
      </c>
      <c r="U5861" t="str">
        <f>IF(T5861='Analysis backend'!$L$1,IF(ISERROR(MATCH('Analysis backend'!$M$1,E5861:I5861,0)),"Dire","Radiant"),"")</f>
        <v/>
      </c>
    </row>
    <row r="5862" spans="20:21" x14ac:dyDescent="0.3">
      <c r="T5862" t="str">
        <f>IF(ISERROR(MATCH('Analysis backend'!$M$1,E5862:N5862,0)),"",'Analysis backend'!$L$1)</f>
        <v/>
      </c>
      <c r="U5862" t="str">
        <f>IF(T5862='Analysis backend'!$L$1,IF(ISERROR(MATCH('Analysis backend'!$M$1,E5862:I5862,0)),"Dire","Radiant"),"")</f>
        <v/>
      </c>
    </row>
    <row r="5863" spans="20:21" x14ac:dyDescent="0.3">
      <c r="T5863" t="str">
        <f>IF(ISERROR(MATCH('Analysis backend'!$M$1,E5863:N5863,0)),"",'Analysis backend'!$L$1)</f>
        <v/>
      </c>
      <c r="U5863" t="str">
        <f>IF(T5863='Analysis backend'!$L$1,IF(ISERROR(MATCH('Analysis backend'!$M$1,E5863:I5863,0)),"Dire","Radiant"),"")</f>
        <v/>
      </c>
    </row>
    <row r="5864" spans="20:21" x14ac:dyDescent="0.3">
      <c r="T5864" t="str">
        <f>IF(ISERROR(MATCH('Analysis backend'!$M$1,E5864:N5864,0)),"",'Analysis backend'!$L$1)</f>
        <v/>
      </c>
      <c r="U5864" t="str">
        <f>IF(T5864='Analysis backend'!$L$1,IF(ISERROR(MATCH('Analysis backend'!$M$1,E5864:I5864,0)),"Dire","Radiant"),"")</f>
        <v/>
      </c>
    </row>
    <row r="5865" spans="20:21" x14ac:dyDescent="0.3">
      <c r="T5865" t="str">
        <f>IF(ISERROR(MATCH('Analysis backend'!$M$1,E5865:N5865,0)),"",'Analysis backend'!$L$1)</f>
        <v/>
      </c>
      <c r="U5865" t="str">
        <f>IF(T5865='Analysis backend'!$L$1,IF(ISERROR(MATCH('Analysis backend'!$M$1,E5865:I5865,0)),"Dire","Radiant"),"")</f>
        <v/>
      </c>
    </row>
    <row r="5866" spans="20:21" x14ac:dyDescent="0.3">
      <c r="T5866" t="str">
        <f>IF(ISERROR(MATCH('Analysis backend'!$M$1,E5866:N5866,0)),"",'Analysis backend'!$L$1)</f>
        <v/>
      </c>
      <c r="U5866" t="str">
        <f>IF(T5866='Analysis backend'!$L$1,IF(ISERROR(MATCH('Analysis backend'!$M$1,E5866:I5866,0)),"Dire","Radiant"),"")</f>
        <v/>
      </c>
    </row>
    <row r="5867" spans="20:21" x14ac:dyDescent="0.3">
      <c r="T5867" t="str">
        <f>IF(ISERROR(MATCH('Analysis backend'!$M$1,E5867:N5867,0)),"",'Analysis backend'!$L$1)</f>
        <v/>
      </c>
      <c r="U5867" t="str">
        <f>IF(T5867='Analysis backend'!$L$1,IF(ISERROR(MATCH('Analysis backend'!$M$1,E5867:I5867,0)),"Dire","Radiant"),"")</f>
        <v/>
      </c>
    </row>
    <row r="5868" spans="20:21" x14ac:dyDescent="0.3">
      <c r="T5868" t="str">
        <f>IF(ISERROR(MATCH('Analysis backend'!$M$1,E5868:N5868,0)),"",'Analysis backend'!$L$1)</f>
        <v/>
      </c>
      <c r="U5868" t="str">
        <f>IF(T5868='Analysis backend'!$L$1,IF(ISERROR(MATCH('Analysis backend'!$M$1,E5868:I5868,0)),"Dire","Radiant"),"")</f>
        <v/>
      </c>
    </row>
    <row r="5869" spans="20:21" x14ac:dyDescent="0.3">
      <c r="T5869" t="str">
        <f>IF(ISERROR(MATCH('Analysis backend'!$M$1,E5869:N5869,0)),"",'Analysis backend'!$L$1)</f>
        <v/>
      </c>
      <c r="U5869" t="str">
        <f>IF(T5869='Analysis backend'!$L$1,IF(ISERROR(MATCH('Analysis backend'!$M$1,E5869:I5869,0)),"Dire","Radiant"),"")</f>
        <v/>
      </c>
    </row>
    <row r="5870" spans="20:21" x14ac:dyDescent="0.3">
      <c r="T5870" t="str">
        <f>IF(ISERROR(MATCH('Analysis backend'!$M$1,E5870:N5870,0)),"",'Analysis backend'!$L$1)</f>
        <v/>
      </c>
      <c r="U5870" t="str">
        <f>IF(T5870='Analysis backend'!$L$1,IF(ISERROR(MATCH('Analysis backend'!$M$1,E5870:I5870,0)),"Dire","Radiant"),"")</f>
        <v/>
      </c>
    </row>
    <row r="5871" spans="20:21" x14ac:dyDescent="0.3">
      <c r="T5871" t="str">
        <f>IF(ISERROR(MATCH('Analysis backend'!$M$1,E5871:N5871,0)),"",'Analysis backend'!$L$1)</f>
        <v/>
      </c>
      <c r="U5871" t="str">
        <f>IF(T5871='Analysis backend'!$L$1,IF(ISERROR(MATCH('Analysis backend'!$M$1,E5871:I5871,0)),"Dire","Radiant"),"")</f>
        <v/>
      </c>
    </row>
    <row r="5872" spans="20:21" x14ac:dyDescent="0.3">
      <c r="T5872" t="str">
        <f>IF(ISERROR(MATCH('Analysis backend'!$M$1,E5872:N5872,0)),"",'Analysis backend'!$L$1)</f>
        <v/>
      </c>
      <c r="U5872" t="str">
        <f>IF(T5872='Analysis backend'!$L$1,IF(ISERROR(MATCH('Analysis backend'!$M$1,E5872:I5872,0)),"Dire","Radiant"),"")</f>
        <v/>
      </c>
    </row>
    <row r="5873" spans="20:21" x14ac:dyDescent="0.3">
      <c r="T5873" t="str">
        <f>IF(ISERROR(MATCH('Analysis backend'!$M$1,E5873:N5873,0)),"",'Analysis backend'!$L$1)</f>
        <v/>
      </c>
      <c r="U5873" t="str">
        <f>IF(T5873='Analysis backend'!$L$1,IF(ISERROR(MATCH('Analysis backend'!$M$1,E5873:I5873,0)),"Dire","Radiant"),"")</f>
        <v/>
      </c>
    </row>
    <row r="5874" spans="20:21" x14ac:dyDescent="0.3">
      <c r="T5874" t="str">
        <f>IF(ISERROR(MATCH('Analysis backend'!$M$1,E5874:N5874,0)),"",'Analysis backend'!$L$1)</f>
        <v/>
      </c>
      <c r="U5874" t="str">
        <f>IF(T5874='Analysis backend'!$L$1,IF(ISERROR(MATCH('Analysis backend'!$M$1,E5874:I5874,0)),"Dire","Radiant"),"")</f>
        <v/>
      </c>
    </row>
    <row r="5875" spans="20:21" x14ac:dyDescent="0.3">
      <c r="T5875" t="str">
        <f>IF(ISERROR(MATCH('Analysis backend'!$M$1,E5875:N5875,0)),"",'Analysis backend'!$L$1)</f>
        <v/>
      </c>
      <c r="U5875" t="str">
        <f>IF(T5875='Analysis backend'!$L$1,IF(ISERROR(MATCH('Analysis backend'!$M$1,E5875:I5875,0)),"Dire","Radiant"),"")</f>
        <v/>
      </c>
    </row>
    <row r="5876" spans="20:21" x14ac:dyDescent="0.3">
      <c r="T5876" t="str">
        <f>IF(ISERROR(MATCH('Analysis backend'!$M$1,E5876:N5876,0)),"",'Analysis backend'!$L$1)</f>
        <v/>
      </c>
      <c r="U5876" t="str">
        <f>IF(T5876='Analysis backend'!$L$1,IF(ISERROR(MATCH('Analysis backend'!$M$1,E5876:I5876,0)),"Dire","Radiant"),"")</f>
        <v/>
      </c>
    </row>
    <row r="5877" spans="20:21" x14ac:dyDescent="0.3">
      <c r="T5877" t="str">
        <f>IF(ISERROR(MATCH('Analysis backend'!$M$1,E5877:N5877,0)),"",'Analysis backend'!$L$1)</f>
        <v/>
      </c>
      <c r="U5877" t="str">
        <f>IF(T5877='Analysis backend'!$L$1,IF(ISERROR(MATCH('Analysis backend'!$M$1,E5877:I5877,0)),"Dire","Radiant"),"")</f>
        <v/>
      </c>
    </row>
    <row r="5878" spans="20:21" x14ac:dyDescent="0.3">
      <c r="T5878" t="str">
        <f>IF(ISERROR(MATCH('Analysis backend'!$M$1,E5878:N5878,0)),"",'Analysis backend'!$L$1)</f>
        <v/>
      </c>
      <c r="U5878" t="str">
        <f>IF(T5878='Analysis backend'!$L$1,IF(ISERROR(MATCH('Analysis backend'!$M$1,E5878:I5878,0)),"Dire","Radiant"),"")</f>
        <v/>
      </c>
    </row>
    <row r="5879" spans="20:21" x14ac:dyDescent="0.3">
      <c r="T5879" t="str">
        <f>IF(ISERROR(MATCH('Analysis backend'!$M$1,E5879:N5879,0)),"",'Analysis backend'!$L$1)</f>
        <v/>
      </c>
      <c r="U5879" t="str">
        <f>IF(T5879='Analysis backend'!$L$1,IF(ISERROR(MATCH('Analysis backend'!$M$1,E5879:I5879,0)),"Dire","Radiant"),"")</f>
        <v/>
      </c>
    </row>
    <row r="5880" spans="20:21" x14ac:dyDescent="0.3">
      <c r="T5880" t="str">
        <f>IF(ISERROR(MATCH('Analysis backend'!$M$1,E5880:N5880,0)),"",'Analysis backend'!$L$1)</f>
        <v/>
      </c>
      <c r="U5880" t="str">
        <f>IF(T5880='Analysis backend'!$L$1,IF(ISERROR(MATCH('Analysis backend'!$M$1,E5880:I5880,0)),"Dire","Radiant"),"")</f>
        <v/>
      </c>
    </row>
    <row r="5881" spans="20:21" x14ac:dyDescent="0.3">
      <c r="T5881" t="str">
        <f>IF(ISERROR(MATCH('Analysis backend'!$M$1,E5881:N5881,0)),"",'Analysis backend'!$L$1)</f>
        <v/>
      </c>
      <c r="U5881" t="str">
        <f>IF(T5881='Analysis backend'!$L$1,IF(ISERROR(MATCH('Analysis backend'!$M$1,E5881:I5881,0)),"Dire","Radiant"),"")</f>
        <v/>
      </c>
    </row>
    <row r="5882" spans="20:21" x14ac:dyDescent="0.3">
      <c r="T5882" t="str">
        <f>IF(ISERROR(MATCH('Analysis backend'!$M$1,E5882:N5882,0)),"",'Analysis backend'!$L$1)</f>
        <v/>
      </c>
      <c r="U5882" t="str">
        <f>IF(T5882='Analysis backend'!$L$1,IF(ISERROR(MATCH('Analysis backend'!$M$1,E5882:I5882,0)),"Dire","Radiant"),"")</f>
        <v/>
      </c>
    </row>
    <row r="5883" spans="20:21" x14ac:dyDescent="0.3">
      <c r="T5883" t="str">
        <f>IF(ISERROR(MATCH('Analysis backend'!$M$1,E5883:N5883,0)),"",'Analysis backend'!$L$1)</f>
        <v/>
      </c>
      <c r="U5883" t="str">
        <f>IF(T5883='Analysis backend'!$L$1,IF(ISERROR(MATCH('Analysis backend'!$M$1,E5883:I5883,0)),"Dire","Radiant"),"")</f>
        <v/>
      </c>
    </row>
    <row r="5884" spans="20:21" x14ac:dyDescent="0.3">
      <c r="T5884" t="str">
        <f>IF(ISERROR(MATCH('Analysis backend'!$M$1,E5884:N5884,0)),"",'Analysis backend'!$L$1)</f>
        <v/>
      </c>
      <c r="U5884" t="str">
        <f>IF(T5884='Analysis backend'!$L$1,IF(ISERROR(MATCH('Analysis backend'!$M$1,E5884:I5884,0)),"Dire","Radiant"),"")</f>
        <v/>
      </c>
    </row>
    <row r="5885" spans="20:21" x14ac:dyDescent="0.3">
      <c r="T5885" t="str">
        <f>IF(ISERROR(MATCH('Analysis backend'!$M$1,E5885:N5885,0)),"",'Analysis backend'!$L$1)</f>
        <v/>
      </c>
      <c r="U5885" t="str">
        <f>IF(T5885='Analysis backend'!$L$1,IF(ISERROR(MATCH('Analysis backend'!$M$1,E5885:I5885,0)),"Dire","Radiant"),"")</f>
        <v/>
      </c>
    </row>
    <row r="5886" spans="20:21" x14ac:dyDescent="0.3">
      <c r="T5886" t="str">
        <f>IF(ISERROR(MATCH('Analysis backend'!$M$1,E5886:N5886,0)),"",'Analysis backend'!$L$1)</f>
        <v/>
      </c>
      <c r="U5886" t="str">
        <f>IF(T5886='Analysis backend'!$L$1,IF(ISERROR(MATCH('Analysis backend'!$M$1,E5886:I5886,0)),"Dire","Radiant"),"")</f>
        <v/>
      </c>
    </row>
    <row r="5887" spans="20:21" x14ac:dyDescent="0.3">
      <c r="T5887" t="str">
        <f>IF(ISERROR(MATCH('Analysis backend'!$M$1,E5887:N5887,0)),"",'Analysis backend'!$L$1)</f>
        <v/>
      </c>
      <c r="U5887" t="str">
        <f>IF(T5887='Analysis backend'!$L$1,IF(ISERROR(MATCH('Analysis backend'!$M$1,E5887:I5887,0)),"Dire","Radiant"),"")</f>
        <v/>
      </c>
    </row>
    <row r="5888" spans="20:21" x14ac:dyDescent="0.3">
      <c r="T5888" t="str">
        <f>IF(ISERROR(MATCH('Analysis backend'!$M$1,E5888:N5888,0)),"",'Analysis backend'!$L$1)</f>
        <v/>
      </c>
      <c r="U5888" t="str">
        <f>IF(T5888='Analysis backend'!$L$1,IF(ISERROR(MATCH('Analysis backend'!$M$1,E5888:I5888,0)),"Dire","Radiant"),"")</f>
        <v/>
      </c>
    </row>
    <row r="5889" spans="20:21" x14ac:dyDescent="0.3">
      <c r="T5889" t="str">
        <f>IF(ISERROR(MATCH('Analysis backend'!$M$1,E5889:N5889,0)),"",'Analysis backend'!$L$1)</f>
        <v/>
      </c>
      <c r="U5889" t="str">
        <f>IF(T5889='Analysis backend'!$L$1,IF(ISERROR(MATCH('Analysis backend'!$M$1,E5889:I5889,0)),"Dire","Radiant"),"")</f>
        <v/>
      </c>
    </row>
    <row r="5890" spans="20:21" x14ac:dyDescent="0.3">
      <c r="T5890" t="str">
        <f>IF(ISERROR(MATCH('Analysis backend'!$M$1,E5890:N5890,0)),"",'Analysis backend'!$L$1)</f>
        <v/>
      </c>
      <c r="U5890" t="str">
        <f>IF(T5890='Analysis backend'!$L$1,IF(ISERROR(MATCH('Analysis backend'!$M$1,E5890:I5890,0)),"Dire","Radiant"),"")</f>
        <v/>
      </c>
    </row>
    <row r="5891" spans="20:21" x14ac:dyDescent="0.3">
      <c r="T5891" t="str">
        <f>IF(ISERROR(MATCH('Analysis backend'!$M$1,E5891:N5891,0)),"",'Analysis backend'!$L$1)</f>
        <v/>
      </c>
      <c r="U5891" t="str">
        <f>IF(T5891='Analysis backend'!$L$1,IF(ISERROR(MATCH('Analysis backend'!$M$1,E5891:I5891,0)),"Dire","Radiant"),"")</f>
        <v/>
      </c>
    </row>
    <row r="5892" spans="20:21" x14ac:dyDescent="0.3">
      <c r="T5892" t="str">
        <f>IF(ISERROR(MATCH('Analysis backend'!$M$1,E5892:N5892,0)),"",'Analysis backend'!$L$1)</f>
        <v/>
      </c>
      <c r="U5892" t="str">
        <f>IF(T5892='Analysis backend'!$L$1,IF(ISERROR(MATCH('Analysis backend'!$M$1,E5892:I5892,0)),"Dire","Radiant"),"")</f>
        <v/>
      </c>
    </row>
    <row r="5893" spans="20:21" x14ac:dyDescent="0.3">
      <c r="T5893" t="str">
        <f>IF(ISERROR(MATCH('Analysis backend'!$M$1,E5893:N5893,0)),"",'Analysis backend'!$L$1)</f>
        <v/>
      </c>
      <c r="U5893" t="str">
        <f>IF(T5893='Analysis backend'!$L$1,IF(ISERROR(MATCH('Analysis backend'!$M$1,E5893:I5893,0)),"Dire","Radiant"),"")</f>
        <v/>
      </c>
    </row>
    <row r="5894" spans="20:21" x14ac:dyDescent="0.3">
      <c r="T5894" t="str">
        <f>IF(ISERROR(MATCH('Analysis backend'!$M$1,E5894:N5894,0)),"",'Analysis backend'!$L$1)</f>
        <v/>
      </c>
      <c r="U5894" t="str">
        <f>IF(T5894='Analysis backend'!$L$1,IF(ISERROR(MATCH('Analysis backend'!$M$1,E5894:I5894,0)),"Dire","Radiant"),"")</f>
        <v/>
      </c>
    </row>
    <row r="5895" spans="20:21" x14ac:dyDescent="0.3">
      <c r="T5895" t="str">
        <f>IF(ISERROR(MATCH('Analysis backend'!$M$1,E5895:N5895,0)),"",'Analysis backend'!$L$1)</f>
        <v/>
      </c>
      <c r="U5895" t="str">
        <f>IF(T5895='Analysis backend'!$L$1,IF(ISERROR(MATCH('Analysis backend'!$M$1,E5895:I5895,0)),"Dire","Radiant"),"")</f>
        <v/>
      </c>
    </row>
    <row r="5896" spans="20:21" x14ac:dyDescent="0.3">
      <c r="T5896" t="str">
        <f>IF(ISERROR(MATCH('Analysis backend'!$M$1,E5896:N5896,0)),"",'Analysis backend'!$L$1)</f>
        <v/>
      </c>
      <c r="U5896" t="str">
        <f>IF(T5896='Analysis backend'!$L$1,IF(ISERROR(MATCH('Analysis backend'!$M$1,E5896:I5896,0)),"Dire","Radiant"),"")</f>
        <v/>
      </c>
    </row>
    <row r="5897" spans="20:21" x14ac:dyDescent="0.3">
      <c r="T5897" t="str">
        <f>IF(ISERROR(MATCH('Analysis backend'!$M$1,E5897:N5897,0)),"",'Analysis backend'!$L$1)</f>
        <v/>
      </c>
      <c r="U5897" t="str">
        <f>IF(T5897='Analysis backend'!$L$1,IF(ISERROR(MATCH('Analysis backend'!$M$1,E5897:I5897,0)),"Dire","Radiant"),"")</f>
        <v/>
      </c>
    </row>
    <row r="5898" spans="20:21" x14ac:dyDescent="0.3">
      <c r="T5898" t="str">
        <f>IF(ISERROR(MATCH('Analysis backend'!$M$1,E5898:N5898,0)),"",'Analysis backend'!$L$1)</f>
        <v/>
      </c>
      <c r="U5898" t="str">
        <f>IF(T5898='Analysis backend'!$L$1,IF(ISERROR(MATCH('Analysis backend'!$M$1,E5898:I5898,0)),"Dire","Radiant"),"")</f>
        <v/>
      </c>
    </row>
    <row r="5899" spans="20:21" x14ac:dyDescent="0.3">
      <c r="T5899" t="str">
        <f>IF(ISERROR(MATCH('Analysis backend'!$M$1,E5899:N5899,0)),"",'Analysis backend'!$L$1)</f>
        <v/>
      </c>
      <c r="U5899" t="str">
        <f>IF(T5899='Analysis backend'!$L$1,IF(ISERROR(MATCH('Analysis backend'!$M$1,E5899:I5899,0)),"Dire","Radiant"),"")</f>
        <v/>
      </c>
    </row>
    <row r="5900" spans="20:21" x14ac:dyDescent="0.3">
      <c r="T5900" t="str">
        <f>IF(ISERROR(MATCH('Analysis backend'!$M$1,E5900:N5900,0)),"",'Analysis backend'!$L$1)</f>
        <v/>
      </c>
      <c r="U5900" t="str">
        <f>IF(T5900='Analysis backend'!$L$1,IF(ISERROR(MATCH('Analysis backend'!$M$1,E5900:I5900,0)),"Dire","Radiant"),"")</f>
        <v/>
      </c>
    </row>
    <row r="5901" spans="20:21" x14ac:dyDescent="0.3">
      <c r="T5901" t="str">
        <f>IF(ISERROR(MATCH('Analysis backend'!$M$1,E5901:N5901,0)),"",'Analysis backend'!$L$1)</f>
        <v/>
      </c>
      <c r="U5901" t="str">
        <f>IF(T5901='Analysis backend'!$L$1,IF(ISERROR(MATCH('Analysis backend'!$M$1,E5901:I5901,0)),"Dire","Radiant"),"")</f>
        <v/>
      </c>
    </row>
    <row r="5902" spans="20:21" x14ac:dyDescent="0.3">
      <c r="T5902" t="str">
        <f>IF(ISERROR(MATCH('Analysis backend'!$M$1,E5902:N5902,0)),"",'Analysis backend'!$L$1)</f>
        <v/>
      </c>
      <c r="U5902" t="str">
        <f>IF(T5902='Analysis backend'!$L$1,IF(ISERROR(MATCH('Analysis backend'!$M$1,E5902:I5902,0)),"Dire","Radiant"),"")</f>
        <v/>
      </c>
    </row>
    <row r="5903" spans="20:21" x14ac:dyDescent="0.3">
      <c r="T5903" t="str">
        <f>IF(ISERROR(MATCH('Analysis backend'!$M$1,E5903:N5903,0)),"",'Analysis backend'!$L$1)</f>
        <v/>
      </c>
      <c r="U5903" t="str">
        <f>IF(T5903='Analysis backend'!$L$1,IF(ISERROR(MATCH('Analysis backend'!$M$1,E5903:I5903,0)),"Dire","Radiant"),"")</f>
        <v/>
      </c>
    </row>
    <row r="5904" spans="20:21" x14ac:dyDescent="0.3">
      <c r="T5904" t="str">
        <f>IF(ISERROR(MATCH('Analysis backend'!$M$1,E5904:N5904,0)),"",'Analysis backend'!$L$1)</f>
        <v/>
      </c>
      <c r="U5904" t="str">
        <f>IF(T5904='Analysis backend'!$L$1,IF(ISERROR(MATCH('Analysis backend'!$M$1,E5904:I5904,0)),"Dire","Radiant"),"")</f>
        <v/>
      </c>
    </row>
    <row r="5905" spans="20:21" x14ac:dyDescent="0.3">
      <c r="T5905" t="str">
        <f>IF(ISERROR(MATCH('Analysis backend'!$M$1,E5905:N5905,0)),"",'Analysis backend'!$L$1)</f>
        <v/>
      </c>
      <c r="U5905" t="str">
        <f>IF(T5905='Analysis backend'!$L$1,IF(ISERROR(MATCH('Analysis backend'!$M$1,E5905:I5905,0)),"Dire","Radiant"),"")</f>
        <v/>
      </c>
    </row>
    <row r="5906" spans="20:21" x14ac:dyDescent="0.3">
      <c r="T5906" t="str">
        <f>IF(ISERROR(MATCH('Analysis backend'!$M$1,E5906:N5906,0)),"",'Analysis backend'!$L$1)</f>
        <v/>
      </c>
      <c r="U5906" t="str">
        <f>IF(T5906='Analysis backend'!$L$1,IF(ISERROR(MATCH('Analysis backend'!$M$1,E5906:I5906,0)),"Dire","Radiant"),"")</f>
        <v/>
      </c>
    </row>
    <row r="5907" spans="20:21" x14ac:dyDescent="0.3">
      <c r="T5907" t="str">
        <f>IF(ISERROR(MATCH('Analysis backend'!$M$1,E5907:N5907,0)),"",'Analysis backend'!$L$1)</f>
        <v/>
      </c>
      <c r="U5907" t="str">
        <f>IF(T5907='Analysis backend'!$L$1,IF(ISERROR(MATCH('Analysis backend'!$M$1,E5907:I5907,0)),"Dire","Radiant"),"")</f>
        <v/>
      </c>
    </row>
    <row r="5908" spans="20:21" x14ac:dyDescent="0.3">
      <c r="T5908" t="str">
        <f>IF(ISERROR(MATCH('Analysis backend'!$M$1,E5908:N5908,0)),"",'Analysis backend'!$L$1)</f>
        <v/>
      </c>
      <c r="U5908" t="str">
        <f>IF(T5908='Analysis backend'!$L$1,IF(ISERROR(MATCH('Analysis backend'!$M$1,E5908:I5908,0)),"Dire","Radiant"),"")</f>
        <v/>
      </c>
    </row>
    <row r="5909" spans="20:21" x14ac:dyDescent="0.3">
      <c r="T5909" t="str">
        <f>IF(ISERROR(MATCH('Analysis backend'!$M$1,E5909:N5909,0)),"",'Analysis backend'!$L$1)</f>
        <v/>
      </c>
      <c r="U5909" t="str">
        <f>IF(T5909='Analysis backend'!$L$1,IF(ISERROR(MATCH('Analysis backend'!$M$1,E5909:I5909,0)),"Dire","Radiant"),"")</f>
        <v/>
      </c>
    </row>
    <row r="5910" spans="20:21" x14ac:dyDescent="0.3">
      <c r="T5910" t="str">
        <f>IF(ISERROR(MATCH('Analysis backend'!$M$1,E5910:N5910,0)),"",'Analysis backend'!$L$1)</f>
        <v/>
      </c>
      <c r="U5910" t="str">
        <f>IF(T5910='Analysis backend'!$L$1,IF(ISERROR(MATCH('Analysis backend'!$M$1,E5910:I5910,0)),"Dire","Radiant"),"")</f>
        <v/>
      </c>
    </row>
    <row r="5911" spans="20:21" x14ac:dyDescent="0.3">
      <c r="T5911" t="str">
        <f>IF(ISERROR(MATCH('Analysis backend'!$M$1,E5911:N5911,0)),"",'Analysis backend'!$L$1)</f>
        <v/>
      </c>
      <c r="U5911" t="str">
        <f>IF(T5911='Analysis backend'!$L$1,IF(ISERROR(MATCH('Analysis backend'!$M$1,E5911:I5911,0)),"Dire","Radiant"),"")</f>
        <v/>
      </c>
    </row>
    <row r="5912" spans="20:21" x14ac:dyDescent="0.3">
      <c r="T5912" t="str">
        <f>IF(ISERROR(MATCH('Analysis backend'!$M$1,E5912:N5912,0)),"",'Analysis backend'!$L$1)</f>
        <v/>
      </c>
      <c r="U5912" t="str">
        <f>IF(T5912='Analysis backend'!$L$1,IF(ISERROR(MATCH('Analysis backend'!$M$1,E5912:I5912,0)),"Dire","Radiant"),"")</f>
        <v/>
      </c>
    </row>
    <row r="5913" spans="20:21" x14ac:dyDescent="0.3">
      <c r="T5913" t="str">
        <f>IF(ISERROR(MATCH('Analysis backend'!$M$1,E5913:N5913,0)),"",'Analysis backend'!$L$1)</f>
        <v/>
      </c>
      <c r="U5913" t="str">
        <f>IF(T5913='Analysis backend'!$L$1,IF(ISERROR(MATCH('Analysis backend'!$M$1,E5913:I5913,0)),"Dire","Radiant"),"")</f>
        <v/>
      </c>
    </row>
    <row r="5914" spans="20:21" x14ac:dyDescent="0.3">
      <c r="T5914" t="str">
        <f>IF(ISERROR(MATCH('Analysis backend'!$M$1,E5914:N5914,0)),"",'Analysis backend'!$L$1)</f>
        <v/>
      </c>
      <c r="U5914" t="str">
        <f>IF(T5914='Analysis backend'!$L$1,IF(ISERROR(MATCH('Analysis backend'!$M$1,E5914:I5914,0)),"Dire","Radiant"),"")</f>
        <v/>
      </c>
    </row>
    <row r="5915" spans="20:21" x14ac:dyDescent="0.3">
      <c r="T5915" t="str">
        <f>IF(ISERROR(MATCH('Analysis backend'!$M$1,E5915:N5915,0)),"",'Analysis backend'!$L$1)</f>
        <v/>
      </c>
      <c r="U5915" t="str">
        <f>IF(T5915='Analysis backend'!$L$1,IF(ISERROR(MATCH('Analysis backend'!$M$1,E5915:I5915,0)),"Dire","Radiant"),"")</f>
        <v/>
      </c>
    </row>
    <row r="5916" spans="20:21" x14ac:dyDescent="0.3">
      <c r="T5916" t="str">
        <f>IF(ISERROR(MATCH('Analysis backend'!$M$1,E5916:N5916,0)),"",'Analysis backend'!$L$1)</f>
        <v/>
      </c>
      <c r="U5916" t="str">
        <f>IF(T5916='Analysis backend'!$L$1,IF(ISERROR(MATCH('Analysis backend'!$M$1,E5916:I5916,0)),"Dire","Radiant"),"")</f>
        <v/>
      </c>
    </row>
    <row r="5917" spans="20:21" x14ac:dyDescent="0.3">
      <c r="T5917" t="str">
        <f>IF(ISERROR(MATCH('Analysis backend'!$M$1,E5917:N5917,0)),"",'Analysis backend'!$L$1)</f>
        <v/>
      </c>
      <c r="U5917" t="str">
        <f>IF(T5917='Analysis backend'!$L$1,IF(ISERROR(MATCH('Analysis backend'!$M$1,E5917:I5917,0)),"Dire","Radiant"),"")</f>
        <v/>
      </c>
    </row>
    <row r="5918" spans="20:21" x14ac:dyDescent="0.3">
      <c r="T5918" t="str">
        <f>IF(ISERROR(MATCH('Analysis backend'!$M$1,E5918:N5918,0)),"",'Analysis backend'!$L$1)</f>
        <v/>
      </c>
      <c r="U5918" t="str">
        <f>IF(T5918='Analysis backend'!$L$1,IF(ISERROR(MATCH('Analysis backend'!$M$1,E5918:I5918,0)),"Dire","Radiant"),"")</f>
        <v/>
      </c>
    </row>
    <row r="5919" spans="20:21" x14ac:dyDescent="0.3">
      <c r="T5919" t="str">
        <f>IF(ISERROR(MATCH('Analysis backend'!$M$1,E5919:N5919,0)),"",'Analysis backend'!$L$1)</f>
        <v/>
      </c>
      <c r="U5919" t="str">
        <f>IF(T5919='Analysis backend'!$L$1,IF(ISERROR(MATCH('Analysis backend'!$M$1,E5919:I5919,0)),"Dire","Radiant"),"")</f>
        <v/>
      </c>
    </row>
    <row r="5920" spans="20:21" x14ac:dyDescent="0.3">
      <c r="T5920" t="str">
        <f>IF(ISERROR(MATCH('Analysis backend'!$M$1,E5920:N5920,0)),"",'Analysis backend'!$L$1)</f>
        <v/>
      </c>
      <c r="U5920" t="str">
        <f>IF(T5920='Analysis backend'!$L$1,IF(ISERROR(MATCH('Analysis backend'!$M$1,E5920:I5920,0)),"Dire","Radiant"),"")</f>
        <v/>
      </c>
    </row>
    <row r="5921" spans="20:21" x14ac:dyDescent="0.3">
      <c r="T5921" t="str">
        <f>IF(ISERROR(MATCH('Analysis backend'!$M$1,E5921:N5921,0)),"",'Analysis backend'!$L$1)</f>
        <v/>
      </c>
      <c r="U5921" t="str">
        <f>IF(T5921='Analysis backend'!$L$1,IF(ISERROR(MATCH('Analysis backend'!$M$1,E5921:I5921,0)),"Dire","Radiant"),"")</f>
        <v/>
      </c>
    </row>
    <row r="5922" spans="20:21" x14ac:dyDescent="0.3">
      <c r="T5922" t="str">
        <f>IF(ISERROR(MATCH('Analysis backend'!$M$1,E5922:N5922,0)),"",'Analysis backend'!$L$1)</f>
        <v/>
      </c>
      <c r="U5922" t="str">
        <f>IF(T5922='Analysis backend'!$L$1,IF(ISERROR(MATCH('Analysis backend'!$M$1,E5922:I5922,0)),"Dire","Radiant"),"")</f>
        <v/>
      </c>
    </row>
    <row r="5923" spans="20:21" x14ac:dyDescent="0.3">
      <c r="T5923" t="str">
        <f>IF(ISERROR(MATCH('Analysis backend'!$M$1,E5923:N5923,0)),"",'Analysis backend'!$L$1)</f>
        <v/>
      </c>
      <c r="U5923" t="str">
        <f>IF(T5923='Analysis backend'!$L$1,IF(ISERROR(MATCH('Analysis backend'!$M$1,E5923:I5923,0)),"Dire","Radiant"),"")</f>
        <v/>
      </c>
    </row>
    <row r="5924" spans="20:21" x14ac:dyDescent="0.3">
      <c r="T5924" t="str">
        <f>IF(ISERROR(MATCH('Analysis backend'!$M$1,E5924:N5924,0)),"",'Analysis backend'!$L$1)</f>
        <v/>
      </c>
      <c r="U5924" t="str">
        <f>IF(T5924='Analysis backend'!$L$1,IF(ISERROR(MATCH('Analysis backend'!$M$1,E5924:I5924,0)),"Dire","Radiant"),"")</f>
        <v/>
      </c>
    </row>
    <row r="5925" spans="20:21" x14ac:dyDescent="0.3">
      <c r="T5925" t="str">
        <f>IF(ISERROR(MATCH('Analysis backend'!$M$1,E5925:N5925,0)),"",'Analysis backend'!$L$1)</f>
        <v/>
      </c>
      <c r="U5925" t="str">
        <f>IF(T5925='Analysis backend'!$L$1,IF(ISERROR(MATCH('Analysis backend'!$M$1,E5925:I5925,0)),"Dire","Radiant"),"")</f>
        <v/>
      </c>
    </row>
    <row r="5926" spans="20:21" x14ac:dyDescent="0.3">
      <c r="T5926" t="str">
        <f>IF(ISERROR(MATCH('Analysis backend'!$M$1,E5926:N5926,0)),"",'Analysis backend'!$L$1)</f>
        <v/>
      </c>
      <c r="U5926" t="str">
        <f>IF(T5926='Analysis backend'!$L$1,IF(ISERROR(MATCH('Analysis backend'!$M$1,E5926:I5926,0)),"Dire","Radiant"),"")</f>
        <v/>
      </c>
    </row>
    <row r="5927" spans="20:21" x14ac:dyDescent="0.3">
      <c r="T5927" t="str">
        <f>IF(ISERROR(MATCH('Analysis backend'!$M$1,E5927:N5927,0)),"",'Analysis backend'!$L$1)</f>
        <v/>
      </c>
      <c r="U5927" t="str">
        <f>IF(T5927='Analysis backend'!$L$1,IF(ISERROR(MATCH('Analysis backend'!$M$1,E5927:I5927,0)),"Dire","Radiant"),"")</f>
        <v/>
      </c>
    </row>
    <row r="5928" spans="20:21" x14ac:dyDescent="0.3">
      <c r="T5928" t="str">
        <f>IF(ISERROR(MATCH('Analysis backend'!$M$1,E5928:N5928,0)),"",'Analysis backend'!$L$1)</f>
        <v/>
      </c>
      <c r="U5928" t="str">
        <f>IF(T5928='Analysis backend'!$L$1,IF(ISERROR(MATCH('Analysis backend'!$M$1,E5928:I5928,0)),"Dire","Radiant"),"")</f>
        <v/>
      </c>
    </row>
    <row r="5929" spans="20:21" x14ac:dyDescent="0.3">
      <c r="T5929" t="str">
        <f>IF(ISERROR(MATCH('Analysis backend'!$M$1,E5929:N5929,0)),"",'Analysis backend'!$L$1)</f>
        <v/>
      </c>
      <c r="U5929" t="str">
        <f>IF(T5929='Analysis backend'!$L$1,IF(ISERROR(MATCH('Analysis backend'!$M$1,E5929:I5929,0)),"Dire","Radiant"),"")</f>
        <v/>
      </c>
    </row>
    <row r="5930" spans="20:21" x14ac:dyDescent="0.3">
      <c r="T5930" t="str">
        <f>IF(ISERROR(MATCH('Analysis backend'!$M$1,E5930:N5930,0)),"",'Analysis backend'!$L$1)</f>
        <v/>
      </c>
      <c r="U5930" t="str">
        <f>IF(T5930='Analysis backend'!$L$1,IF(ISERROR(MATCH('Analysis backend'!$M$1,E5930:I5930,0)),"Dire","Radiant"),"")</f>
        <v/>
      </c>
    </row>
    <row r="5931" spans="20:21" x14ac:dyDescent="0.3">
      <c r="T5931" t="str">
        <f>IF(ISERROR(MATCH('Analysis backend'!$M$1,E5931:N5931,0)),"",'Analysis backend'!$L$1)</f>
        <v/>
      </c>
      <c r="U5931" t="str">
        <f>IF(T5931='Analysis backend'!$L$1,IF(ISERROR(MATCH('Analysis backend'!$M$1,E5931:I5931,0)),"Dire","Radiant"),"")</f>
        <v/>
      </c>
    </row>
    <row r="5932" spans="20:21" x14ac:dyDescent="0.3">
      <c r="T5932" t="str">
        <f>IF(ISERROR(MATCH('Analysis backend'!$M$1,E5932:N5932,0)),"",'Analysis backend'!$L$1)</f>
        <v/>
      </c>
      <c r="U5932" t="str">
        <f>IF(T5932='Analysis backend'!$L$1,IF(ISERROR(MATCH('Analysis backend'!$M$1,E5932:I5932,0)),"Dire","Radiant"),"")</f>
        <v/>
      </c>
    </row>
    <row r="5933" spans="20:21" x14ac:dyDescent="0.3">
      <c r="T5933" t="str">
        <f>IF(ISERROR(MATCH('Analysis backend'!$M$1,E5933:N5933,0)),"",'Analysis backend'!$L$1)</f>
        <v/>
      </c>
      <c r="U5933" t="str">
        <f>IF(T5933='Analysis backend'!$L$1,IF(ISERROR(MATCH('Analysis backend'!$M$1,E5933:I5933,0)),"Dire","Radiant"),"")</f>
        <v/>
      </c>
    </row>
    <row r="5934" spans="20:21" x14ac:dyDescent="0.3">
      <c r="T5934" t="str">
        <f>IF(ISERROR(MATCH('Analysis backend'!$M$1,E5934:N5934,0)),"",'Analysis backend'!$L$1)</f>
        <v/>
      </c>
      <c r="U5934" t="str">
        <f>IF(T5934='Analysis backend'!$L$1,IF(ISERROR(MATCH('Analysis backend'!$M$1,E5934:I5934,0)),"Dire","Radiant"),"")</f>
        <v/>
      </c>
    </row>
    <row r="5935" spans="20:21" x14ac:dyDescent="0.3">
      <c r="T5935" t="str">
        <f>IF(ISERROR(MATCH('Analysis backend'!$M$1,E5935:N5935,0)),"",'Analysis backend'!$L$1)</f>
        <v/>
      </c>
      <c r="U5935" t="str">
        <f>IF(T5935='Analysis backend'!$L$1,IF(ISERROR(MATCH('Analysis backend'!$M$1,E5935:I5935,0)),"Dire","Radiant"),"")</f>
        <v/>
      </c>
    </row>
    <row r="5936" spans="20:21" x14ac:dyDescent="0.3">
      <c r="T5936" t="str">
        <f>IF(ISERROR(MATCH('Analysis backend'!$M$1,E5936:N5936,0)),"",'Analysis backend'!$L$1)</f>
        <v/>
      </c>
      <c r="U5936" t="str">
        <f>IF(T5936='Analysis backend'!$L$1,IF(ISERROR(MATCH('Analysis backend'!$M$1,E5936:I5936,0)),"Dire","Radiant"),"")</f>
        <v/>
      </c>
    </row>
    <row r="5937" spans="20:21" x14ac:dyDescent="0.3">
      <c r="T5937" t="str">
        <f>IF(ISERROR(MATCH('Analysis backend'!$M$1,E5937:N5937,0)),"",'Analysis backend'!$L$1)</f>
        <v/>
      </c>
      <c r="U5937" t="str">
        <f>IF(T5937='Analysis backend'!$L$1,IF(ISERROR(MATCH('Analysis backend'!$M$1,E5937:I5937,0)),"Dire","Radiant"),"")</f>
        <v/>
      </c>
    </row>
    <row r="5938" spans="20:21" x14ac:dyDescent="0.3">
      <c r="T5938" t="str">
        <f>IF(ISERROR(MATCH('Analysis backend'!$M$1,E5938:N5938,0)),"",'Analysis backend'!$L$1)</f>
        <v/>
      </c>
      <c r="U5938" t="str">
        <f>IF(T5938='Analysis backend'!$L$1,IF(ISERROR(MATCH('Analysis backend'!$M$1,E5938:I5938,0)),"Dire","Radiant"),"")</f>
        <v/>
      </c>
    </row>
    <row r="5939" spans="20:21" x14ac:dyDescent="0.3">
      <c r="T5939" t="str">
        <f>IF(ISERROR(MATCH('Analysis backend'!$M$1,E5939:N5939,0)),"",'Analysis backend'!$L$1)</f>
        <v/>
      </c>
      <c r="U5939" t="str">
        <f>IF(T5939='Analysis backend'!$L$1,IF(ISERROR(MATCH('Analysis backend'!$M$1,E5939:I5939,0)),"Dire","Radiant"),"")</f>
        <v/>
      </c>
    </row>
    <row r="5940" spans="20:21" x14ac:dyDescent="0.3">
      <c r="T5940" t="str">
        <f>IF(ISERROR(MATCH('Analysis backend'!$M$1,E5940:N5940,0)),"",'Analysis backend'!$L$1)</f>
        <v/>
      </c>
      <c r="U5940" t="str">
        <f>IF(T5940='Analysis backend'!$L$1,IF(ISERROR(MATCH('Analysis backend'!$M$1,E5940:I5940,0)),"Dire","Radiant"),"")</f>
        <v/>
      </c>
    </row>
    <row r="5941" spans="20:21" x14ac:dyDescent="0.3">
      <c r="T5941" t="str">
        <f>IF(ISERROR(MATCH('Analysis backend'!$M$1,E5941:N5941,0)),"",'Analysis backend'!$L$1)</f>
        <v/>
      </c>
      <c r="U5941" t="str">
        <f>IF(T5941='Analysis backend'!$L$1,IF(ISERROR(MATCH('Analysis backend'!$M$1,E5941:I5941,0)),"Dire","Radiant"),"")</f>
        <v/>
      </c>
    </row>
    <row r="5942" spans="20:21" x14ac:dyDescent="0.3">
      <c r="T5942" t="str">
        <f>IF(ISERROR(MATCH('Analysis backend'!$M$1,E5942:N5942,0)),"",'Analysis backend'!$L$1)</f>
        <v/>
      </c>
      <c r="U5942" t="str">
        <f>IF(T5942='Analysis backend'!$L$1,IF(ISERROR(MATCH('Analysis backend'!$M$1,E5942:I5942,0)),"Dire","Radiant"),"")</f>
        <v/>
      </c>
    </row>
    <row r="5943" spans="20:21" x14ac:dyDescent="0.3">
      <c r="T5943" t="str">
        <f>IF(ISERROR(MATCH('Analysis backend'!$M$1,E5943:N5943,0)),"",'Analysis backend'!$L$1)</f>
        <v/>
      </c>
      <c r="U5943" t="str">
        <f>IF(T5943='Analysis backend'!$L$1,IF(ISERROR(MATCH('Analysis backend'!$M$1,E5943:I5943,0)),"Dire","Radiant"),"")</f>
        <v/>
      </c>
    </row>
    <row r="5944" spans="20:21" x14ac:dyDescent="0.3">
      <c r="T5944" t="str">
        <f>IF(ISERROR(MATCH('Analysis backend'!$M$1,E5944:N5944,0)),"",'Analysis backend'!$L$1)</f>
        <v/>
      </c>
      <c r="U5944" t="str">
        <f>IF(T5944='Analysis backend'!$L$1,IF(ISERROR(MATCH('Analysis backend'!$M$1,E5944:I5944,0)),"Dire","Radiant"),"")</f>
        <v/>
      </c>
    </row>
    <row r="5945" spans="20:21" x14ac:dyDescent="0.3">
      <c r="T5945" t="str">
        <f>IF(ISERROR(MATCH('Analysis backend'!$M$1,E5945:N5945,0)),"",'Analysis backend'!$L$1)</f>
        <v/>
      </c>
      <c r="U5945" t="str">
        <f>IF(T5945='Analysis backend'!$L$1,IF(ISERROR(MATCH('Analysis backend'!$M$1,E5945:I5945,0)),"Dire","Radiant"),"")</f>
        <v/>
      </c>
    </row>
    <row r="5946" spans="20:21" x14ac:dyDescent="0.3">
      <c r="T5946" t="str">
        <f>IF(ISERROR(MATCH('Analysis backend'!$M$1,E5946:N5946,0)),"",'Analysis backend'!$L$1)</f>
        <v/>
      </c>
      <c r="U5946" t="str">
        <f>IF(T5946='Analysis backend'!$L$1,IF(ISERROR(MATCH('Analysis backend'!$M$1,E5946:I5946,0)),"Dire","Radiant"),"")</f>
        <v/>
      </c>
    </row>
    <row r="5947" spans="20:21" x14ac:dyDescent="0.3">
      <c r="T5947" t="str">
        <f>IF(ISERROR(MATCH('Analysis backend'!$M$1,E5947:N5947,0)),"",'Analysis backend'!$L$1)</f>
        <v/>
      </c>
      <c r="U5947" t="str">
        <f>IF(T5947='Analysis backend'!$L$1,IF(ISERROR(MATCH('Analysis backend'!$M$1,E5947:I5947,0)),"Dire","Radiant"),"")</f>
        <v/>
      </c>
    </row>
    <row r="5948" spans="20:21" x14ac:dyDescent="0.3">
      <c r="T5948" t="str">
        <f>IF(ISERROR(MATCH('Analysis backend'!$M$1,E5948:N5948,0)),"",'Analysis backend'!$L$1)</f>
        <v/>
      </c>
      <c r="U5948" t="str">
        <f>IF(T5948='Analysis backend'!$L$1,IF(ISERROR(MATCH('Analysis backend'!$M$1,E5948:I5948,0)),"Dire","Radiant"),"")</f>
        <v/>
      </c>
    </row>
    <row r="5949" spans="20:21" x14ac:dyDescent="0.3">
      <c r="T5949" t="str">
        <f>IF(ISERROR(MATCH('Analysis backend'!$M$1,E5949:N5949,0)),"",'Analysis backend'!$L$1)</f>
        <v/>
      </c>
      <c r="U5949" t="str">
        <f>IF(T5949='Analysis backend'!$L$1,IF(ISERROR(MATCH('Analysis backend'!$M$1,E5949:I5949,0)),"Dire","Radiant"),"")</f>
        <v/>
      </c>
    </row>
    <row r="5950" spans="20:21" x14ac:dyDescent="0.3">
      <c r="T5950" t="str">
        <f>IF(ISERROR(MATCH('Analysis backend'!$M$1,E5950:N5950,0)),"",'Analysis backend'!$L$1)</f>
        <v/>
      </c>
      <c r="U5950" t="str">
        <f>IF(T5950='Analysis backend'!$L$1,IF(ISERROR(MATCH('Analysis backend'!$M$1,E5950:I5950,0)),"Dire","Radiant"),"")</f>
        <v/>
      </c>
    </row>
    <row r="5951" spans="20:21" x14ac:dyDescent="0.3">
      <c r="T5951" t="str">
        <f>IF(ISERROR(MATCH('Analysis backend'!$M$1,E5951:N5951,0)),"",'Analysis backend'!$L$1)</f>
        <v/>
      </c>
      <c r="U5951" t="str">
        <f>IF(T5951='Analysis backend'!$L$1,IF(ISERROR(MATCH('Analysis backend'!$M$1,E5951:I5951,0)),"Dire","Radiant"),"")</f>
        <v/>
      </c>
    </row>
    <row r="5952" spans="20:21" x14ac:dyDescent="0.3">
      <c r="T5952" t="str">
        <f>IF(ISERROR(MATCH('Analysis backend'!$M$1,E5952:N5952,0)),"",'Analysis backend'!$L$1)</f>
        <v/>
      </c>
      <c r="U5952" t="str">
        <f>IF(T5952='Analysis backend'!$L$1,IF(ISERROR(MATCH('Analysis backend'!$M$1,E5952:I5952,0)),"Dire","Radiant"),"")</f>
        <v/>
      </c>
    </row>
    <row r="5953" spans="20:21" x14ac:dyDescent="0.3">
      <c r="T5953" t="str">
        <f>IF(ISERROR(MATCH('Analysis backend'!$M$1,E5953:N5953,0)),"",'Analysis backend'!$L$1)</f>
        <v/>
      </c>
      <c r="U5953" t="str">
        <f>IF(T5953='Analysis backend'!$L$1,IF(ISERROR(MATCH('Analysis backend'!$M$1,E5953:I5953,0)),"Dire","Radiant"),"")</f>
        <v/>
      </c>
    </row>
    <row r="5954" spans="20:21" x14ac:dyDescent="0.3">
      <c r="T5954" t="str">
        <f>IF(ISERROR(MATCH('Analysis backend'!$M$1,E5954:N5954,0)),"",'Analysis backend'!$L$1)</f>
        <v/>
      </c>
      <c r="U5954" t="str">
        <f>IF(T5954='Analysis backend'!$L$1,IF(ISERROR(MATCH('Analysis backend'!$M$1,E5954:I5954,0)),"Dire","Radiant"),"")</f>
        <v/>
      </c>
    </row>
    <row r="5955" spans="20:21" x14ac:dyDescent="0.3">
      <c r="T5955" t="str">
        <f>IF(ISERROR(MATCH('Analysis backend'!$M$1,E5955:N5955,0)),"",'Analysis backend'!$L$1)</f>
        <v/>
      </c>
      <c r="U5955" t="str">
        <f>IF(T5955='Analysis backend'!$L$1,IF(ISERROR(MATCH('Analysis backend'!$M$1,E5955:I5955,0)),"Dire","Radiant"),"")</f>
        <v/>
      </c>
    </row>
    <row r="5956" spans="20:21" x14ac:dyDescent="0.3">
      <c r="T5956" t="str">
        <f>IF(ISERROR(MATCH('Analysis backend'!$M$1,E5956:N5956,0)),"",'Analysis backend'!$L$1)</f>
        <v/>
      </c>
      <c r="U5956" t="str">
        <f>IF(T5956='Analysis backend'!$L$1,IF(ISERROR(MATCH('Analysis backend'!$M$1,E5956:I5956,0)),"Dire","Radiant"),"")</f>
        <v/>
      </c>
    </row>
    <row r="5957" spans="20:21" x14ac:dyDescent="0.3">
      <c r="T5957" t="str">
        <f>IF(ISERROR(MATCH('Analysis backend'!$M$1,E5957:N5957,0)),"",'Analysis backend'!$L$1)</f>
        <v/>
      </c>
      <c r="U5957" t="str">
        <f>IF(T5957='Analysis backend'!$L$1,IF(ISERROR(MATCH('Analysis backend'!$M$1,E5957:I5957,0)),"Dire","Radiant"),"")</f>
        <v/>
      </c>
    </row>
    <row r="5958" spans="20:21" x14ac:dyDescent="0.3">
      <c r="T5958" t="str">
        <f>IF(ISERROR(MATCH('Analysis backend'!$M$1,E5958:N5958,0)),"",'Analysis backend'!$L$1)</f>
        <v/>
      </c>
      <c r="U5958" t="str">
        <f>IF(T5958='Analysis backend'!$L$1,IF(ISERROR(MATCH('Analysis backend'!$M$1,E5958:I5958,0)),"Dire","Radiant"),"")</f>
        <v/>
      </c>
    </row>
    <row r="5959" spans="20:21" x14ac:dyDescent="0.3">
      <c r="T5959" t="str">
        <f>IF(ISERROR(MATCH('Analysis backend'!$M$1,E5959:N5959,0)),"",'Analysis backend'!$L$1)</f>
        <v/>
      </c>
      <c r="U5959" t="str">
        <f>IF(T5959='Analysis backend'!$L$1,IF(ISERROR(MATCH('Analysis backend'!$M$1,E5959:I5959,0)),"Dire","Radiant"),"")</f>
        <v/>
      </c>
    </row>
    <row r="5960" spans="20:21" x14ac:dyDescent="0.3">
      <c r="T5960" t="str">
        <f>IF(ISERROR(MATCH('Analysis backend'!$M$1,E5960:N5960,0)),"",'Analysis backend'!$L$1)</f>
        <v/>
      </c>
      <c r="U5960" t="str">
        <f>IF(T5960='Analysis backend'!$L$1,IF(ISERROR(MATCH('Analysis backend'!$M$1,E5960:I5960,0)),"Dire","Radiant"),"")</f>
        <v/>
      </c>
    </row>
    <row r="5961" spans="20:21" x14ac:dyDescent="0.3">
      <c r="T5961" t="str">
        <f>IF(ISERROR(MATCH('Analysis backend'!$M$1,E5961:N5961,0)),"",'Analysis backend'!$L$1)</f>
        <v/>
      </c>
      <c r="U5961" t="str">
        <f>IF(T5961='Analysis backend'!$L$1,IF(ISERROR(MATCH('Analysis backend'!$M$1,E5961:I5961,0)),"Dire","Radiant"),"")</f>
        <v/>
      </c>
    </row>
    <row r="5962" spans="20:21" x14ac:dyDescent="0.3">
      <c r="T5962" t="str">
        <f>IF(ISERROR(MATCH('Analysis backend'!$M$1,E5962:N5962,0)),"",'Analysis backend'!$L$1)</f>
        <v/>
      </c>
      <c r="U5962" t="str">
        <f>IF(T5962='Analysis backend'!$L$1,IF(ISERROR(MATCH('Analysis backend'!$M$1,E5962:I5962,0)),"Dire","Radiant"),"")</f>
        <v/>
      </c>
    </row>
    <row r="5963" spans="20:21" x14ac:dyDescent="0.3">
      <c r="T5963" t="str">
        <f>IF(ISERROR(MATCH('Analysis backend'!$M$1,E5963:N5963,0)),"",'Analysis backend'!$L$1)</f>
        <v/>
      </c>
      <c r="U5963" t="str">
        <f>IF(T5963='Analysis backend'!$L$1,IF(ISERROR(MATCH('Analysis backend'!$M$1,E5963:I5963,0)),"Dire","Radiant"),"")</f>
        <v/>
      </c>
    </row>
    <row r="5964" spans="20:21" x14ac:dyDescent="0.3">
      <c r="T5964" t="str">
        <f>IF(ISERROR(MATCH('Analysis backend'!$M$1,E5964:N5964,0)),"",'Analysis backend'!$L$1)</f>
        <v/>
      </c>
      <c r="U5964" t="str">
        <f>IF(T5964='Analysis backend'!$L$1,IF(ISERROR(MATCH('Analysis backend'!$M$1,E5964:I5964,0)),"Dire","Radiant"),"")</f>
        <v/>
      </c>
    </row>
    <row r="5965" spans="20:21" x14ac:dyDescent="0.3">
      <c r="T5965" t="str">
        <f>IF(ISERROR(MATCH('Analysis backend'!$M$1,E5965:N5965,0)),"",'Analysis backend'!$L$1)</f>
        <v/>
      </c>
      <c r="U5965" t="str">
        <f>IF(T5965='Analysis backend'!$L$1,IF(ISERROR(MATCH('Analysis backend'!$M$1,E5965:I5965,0)),"Dire","Radiant"),"")</f>
        <v/>
      </c>
    </row>
    <row r="5966" spans="20:21" x14ac:dyDescent="0.3">
      <c r="T5966" t="str">
        <f>IF(ISERROR(MATCH('Analysis backend'!$M$1,E5966:N5966,0)),"",'Analysis backend'!$L$1)</f>
        <v/>
      </c>
      <c r="U5966" t="str">
        <f>IF(T5966='Analysis backend'!$L$1,IF(ISERROR(MATCH('Analysis backend'!$M$1,E5966:I5966,0)),"Dire","Radiant"),"")</f>
        <v/>
      </c>
    </row>
    <row r="5967" spans="20:21" x14ac:dyDescent="0.3">
      <c r="T5967" t="str">
        <f>IF(ISERROR(MATCH('Analysis backend'!$M$1,E5967:N5967,0)),"",'Analysis backend'!$L$1)</f>
        <v/>
      </c>
      <c r="U5967" t="str">
        <f>IF(T5967='Analysis backend'!$L$1,IF(ISERROR(MATCH('Analysis backend'!$M$1,E5967:I5967,0)),"Dire","Radiant"),"")</f>
        <v/>
      </c>
    </row>
    <row r="5968" spans="20:21" x14ac:dyDescent="0.3">
      <c r="T5968" t="str">
        <f>IF(ISERROR(MATCH('Analysis backend'!$M$1,E5968:N5968,0)),"",'Analysis backend'!$L$1)</f>
        <v/>
      </c>
      <c r="U5968" t="str">
        <f>IF(T5968='Analysis backend'!$L$1,IF(ISERROR(MATCH('Analysis backend'!$M$1,E5968:I5968,0)),"Dire","Radiant"),"")</f>
        <v/>
      </c>
    </row>
    <row r="5969" spans="20:21" x14ac:dyDescent="0.3">
      <c r="T5969" t="str">
        <f>IF(ISERROR(MATCH('Analysis backend'!$M$1,E5969:N5969,0)),"",'Analysis backend'!$L$1)</f>
        <v/>
      </c>
      <c r="U5969" t="str">
        <f>IF(T5969='Analysis backend'!$L$1,IF(ISERROR(MATCH('Analysis backend'!$M$1,E5969:I5969,0)),"Dire","Radiant"),"")</f>
        <v/>
      </c>
    </row>
    <row r="5970" spans="20:21" x14ac:dyDescent="0.3">
      <c r="T5970" t="str">
        <f>IF(ISERROR(MATCH('Analysis backend'!$M$1,E5970:N5970,0)),"",'Analysis backend'!$L$1)</f>
        <v/>
      </c>
      <c r="U5970" t="str">
        <f>IF(T5970='Analysis backend'!$L$1,IF(ISERROR(MATCH('Analysis backend'!$M$1,E5970:I5970,0)),"Dire","Radiant"),"")</f>
        <v/>
      </c>
    </row>
    <row r="5971" spans="20:21" x14ac:dyDescent="0.3">
      <c r="T5971" t="str">
        <f>IF(ISERROR(MATCH('Analysis backend'!$M$1,E5971:N5971,0)),"",'Analysis backend'!$L$1)</f>
        <v/>
      </c>
      <c r="U5971" t="str">
        <f>IF(T5971='Analysis backend'!$L$1,IF(ISERROR(MATCH('Analysis backend'!$M$1,E5971:I5971,0)),"Dire","Radiant"),"")</f>
        <v/>
      </c>
    </row>
    <row r="5972" spans="20:21" x14ac:dyDescent="0.3">
      <c r="T5972" t="str">
        <f>IF(ISERROR(MATCH('Analysis backend'!$M$1,E5972:N5972,0)),"",'Analysis backend'!$L$1)</f>
        <v/>
      </c>
      <c r="U5972" t="str">
        <f>IF(T5972='Analysis backend'!$L$1,IF(ISERROR(MATCH('Analysis backend'!$M$1,E5972:I5972,0)),"Dire","Radiant"),"")</f>
        <v/>
      </c>
    </row>
    <row r="5973" spans="20:21" x14ac:dyDescent="0.3">
      <c r="T5973" t="str">
        <f>IF(ISERROR(MATCH('Analysis backend'!$M$1,E5973:N5973,0)),"",'Analysis backend'!$L$1)</f>
        <v/>
      </c>
      <c r="U5973" t="str">
        <f>IF(T5973='Analysis backend'!$L$1,IF(ISERROR(MATCH('Analysis backend'!$M$1,E5973:I5973,0)),"Dire","Radiant"),"")</f>
        <v/>
      </c>
    </row>
    <row r="5974" spans="20:21" x14ac:dyDescent="0.3">
      <c r="T5974" t="str">
        <f>IF(ISERROR(MATCH('Analysis backend'!$M$1,E5974:N5974,0)),"",'Analysis backend'!$L$1)</f>
        <v/>
      </c>
      <c r="U5974" t="str">
        <f>IF(T5974='Analysis backend'!$L$1,IF(ISERROR(MATCH('Analysis backend'!$M$1,E5974:I5974,0)),"Dire","Radiant"),"")</f>
        <v/>
      </c>
    </row>
    <row r="5975" spans="20:21" x14ac:dyDescent="0.3">
      <c r="T5975" t="str">
        <f>IF(ISERROR(MATCH('Analysis backend'!$M$1,E5975:N5975,0)),"",'Analysis backend'!$L$1)</f>
        <v/>
      </c>
      <c r="U5975" t="str">
        <f>IF(T5975='Analysis backend'!$L$1,IF(ISERROR(MATCH('Analysis backend'!$M$1,E5975:I5975,0)),"Dire","Radiant"),"")</f>
        <v/>
      </c>
    </row>
    <row r="5976" spans="20:21" x14ac:dyDescent="0.3">
      <c r="T5976" t="str">
        <f>IF(ISERROR(MATCH('Analysis backend'!$M$1,E5976:N5976,0)),"",'Analysis backend'!$L$1)</f>
        <v/>
      </c>
      <c r="U5976" t="str">
        <f>IF(T5976='Analysis backend'!$L$1,IF(ISERROR(MATCH('Analysis backend'!$M$1,E5976:I5976,0)),"Dire","Radiant"),"")</f>
        <v/>
      </c>
    </row>
    <row r="5977" spans="20:21" x14ac:dyDescent="0.3">
      <c r="T5977" t="str">
        <f>IF(ISERROR(MATCH('Analysis backend'!$M$1,E5977:N5977,0)),"",'Analysis backend'!$L$1)</f>
        <v/>
      </c>
      <c r="U5977" t="str">
        <f>IF(T5977='Analysis backend'!$L$1,IF(ISERROR(MATCH('Analysis backend'!$M$1,E5977:I5977,0)),"Dire","Radiant"),"")</f>
        <v/>
      </c>
    </row>
    <row r="5978" spans="20:21" x14ac:dyDescent="0.3">
      <c r="T5978" t="str">
        <f>IF(ISERROR(MATCH('Analysis backend'!$M$1,E5978:N5978,0)),"",'Analysis backend'!$L$1)</f>
        <v/>
      </c>
      <c r="U5978" t="str">
        <f>IF(T5978='Analysis backend'!$L$1,IF(ISERROR(MATCH('Analysis backend'!$M$1,E5978:I5978,0)),"Dire","Radiant"),"")</f>
        <v/>
      </c>
    </row>
    <row r="5979" spans="20:21" x14ac:dyDescent="0.3">
      <c r="T5979" t="str">
        <f>IF(ISERROR(MATCH('Analysis backend'!$M$1,E5979:N5979,0)),"",'Analysis backend'!$L$1)</f>
        <v/>
      </c>
      <c r="U5979" t="str">
        <f>IF(T5979='Analysis backend'!$L$1,IF(ISERROR(MATCH('Analysis backend'!$M$1,E5979:I5979,0)),"Dire","Radiant"),"")</f>
        <v/>
      </c>
    </row>
    <row r="5980" spans="20:21" x14ac:dyDescent="0.3">
      <c r="T5980" t="str">
        <f>IF(ISERROR(MATCH('Analysis backend'!$M$1,E5980:N5980,0)),"",'Analysis backend'!$L$1)</f>
        <v/>
      </c>
      <c r="U5980" t="str">
        <f>IF(T5980='Analysis backend'!$L$1,IF(ISERROR(MATCH('Analysis backend'!$M$1,E5980:I5980,0)),"Dire","Radiant"),"")</f>
        <v/>
      </c>
    </row>
    <row r="5981" spans="20:21" x14ac:dyDescent="0.3">
      <c r="T5981" t="str">
        <f>IF(ISERROR(MATCH('Analysis backend'!$M$1,E5981:N5981,0)),"",'Analysis backend'!$L$1)</f>
        <v/>
      </c>
      <c r="U5981" t="str">
        <f>IF(T5981='Analysis backend'!$L$1,IF(ISERROR(MATCH('Analysis backend'!$M$1,E5981:I5981,0)),"Dire","Radiant"),"")</f>
        <v/>
      </c>
    </row>
    <row r="5982" spans="20:21" x14ac:dyDescent="0.3">
      <c r="T5982" t="str">
        <f>IF(ISERROR(MATCH('Analysis backend'!$M$1,E5982:N5982,0)),"",'Analysis backend'!$L$1)</f>
        <v/>
      </c>
      <c r="U5982" t="str">
        <f>IF(T5982='Analysis backend'!$L$1,IF(ISERROR(MATCH('Analysis backend'!$M$1,E5982:I5982,0)),"Dire","Radiant"),"")</f>
        <v/>
      </c>
    </row>
    <row r="5983" spans="20:21" x14ac:dyDescent="0.3">
      <c r="T5983" t="str">
        <f>IF(ISERROR(MATCH('Analysis backend'!$M$1,E5983:N5983,0)),"",'Analysis backend'!$L$1)</f>
        <v/>
      </c>
      <c r="U5983" t="str">
        <f>IF(T5983='Analysis backend'!$L$1,IF(ISERROR(MATCH('Analysis backend'!$M$1,E5983:I5983,0)),"Dire","Radiant"),"")</f>
        <v/>
      </c>
    </row>
    <row r="5984" spans="20:21" x14ac:dyDescent="0.3">
      <c r="T5984" t="str">
        <f>IF(ISERROR(MATCH('Analysis backend'!$M$1,E5984:N5984,0)),"",'Analysis backend'!$L$1)</f>
        <v/>
      </c>
      <c r="U5984" t="str">
        <f>IF(T5984='Analysis backend'!$L$1,IF(ISERROR(MATCH('Analysis backend'!$M$1,E5984:I5984,0)),"Dire","Radiant"),"")</f>
        <v/>
      </c>
    </row>
    <row r="5985" spans="20:21" x14ac:dyDescent="0.3">
      <c r="T5985" t="str">
        <f>IF(ISERROR(MATCH('Analysis backend'!$M$1,E5985:N5985,0)),"",'Analysis backend'!$L$1)</f>
        <v/>
      </c>
      <c r="U5985" t="str">
        <f>IF(T5985='Analysis backend'!$L$1,IF(ISERROR(MATCH('Analysis backend'!$M$1,E5985:I5985,0)),"Dire","Radiant"),"")</f>
        <v/>
      </c>
    </row>
    <row r="5986" spans="20:21" x14ac:dyDescent="0.3">
      <c r="T5986" t="str">
        <f>IF(ISERROR(MATCH('Analysis backend'!$M$1,E5986:N5986,0)),"",'Analysis backend'!$L$1)</f>
        <v/>
      </c>
      <c r="U5986" t="str">
        <f>IF(T5986='Analysis backend'!$L$1,IF(ISERROR(MATCH('Analysis backend'!$M$1,E5986:I5986,0)),"Dire","Radiant"),"")</f>
        <v/>
      </c>
    </row>
    <row r="5987" spans="20:21" x14ac:dyDescent="0.3">
      <c r="T5987" t="str">
        <f>IF(ISERROR(MATCH('Analysis backend'!$M$1,E5987:N5987,0)),"",'Analysis backend'!$L$1)</f>
        <v/>
      </c>
      <c r="U5987" t="str">
        <f>IF(T5987='Analysis backend'!$L$1,IF(ISERROR(MATCH('Analysis backend'!$M$1,E5987:I5987,0)),"Dire","Radiant"),"")</f>
        <v/>
      </c>
    </row>
    <row r="5988" spans="20:21" x14ac:dyDescent="0.3">
      <c r="T5988" t="str">
        <f>IF(ISERROR(MATCH('Analysis backend'!$M$1,E5988:N5988,0)),"",'Analysis backend'!$L$1)</f>
        <v/>
      </c>
      <c r="U5988" t="str">
        <f>IF(T5988='Analysis backend'!$L$1,IF(ISERROR(MATCH('Analysis backend'!$M$1,E5988:I5988,0)),"Dire","Radiant"),"")</f>
        <v/>
      </c>
    </row>
    <row r="5989" spans="20:21" x14ac:dyDescent="0.3">
      <c r="T5989" t="str">
        <f>IF(ISERROR(MATCH('Analysis backend'!$M$1,E5989:N5989,0)),"",'Analysis backend'!$L$1)</f>
        <v/>
      </c>
      <c r="U5989" t="str">
        <f>IF(T5989='Analysis backend'!$L$1,IF(ISERROR(MATCH('Analysis backend'!$M$1,E5989:I5989,0)),"Dire","Radiant"),"")</f>
        <v/>
      </c>
    </row>
    <row r="5990" spans="20:21" x14ac:dyDescent="0.3">
      <c r="T5990" t="str">
        <f>IF(ISERROR(MATCH('Analysis backend'!$M$1,E5990:N5990,0)),"",'Analysis backend'!$L$1)</f>
        <v/>
      </c>
      <c r="U5990" t="str">
        <f>IF(T5990='Analysis backend'!$L$1,IF(ISERROR(MATCH('Analysis backend'!$M$1,E5990:I5990,0)),"Dire","Radiant"),"")</f>
        <v/>
      </c>
    </row>
    <row r="5991" spans="20:21" x14ac:dyDescent="0.3">
      <c r="T5991" t="str">
        <f>IF(ISERROR(MATCH('Analysis backend'!$M$1,E5991:N5991,0)),"",'Analysis backend'!$L$1)</f>
        <v/>
      </c>
      <c r="U5991" t="str">
        <f>IF(T5991='Analysis backend'!$L$1,IF(ISERROR(MATCH('Analysis backend'!$M$1,E5991:I5991,0)),"Dire","Radiant"),"")</f>
        <v/>
      </c>
    </row>
    <row r="5992" spans="20:21" x14ac:dyDescent="0.3">
      <c r="T5992" t="str">
        <f>IF(ISERROR(MATCH('Analysis backend'!$M$1,E5992:N5992,0)),"",'Analysis backend'!$L$1)</f>
        <v/>
      </c>
      <c r="U5992" t="str">
        <f>IF(T5992='Analysis backend'!$L$1,IF(ISERROR(MATCH('Analysis backend'!$M$1,E5992:I5992,0)),"Dire","Radiant"),"")</f>
        <v/>
      </c>
    </row>
    <row r="5993" spans="20:21" x14ac:dyDescent="0.3">
      <c r="T5993" t="str">
        <f>IF(ISERROR(MATCH('Analysis backend'!$M$1,E5993:N5993,0)),"",'Analysis backend'!$L$1)</f>
        <v/>
      </c>
      <c r="U5993" t="str">
        <f>IF(T5993='Analysis backend'!$L$1,IF(ISERROR(MATCH('Analysis backend'!$M$1,E5993:I5993,0)),"Dire","Radiant"),"")</f>
        <v/>
      </c>
    </row>
    <row r="5994" spans="20:21" x14ac:dyDescent="0.3">
      <c r="T5994" t="str">
        <f>IF(ISERROR(MATCH('Analysis backend'!$M$1,E5994:N5994,0)),"",'Analysis backend'!$L$1)</f>
        <v/>
      </c>
      <c r="U5994" t="str">
        <f>IF(T5994='Analysis backend'!$L$1,IF(ISERROR(MATCH('Analysis backend'!$M$1,E5994:I5994,0)),"Dire","Radiant"),"")</f>
        <v/>
      </c>
    </row>
    <row r="5995" spans="20:21" x14ac:dyDescent="0.3">
      <c r="T5995" t="str">
        <f>IF(ISERROR(MATCH('Analysis backend'!$M$1,E5995:N5995,0)),"",'Analysis backend'!$L$1)</f>
        <v/>
      </c>
      <c r="U5995" t="str">
        <f>IF(T5995='Analysis backend'!$L$1,IF(ISERROR(MATCH('Analysis backend'!$M$1,E5995:I5995,0)),"Dire","Radiant"),"")</f>
        <v/>
      </c>
    </row>
    <row r="5996" spans="20:21" x14ac:dyDescent="0.3">
      <c r="T5996" t="str">
        <f>IF(ISERROR(MATCH('Analysis backend'!$M$1,E5996:N5996,0)),"",'Analysis backend'!$L$1)</f>
        <v/>
      </c>
      <c r="U5996" t="str">
        <f>IF(T5996='Analysis backend'!$L$1,IF(ISERROR(MATCH('Analysis backend'!$M$1,E5996:I5996,0)),"Dire","Radiant"),"")</f>
        <v/>
      </c>
    </row>
    <row r="5997" spans="20:21" x14ac:dyDescent="0.3">
      <c r="T5997" t="str">
        <f>IF(ISERROR(MATCH('Analysis backend'!$M$1,E5997:N5997,0)),"",'Analysis backend'!$L$1)</f>
        <v/>
      </c>
      <c r="U5997" t="str">
        <f>IF(T5997='Analysis backend'!$L$1,IF(ISERROR(MATCH('Analysis backend'!$M$1,E5997:I5997,0)),"Dire","Radiant"),"")</f>
        <v/>
      </c>
    </row>
    <row r="5998" spans="20:21" x14ac:dyDescent="0.3">
      <c r="T5998" t="str">
        <f>IF(ISERROR(MATCH('Analysis backend'!$M$1,E5998:N5998,0)),"",'Analysis backend'!$L$1)</f>
        <v/>
      </c>
      <c r="U5998" t="str">
        <f>IF(T5998='Analysis backend'!$L$1,IF(ISERROR(MATCH('Analysis backend'!$M$1,E5998:I5998,0)),"Dire","Radiant"),"")</f>
        <v/>
      </c>
    </row>
    <row r="5999" spans="20:21" x14ac:dyDescent="0.3">
      <c r="T5999" t="str">
        <f>IF(ISERROR(MATCH('Analysis backend'!$M$1,E5999:N5999,0)),"",'Analysis backend'!$L$1)</f>
        <v/>
      </c>
      <c r="U5999" t="str">
        <f>IF(T5999='Analysis backend'!$L$1,IF(ISERROR(MATCH('Analysis backend'!$M$1,E5999:I5999,0)),"Dire","Radiant"),"")</f>
        <v/>
      </c>
    </row>
    <row r="6000" spans="20:21" x14ac:dyDescent="0.3">
      <c r="T6000" t="str">
        <f>IF(ISERROR(MATCH('Analysis backend'!$M$1,E6000:N6000,0)),"",'Analysis backend'!$L$1)</f>
        <v/>
      </c>
      <c r="U6000" t="str">
        <f>IF(T6000='Analysis backend'!$L$1,IF(ISERROR(MATCH('Analysis backend'!$M$1,E6000:I6000,0)),"Dire","Radiant"),"")</f>
        <v/>
      </c>
    </row>
    <row r="6001" spans="20:21" x14ac:dyDescent="0.3">
      <c r="T6001" t="str">
        <f>IF(ISERROR(MATCH('Analysis backend'!$M$1,E6001:N6001,0)),"",'Analysis backend'!$L$1)</f>
        <v/>
      </c>
      <c r="U6001" t="str">
        <f>IF(T6001='Analysis backend'!$L$1,IF(ISERROR(MATCH('Analysis backend'!$M$1,E6001:I6001,0)),"Dire","Radiant"),"")</f>
        <v/>
      </c>
    </row>
    <row r="6002" spans="20:21" x14ac:dyDescent="0.3">
      <c r="T6002" t="str">
        <f>IF(ISERROR(MATCH('Analysis backend'!$M$1,E6002:N6002,0)),"",'Analysis backend'!$L$1)</f>
        <v/>
      </c>
      <c r="U6002" t="str">
        <f>IF(T6002='Analysis backend'!$L$1,IF(ISERROR(MATCH('Analysis backend'!$M$1,E6002:I6002,0)),"Dire","Radiant"),"")</f>
        <v/>
      </c>
    </row>
    <row r="6003" spans="20:21" x14ac:dyDescent="0.3">
      <c r="T6003" t="str">
        <f>IF(ISERROR(MATCH('Analysis backend'!$M$1,E6003:N6003,0)),"",'Analysis backend'!$L$1)</f>
        <v/>
      </c>
      <c r="U6003" t="str">
        <f>IF(T6003='Analysis backend'!$L$1,IF(ISERROR(MATCH('Analysis backend'!$M$1,E6003:I6003,0)),"Dire","Radiant"),"")</f>
        <v/>
      </c>
    </row>
    <row r="6004" spans="20:21" x14ac:dyDescent="0.3">
      <c r="T6004" t="str">
        <f>IF(ISERROR(MATCH('Analysis backend'!$M$1,E6004:N6004,0)),"",'Analysis backend'!$L$1)</f>
        <v/>
      </c>
      <c r="U6004" t="str">
        <f>IF(T6004='Analysis backend'!$L$1,IF(ISERROR(MATCH('Analysis backend'!$M$1,E6004:I6004,0)),"Dire","Radiant"),"")</f>
        <v/>
      </c>
    </row>
    <row r="6005" spans="20:21" x14ac:dyDescent="0.3">
      <c r="T6005" t="str">
        <f>IF(ISERROR(MATCH('Analysis backend'!$M$1,E6005:N6005,0)),"",'Analysis backend'!$L$1)</f>
        <v/>
      </c>
      <c r="U6005" t="str">
        <f>IF(T6005='Analysis backend'!$L$1,IF(ISERROR(MATCH('Analysis backend'!$M$1,E6005:I6005,0)),"Dire","Radiant"),"")</f>
        <v/>
      </c>
    </row>
    <row r="6006" spans="20:21" x14ac:dyDescent="0.3">
      <c r="T6006" t="str">
        <f>IF(ISERROR(MATCH('Analysis backend'!$M$1,E6006:N6006,0)),"",'Analysis backend'!$L$1)</f>
        <v/>
      </c>
      <c r="U6006" t="str">
        <f>IF(T6006='Analysis backend'!$L$1,IF(ISERROR(MATCH('Analysis backend'!$M$1,E6006:I6006,0)),"Dire","Radiant"),"")</f>
        <v/>
      </c>
    </row>
    <row r="6007" spans="20:21" x14ac:dyDescent="0.3">
      <c r="T6007" t="str">
        <f>IF(ISERROR(MATCH('Analysis backend'!$M$1,E6007:N6007,0)),"",'Analysis backend'!$L$1)</f>
        <v/>
      </c>
      <c r="U6007" t="str">
        <f>IF(T6007='Analysis backend'!$L$1,IF(ISERROR(MATCH('Analysis backend'!$M$1,E6007:I6007,0)),"Dire","Radiant"),"")</f>
        <v/>
      </c>
    </row>
    <row r="6008" spans="20:21" x14ac:dyDescent="0.3">
      <c r="T6008" t="str">
        <f>IF(ISERROR(MATCH('Analysis backend'!$M$1,E6008:N6008,0)),"",'Analysis backend'!$L$1)</f>
        <v/>
      </c>
      <c r="U6008" t="str">
        <f>IF(T6008='Analysis backend'!$L$1,IF(ISERROR(MATCH('Analysis backend'!$M$1,E6008:I6008,0)),"Dire","Radiant"),"")</f>
        <v/>
      </c>
    </row>
    <row r="6009" spans="20:21" x14ac:dyDescent="0.3">
      <c r="T6009" t="str">
        <f>IF(ISERROR(MATCH('Analysis backend'!$M$1,E6009:N6009,0)),"",'Analysis backend'!$L$1)</f>
        <v/>
      </c>
      <c r="U6009" t="str">
        <f>IF(T6009='Analysis backend'!$L$1,IF(ISERROR(MATCH('Analysis backend'!$M$1,E6009:I6009,0)),"Dire","Radiant"),"")</f>
        <v/>
      </c>
    </row>
    <row r="6010" spans="20:21" x14ac:dyDescent="0.3">
      <c r="T6010" t="str">
        <f>IF(ISERROR(MATCH('Analysis backend'!$M$1,E6010:N6010,0)),"",'Analysis backend'!$L$1)</f>
        <v/>
      </c>
      <c r="U6010" t="str">
        <f>IF(T6010='Analysis backend'!$L$1,IF(ISERROR(MATCH('Analysis backend'!$M$1,E6010:I6010,0)),"Dire","Radiant"),"")</f>
        <v/>
      </c>
    </row>
    <row r="6011" spans="20:21" x14ac:dyDescent="0.3">
      <c r="T6011" t="str">
        <f>IF(ISERROR(MATCH('Analysis backend'!$M$1,E6011:N6011,0)),"",'Analysis backend'!$L$1)</f>
        <v/>
      </c>
      <c r="U6011" t="str">
        <f>IF(T6011='Analysis backend'!$L$1,IF(ISERROR(MATCH('Analysis backend'!$M$1,E6011:I6011,0)),"Dire","Radiant"),"")</f>
        <v/>
      </c>
    </row>
    <row r="6012" spans="20:21" x14ac:dyDescent="0.3">
      <c r="T6012" t="str">
        <f>IF(ISERROR(MATCH('Analysis backend'!$M$1,E6012:N6012,0)),"",'Analysis backend'!$L$1)</f>
        <v/>
      </c>
      <c r="U6012" t="str">
        <f>IF(T6012='Analysis backend'!$L$1,IF(ISERROR(MATCH('Analysis backend'!$M$1,E6012:I6012,0)),"Dire","Radiant"),"")</f>
        <v/>
      </c>
    </row>
    <row r="6013" spans="20:21" x14ac:dyDescent="0.3">
      <c r="T6013" t="str">
        <f>IF(ISERROR(MATCH('Analysis backend'!$M$1,E6013:N6013,0)),"",'Analysis backend'!$L$1)</f>
        <v/>
      </c>
      <c r="U6013" t="str">
        <f>IF(T6013='Analysis backend'!$L$1,IF(ISERROR(MATCH('Analysis backend'!$M$1,E6013:I6013,0)),"Dire","Radiant"),"")</f>
        <v/>
      </c>
    </row>
    <row r="6014" spans="20:21" x14ac:dyDescent="0.3">
      <c r="T6014" t="str">
        <f>IF(ISERROR(MATCH('Analysis backend'!$M$1,E6014:N6014,0)),"",'Analysis backend'!$L$1)</f>
        <v/>
      </c>
      <c r="U6014" t="str">
        <f>IF(T6014='Analysis backend'!$L$1,IF(ISERROR(MATCH('Analysis backend'!$M$1,E6014:I6014,0)),"Dire","Radiant"),"")</f>
        <v/>
      </c>
    </row>
    <row r="6015" spans="20:21" x14ac:dyDescent="0.3">
      <c r="T6015" t="str">
        <f>IF(ISERROR(MATCH('Analysis backend'!$M$1,E6015:N6015,0)),"",'Analysis backend'!$L$1)</f>
        <v/>
      </c>
      <c r="U6015" t="str">
        <f>IF(T6015='Analysis backend'!$L$1,IF(ISERROR(MATCH('Analysis backend'!$M$1,E6015:I6015,0)),"Dire","Radiant"),"")</f>
        <v/>
      </c>
    </row>
    <row r="6016" spans="20:21" x14ac:dyDescent="0.3">
      <c r="T6016" t="str">
        <f>IF(ISERROR(MATCH('Analysis backend'!$M$1,E6016:N6016,0)),"",'Analysis backend'!$L$1)</f>
        <v/>
      </c>
      <c r="U6016" t="str">
        <f>IF(T6016='Analysis backend'!$L$1,IF(ISERROR(MATCH('Analysis backend'!$M$1,E6016:I6016,0)),"Dire","Radiant"),"")</f>
        <v/>
      </c>
    </row>
    <row r="6017" spans="20:21" x14ac:dyDescent="0.3">
      <c r="T6017" t="str">
        <f>IF(ISERROR(MATCH('Analysis backend'!$M$1,E6017:N6017,0)),"",'Analysis backend'!$L$1)</f>
        <v/>
      </c>
      <c r="U6017" t="str">
        <f>IF(T6017='Analysis backend'!$L$1,IF(ISERROR(MATCH('Analysis backend'!$M$1,E6017:I6017,0)),"Dire","Radiant"),"")</f>
        <v/>
      </c>
    </row>
    <row r="6018" spans="20:21" x14ac:dyDescent="0.3">
      <c r="T6018" t="str">
        <f>IF(ISERROR(MATCH('Analysis backend'!$M$1,E6018:N6018,0)),"",'Analysis backend'!$L$1)</f>
        <v/>
      </c>
      <c r="U6018" t="str">
        <f>IF(T6018='Analysis backend'!$L$1,IF(ISERROR(MATCH('Analysis backend'!$M$1,E6018:I6018,0)),"Dire","Radiant"),"")</f>
        <v/>
      </c>
    </row>
    <row r="6019" spans="20:21" x14ac:dyDescent="0.3">
      <c r="T6019" t="str">
        <f>IF(ISERROR(MATCH('Analysis backend'!$M$1,E6019:N6019,0)),"",'Analysis backend'!$L$1)</f>
        <v/>
      </c>
      <c r="U6019" t="str">
        <f>IF(T6019='Analysis backend'!$L$1,IF(ISERROR(MATCH('Analysis backend'!$M$1,E6019:I6019,0)),"Dire","Radiant"),"")</f>
        <v/>
      </c>
    </row>
    <row r="6020" spans="20:21" x14ac:dyDescent="0.3">
      <c r="T6020" t="str">
        <f>IF(ISERROR(MATCH('Analysis backend'!$M$1,E6020:N6020,0)),"",'Analysis backend'!$L$1)</f>
        <v/>
      </c>
      <c r="U6020" t="str">
        <f>IF(T6020='Analysis backend'!$L$1,IF(ISERROR(MATCH('Analysis backend'!$M$1,E6020:I6020,0)),"Dire","Radiant"),"")</f>
        <v/>
      </c>
    </row>
    <row r="6021" spans="20:21" x14ac:dyDescent="0.3">
      <c r="T6021" t="str">
        <f>IF(ISERROR(MATCH('Analysis backend'!$M$1,E6021:N6021,0)),"",'Analysis backend'!$L$1)</f>
        <v/>
      </c>
      <c r="U6021" t="str">
        <f>IF(T6021='Analysis backend'!$L$1,IF(ISERROR(MATCH('Analysis backend'!$M$1,E6021:I6021,0)),"Dire","Radiant"),"")</f>
        <v/>
      </c>
    </row>
    <row r="6022" spans="20:21" x14ac:dyDescent="0.3">
      <c r="T6022" t="str">
        <f>IF(ISERROR(MATCH('Analysis backend'!$M$1,E6022:N6022,0)),"",'Analysis backend'!$L$1)</f>
        <v/>
      </c>
      <c r="U6022" t="str">
        <f>IF(T6022='Analysis backend'!$L$1,IF(ISERROR(MATCH('Analysis backend'!$M$1,E6022:I6022,0)),"Dire","Radiant"),"")</f>
        <v/>
      </c>
    </row>
    <row r="6023" spans="20:21" x14ac:dyDescent="0.3">
      <c r="T6023" t="str">
        <f>IF(ISERROR(MATCH('Analysis backend'!$M$1,E6023:N6023,0)),"",'Analysis backend'!$L$1)</f>
        <v/>
      </c>
      <c r="U6023" t="str">
        <f>IF(T6023='Analysis backend'!$L$1,IF(ISERROR(MATCH('Analysis backend'!$M$1,E6023:I6023,0)),"Dire","Radiant"),"")</f>
        <v/>
      </c>
    </row>
    <row r="6024" spans="20:21" x14ac:dyDescent="0.3">
      <c r="T6024" t="str">
        <f>IF(ISERROR(MATCH('Analysis backend'!$M$1,E6024:N6024,0)),"",'Analysis backend'!$L$1)</f>
        <v/>
      </c>
      <c r="U6024" t="str">
        <f>IF(T6024='Analysis backend'!$L$1,IF(ISERROR(MATCH('Analysis backend'!$M$1,E6024:I6024,0)),"Dire","Radiant"),"")</f>
        <v/>
      </c>
    </row>
    <row r="6025" spans="20:21" x14ac:dyDescent="0.3">
      <c r="T6025" t="str">
        <f>IF(ISERROR(MATCH('Analysis backend'!$M$1,E6025:N6025,0)),"",'Analysis backend'!$L$1)</f>
        <v/>
      </c>
      <c r="U6025" t="str">
        <f>IF(T6025='Analysis backend'!$L$1,IF(ISERROR(MATCH('Analysis backend'!$M$1,E6025:I6025,0)),"Dire","Radiant"),"")</f>
        <v/>
      </c>
    </row>
    <row r="6026" spans="20:21" x14ac:dyDescent="0.3">
      <c r="T6026" t="str">
        <f>IF(ISERROR(MATCH('Analysis backend'!$M$1,E6026:N6026,0)),"",'Analysis backend'!$L$1)</f>
        <v/>
      </c>
      <c r="U6026" t="str">
        <f>IF(T6026='Analysis backend'!$L$1,IF(ISERROR(MATCH('Analysis backend'!$M$1,E6026:I6026,0)),"Dire","Radiant"),"")</f>
        <v/>
      </c>
    </row>
    <row r="6027" spans="20:21" x14ac:dyDescent="0.3">
      <c r="T6027" t="str">
        <f>IF(ISERROR(MATCH('Analysis backend'!$M$1,E6027:N6027,0)),"",'Analysis backend'!$L$1)</f>
        <v/>
      </c>
      <c r="U6027" t="str">
        <f>IF(T6027='Analysis backend'!$L$1,IF(ISERROR(MATCH('Analysis backend'!$M$1,E6027:I6027,0)),"Dire","Radiant"),"")</f>
        <v/>
      </c>
    </row>
    <row r="6028" spans="20:21" x14ac:dyDescent="0.3">
      <c r="T6028" t="str">
        <f>IF(ISERROR(MATCH('Analysis backend'!$M$1,E6028:N6028,0)),"",'Analysis backend'!$L$1)</f>
        <v/>
      </c>
      <c r="U6028" t="str">
        <f>IF(T6028='Analysis backend'!$L$1,IF(ISERROR(MATCH('Analysis backend'!$M$1,E6028:I6028,0)),"Dire","Radiant"),"")</f>
        <v/>
      </c>
    </row>
    <row r="6029" spans="20:21" x14ac:dyDescent="0.3">
      <c r="T6029" t="str">
        <f>IF(ISERROR(MATCH('Analysis backend'!$M$1,E6029:N6029,0)),"",'Analysis backend'!$L$1)</f>
        <v/>
      </c>
      <c r="U6029" t="str">
        <f>IF(T6029='Analysis backend'!$L$1,IF(ISERROR(MATCH('Analysis backend'!$M$1,E6029:I6029,0)),"Dire","Radiant"),"")</f>
        <v/>
      </c>
    </row>
    <row r="6030" spans="20:21" x14ac:dyDescent="0.3">
      <c r="T6030" t="str">
        <f>IF(ISERROR(MATCH('Analysis backend'!$M$1,E6030:N6030,0)),"",'Analysis backend'!$L$1)</f>
        <v/>
      </c>
      <c r="U6030" t="str">
        <f>IF(T6030='Analysis backend'!$L$1,IF(ISERROR(MATCH('Analysis backend'!$M$1,E6030:I6030,0)),"Dire","Radiant"),"")</f>
        <v/>
      </c>
    </row>
    <row r="6031" spans="20:21" x14ac:dyDescent="0.3">
      <c r="T6031" t="str">
        <f>IF(ISERROR(MATCH('Analysis backend'!$M$1,E6031:N6031,0)),"",'Analysis backend'!$L$1)</f>
        <v/>
      </c>
      <c r="U6031" t="str">
        <f>IF(T6031='Analysis backend'!$L$1,IF(ISERROR(MATCH('Analysis backend'!$M$1,E6031:I6031,0)),"Dire","Radiant"),"")</f>
        <v/>
      </c>
    </row>
    <row r="6032" spans="20:21" x14ac:dyDescent="0.3">
      <c r="T6032" t="str">
        <f>IF(ISERROR(MATCH('Analysis backend'!$M$1,E6032:N6032,0)),"",'Analysis backend'!$L$1)</f>
        <v/>
      </c>
      <c r="U6032" t="str">
        <f>IF(T6032='Analysis backend'!$L$1,IF(ISERROR(MATCH('Analysis backend'!$M$1,E6032:I6032,0)),"Dire","Radiant"),"")</f>
        <v/>
      </c>
    </row>
    <row r="6033" spans="20:21" x14ac:dyDescent="0.3">
      <c r="T6033" t="str">
        <f>IF(ISERROR(MATCH('Analysis backend'!$M$1,E6033:N6033,0)),"",'Analysis backend'!$L$1)</f>
        <v/>
      </c>
      <c r="U6033" t="str">
        <f>IF(T6033='Analysis backend'!$L$1,IF(ISERROR(MATCH('Analysis backend'!$M$1,E6033:I6033,0)),"Dire","Radiant"),"")</f>
        <v/>
      </c>
    </row>
    <row r="6034" spans="20:21" x14ac:dyDescent="0.3">
      <c r="T6034" t="str">
        <f>IF(ISERROR(MATCH('Analysis backend'!$M$1,E6034:N6034,0)),"",'Analysis backend'!$L$1)</f>
        <v/>
      </c>
      <c r="U6034" t="str">
        <f>IF(T6034='Analysis backend'!$L$1,IF(ISERROR(MATCH('Analysis backend'!$M$1,E6034:I6034,0)),"Dire","Radiant"),"")</f>
        <v/>
      </c>
    </row>
    <row r="6035" spans="20:21" x14ac:dyDescent="0.3">
      <c r="T6035" t="str">
        <f>IF(ISERROR(MATCH('Analysis backend'!$M$1,E6035:N6035,0)),"",'Analysis backend'!$L$1)</f>
        <v/>
      </c>
      <c r="U6035" t="str">
        <f>IF(T6035='Analysis backend'!$L$1,IF(ISERROR(MATCH('Analysis backend'!$M$1,E6035:I6035,0)),"Dire","Radiant"),"")</f>
        <v/>
      </c>
    </row>
    <row r="6036" spans="20:21" x14ac:dyDescent="0.3">
      <c r="T6036" t="str">
        <f>IF(ISERROR(MATCH('Analysis backend'!$M$1,E6036:N6036,0)),"",'Analysis backend'!$L$1)</f>
        <v/>
      </c>
      <c r="U6036" t="str">
        <f>IF(T6036='Analysis backend'!$L$1,IF(ISERROR(MATCH('Analysis backend'!$M$1,E6036:I6036,0)),"Dire","Radiant"),"")</f>
        <v/>
      </c>
    </row>
    <row r="6037" spans="20:21" x14ac:dyDescent="0.3">
      <c r="T6037" t="str">
        <f>IF(ISERROR(MATCH('Analysis backend'!$M$1,E6037:N6037,0)),"",'Analysis backend'!$L$1)</f>
        <v/>
      </c>
      <c r="U6037" t="str">
        <f>IF(T6037='Analysis backend'!$L$1,IF(ISERROR(MATCH('Analysis backend'!$M$1,E6037:I6037,0)),"Dire","Radiant"),"")</f>
        <v/>
      </c>
    </row>
    <row r="6038" spans="20:21" x14ac:dyDescent="0.3">
      <c r="T6038" t="str">
        <f>IF(ISERROR(MATCH('Analysis backend'!$M$1,E6038:N6038,0)),"",'Analysis backend'!$L$1)</f>
        <v/>
      </c>
      <c r="U6038" t="str">
        <f>IF(T6038='Analysis backend'!$L$1,IF(ISERROR(MATCH('Analysis backend'!$M$1,E6038:I6038,0)),"Dire","Radiant"),"")</f>
        <v/>
      </c>
    </row>
    <row r="6039" spans="20:21" x14ac:dyDescent="0.3">
      <c r="T6039" t="str">
        <f>IF(ISERROR(MATCH('Analysis backend'!$M$1,E6039:N6039,0)),"",'Analysis backend'!$L$1)</f>
        <v/>
      </c>
      <c r="U6039" t="str">
        <f>IF(T6039='Analysis backend'!$L$1,IF(ISERROR(MATCH('Analysis backend'!$M$1,E6039:I6039,0)),"Dire","Radiant"),"")</f>
        <v/>
      </c>
    </row>
    <row r="6040" spans="20:21" x14ac:dyDescent="0.3">
      <c r="T6040" t="str">
        <f>IF(ISERROR(MATCH('Analysis backend'!$M$1,E6040:N6040,0)),"",'Analysis backend'!$L$1)</f>
        <v/>
      </c>
      <c r="U6040" t="str">
        <f>IF(T6040='Analysis backend'!$L$1,IF(ISERROR(MATCH('Analysis backend'!$M$1,E6040:I6040,0)),"Dire","Radiant"),"")</f>
        <v/>
      </c>
    </row>
    <row r="6041" spans="20:21" x14ac:dyDescent="0.3">
      <c r="T6041" t="str">
        <f>IF(ISERROR(MATCH('Analysis backend'!$M$1,E6041:N6041,0)),"",'Analysis backend'!$L$1)</f>
        <v/>
      </c>
      <c r="U6041" t="str">
        <f>IF(T6041='Analysis backend'!$L$1,IF(ISERROR(MATCH('Analysis backend'!$M$1,E6041:I6041,0)),"Dire","Radiant"),"")</f>
        <v/>
      </c>
    </row>
    <row r="6042" spans="20:21" x14ac:dyDescent="0.3">
      <c r="T6042" t="str">
        <f>IF(ISERROR(MATCH('Analysis backend'!$M$1,E6042:N6042,0)),"",'Analysis backend'!$L$1)</f>
        <v/>
      </c>
      <c r="U6042" t="str">
        <f>IF(T6042='Analysis backend'!$L$1,IF(ISERROR(MATCH('Analysis backend'!$M$1,E6042:I6042,0)),"Dire","Radiant"),"")</f>
        <v/>
      </c>
    </row>
    <row r="6043" spans="20:21" x14ac:dyDescent="0.3">
      <c r="T6043" t="str">
        <f>IF(ISERROR(MATCH('Analysis backend'!$M$1,E6043:N6043,0)),"",'Analysis backend'!$L$1)</f>
        <v/>
      </c>
      <c r="U6043" t="str">
        <f>IF(T6043='Analysis backend'!$L$1,IF(ISERROR(MATCH('Analysis backend'!$M$1,E6043:I6043,0)),"Dire","Radiant"),"")</f>
        <v/>
      </c>
    </row>
    <row r="6044" spans="20:21" x14ac:dyDescent="0.3">
      <c r="T6044" t="str">
        <f>IF(ISERROR(MATCH('Analysis backend'!$M$1,E6044:N6044,0)),"",'Analysis backend'!$L$1)</f>
        <v/>
      </c>
      <c r="U6044" t="str">
        <f>IF(T6044='Analysis backend'!$L$1,IF(ISERROR(MATCH('Analysis backend'!$M$1,E6044:I6044,0)),"Dire","Radiant"),"")</f>
        <v/>
      </c>
    </row>
    <row r="6045" spans="20:21" x14ac:dyDescent="0.3">
      <c r="T6045" t="str">
        <f>IF(ISERROR(MATCH('Analysis backend'!$M$1,E6045:N6045,0)),"",'Analysis backend'!$L$1)</f>
        <v/>
      </c>
      <c r="U6045" t="str">
        <f>IF(T6045='Analysis backend'!$L$1,IF(ISERROR(MATCH('Analysis backend'!$M$1,E6045:I6045,0)),"Dire","Radiant"),"")</f>
        <v/>
      </c>
    </row>
    <row r="6046" spans="20:21" x14ac:dyDescent="0.3">
      <c r="T6046" t="str">
        <f>IF(ISERROR(MATCH('Analysis backend'!$M$1,E6046:N6046,0)),"",'Analysis backend'!$L$1)</f>
        <v/>
      </c>
      <c r="U6046" t="str">
        <f>IF(T6046='Analysis backend'!$L$1,IF(ISERROR(MATCH('Analysis backend'!$M$1,E6046:I6046,0)),"Dire","Radiant"),"")</f>
        <v/>
      </c>
    </row>
    <row r="6047" spans="20:21" x14ac:dyDescent="0.3">
      <c r="T6047" t="str">
        <f>IF(ISERROR(MATCH('Analysis backend'!$M$1,E6047:N6047,0)),"",'Analysis backend'!$L$1)</f>
        <v/>
      </c>
      <c r="U6047" t="str">
        <f>IF(T6047='Analysis backend'!$L$1,IF(ISERROR(MATCH('Analysis backend'!$M$1,E6047:I6047,0)),"Dire","Radiant"),"")</f>
        <v/>
      </c>
    </row>
    <row r="6048" spans="20:21" x14ac:dyDescent="0.3">
      <c r="T6048" t="str">
        <f>IF(ISERROR(MATCH('Analysis backend'!$M$1,E6048:N6048,0)),"",'Analysis backend'!$L$1)</f>
        <v/>
      </c>
      <c r="U6048" t="str">
        <f>IF(T6048='Analysis backend'!$L$1,IF(ISERROR(MATCH('Analysis backend'!$M$1,E6048:I6048,0)),"Dire","Radiant"),"")</f>
        <v/>
      </c>
    </row>
    <row r="6049" spans="20:21" x14ac:dyDescent="0.3">
      <c r="T6049" t="str">
        <f>IF(ISERROR(MATCH('Analysis backend'!$M$1,E6049:N6049,0)),"",'Analysis backend'!$L$1)</f>
        <v/>
      </c>
      <c r="U6049" t="str">
        <f>IF(T6049='Analysis backend'!$L$1,IF(ISERROR(MATCH('Analysis backend'!$M$1,E6049:I6049,0)),"Dire","Radiant"),"")</f>
        <v/>
      </c>
    </row>
    <row r="6050" spans="20:21" x14ac:dyDescent="0.3">
      <c r="T6050" t="str">
        <f>IF(ISERROR(MATCH('Analysis backend'!$M$1,E6050:N6050,0)),"",'Analysis backend'!$L$1)</f>
        <v/>
      </c>
      <c r="U6050" t="str">
        <f>IF(T6050='Analysis backend'!$L$1,IF(ISERROR(MATCH('Analysis backend'!$M$1,E6050:I6050,0)),"Dire","Radiant"),"")</f>
        <v/>
      </c>
    </row>
    <row r="6051" spans="20:21" x14ac:dyDescent="0.3">
      <c r="T6051" t="str">
        <f>IF(ISERROR(MATCH('Analysis backend'!$M$1,E6051:N6051,0)),"",'Analysis backend'!$L$1)</f>
        <v/>
      </c>
      <c r="U6051" t="str">
        <f>IF(T6051='Analysis backend'!$L$1,IF(ISERROR(MATCH('Analysis backend'!$M$1,E6051:I6051,0)),"Dire","Radiant"),"")</f>
        <v/>
      </c>
    </row>
    <row r="6052" spans="20:21" x14ac:dyDescent="0.3">
      <c r="T6052" t="str">
        <f>IF(ISERROR(MATCH('Analysis backend'!$M$1,E6052:N6052,0)),"",'Analysis backend'!$L$1)</f>
        <v/>
      </c>
      <c r="U6052" t="str">
        <f>IF(T6052='Analysis backend'!$L$1,IF(ISERROR(MATCH('Analysis backend'!$M$1,E6052:I6052,0)),"Dire","Radiant"),"")</f>
        <v/>
      </c>
    </row>
    <row r="6053" spans="20:21" x14ac:dyDescent="0.3">
      <c r="T6053" t="str">
        <f>IF(ISERROR(MATCH('Analysis backend'!$M$1,E6053:N6053,0)),"",'Analysis backend'!$L$1)</f>
        <v/>
      </c>
      <c r="U6053" t="str">
        <f>IF(T6053='Analysis backend'!$L$1,IF(ISERROR(MATCH('Analysis backend'!$M$1,E6053:I6053,0)),"Dire","Radiant"),"")</f>
        <v/>
      </c>
    </row>
    <row r="6054" spans="20:21" x14ac:dyDescent="0.3">
      <c r="T6054" t="str">
        <f>IF(ISERROR(MATCH('Analysis backend'!$M$1,E6054:N6054,0)),"",'Analysis backend'!$L$1)</f>
        <v/>
      </c>
      <c r="U6054" t="str">
        <f>IF(T6054='Analysis backend'!$L$1,IF(ISERROR(MATCH('Analysis backend'!$M$1,E6054:I6054,0)),"Dire","Radiant"),"")</f>
        <v/>
      </c>
    </row>
    <row r="6055" spans="20:21" x14ac:dyDescent="0.3">
      <c r="T6055" t="str">
        <f>IF(ISERROR(MATCH('Analysis backend'!$M$1,E6055:N6055,0)),"",'Analysis backend'!$L$1)</f>
        <v/>
      </c>
      <c r="U6055" t="str">
        <f>IF(T6055='Analysis backend'!$L$1,IF(ISERROR(MATCH('Analysis backend'!$M$1,E6055:I6055,0)),"Dire","Radiant"),"")</f>
        <v/>
      </c>
    </row>
    <row r="6056" spans="20:21" x14ac:dyDescent="0.3">
      <c r="T6056" t="str">
        <f>IF(ISERROR(MATCH('Analysis backend'!$M$1,E6056:N6056,0)),"",'Analysis backend'!$L$1)</f>
        <v/>
      </c>
      <c r="U6056" t="str">
        <f>IF(T6056='Analysis backend'!$L$1,IF(ISERROR(MATCH('Analysis backend'!$M$1,E6056:I6056,0)),"Dire","Radiant"),"")</f>
        <v/>
      </c>
    </row>
    <row r="6057" spans="20:21" x14ac:dyDescent="0.3">
      <c r="T6057" t="str">
        <f>IF(ISERROR(MATCH('Analysis backend'!$M$1,E6057:N6057,0)),"",'Analysis backend'!$L$1)</f>
        <v/>
      </c>
      <c r="U6057" t="str">
        <f>IF(T6057='Analysis backend'!$L$1,IF(ISERROR(MATCH('Analysis backend'!$M$1,E6057:I6057,0)),"Dire","Radiant"),"")</f>
        <v/>
      </c>
    </row>
    <row r="6058" spans="20:21" x14ac:dyDescent="0.3">
      <c r="T6058" t="str">
        <f>IF(ISERROR(MATCH('Analysis backend'!$M$1,E6058:N6058,0)),"",'Analysis backend'!$L$1)</f>
        <v/>
      </c>
      <c r="U6058" t="str">
        <f>IF(T6058='Analysis backend'!$L$1,IF(ISERROR(MATCH('Analysis backend'!$M$1,E6058:I6058,0)),"Dire","Radiant"),"")</f>
        <v/>
      </c>
    </row>
    <row r="6059" spans="20:21" x14ac:dyDescent="0.3">
      <c r="T6059" t="str">
        <f>IF(ISERROR(MATCH('Analysis backend'!$M$1,E6059:N6059,0)),"",'Analysis backend'!$L$1)</f>
        <v/>
      </c>
      <c r="U6059" t="str">
        <f>IF(T6059='Analysis backend'!$L$1,IF(ISERROR(MATCH('Analysis backend'!$M$1,E6059:I6059,0)),"Dire","Radiant"),"")</f>
        <v/>
      </c>
    </row>
    <row r="6060" spans="20:21" x14ac:dyDescent="0.3">
      <c r="T6060" t="str">
        <f>IF(ISERROR(MATCH('Analysis backend'!$M$1,E6060:N6060,0)),"",'Analysis backend'!$L$1)</f>
        <v/>
      </c>
      <c r="U6060" t="str">
        <f>IF(T6060='Analysis backend'!$L$1,IF(ISERROR(MATCH('Analysis backend'!$M$1,E6060:I6060,0)),"Dire","Radiant"),"")</f>
        <v/>
      </c>
    </row>
    <row r="6061" spans="20:21" x14ac:dyDescent="0.3">
      <c r="T6061" t="str">
        <f>IF(ISERROR(MATCH('Analysis backend'!$M$1,E6061:N6061,0)),"",'Analysis backend'!$L$1)</f>
        <v/>
      </c>
      <c r="U6061" t="str">
        <f>IF(T6061='Analysis backend'!$L$1,IF(ISERROR(MATCH('Analysis backend'!$M$1,E6061:I6061,0)),"Dire","Radiant"),"")</f>
        <v/>
      </c>
    </row>
    <row r="6062" spans="20:21" x14ac:dyDescent="0.3">
      <c r="T6062" t="str">
        <f>IF(ISERROR(MATCH('Analysis backend'!$M$1,E6062:N6062,0)),"",'Analysis backend'!$L$1)</f>
        <v/>
      </c>
      <c r="U6062" t="str">
        <f>IF(T6062='Analysis backend'!$L$1,IF(ISERROR(MATCH('Analysis backend'!$M$1,E6062:I6062,0)),"Dire","Radiant"),"")</f>
        <v/>
      </c>
    </row>
    <row r="6063" spans="20:21" x14ac:dyDescent="0.3">
      <c r="T6063" t="str">
        <f>IF(ISERROR(MATCH('Analysis backend'!$M$1,E6063:N6063,0)),"",'Analysis backend'!$L$1)</f>
        <v/>
      </c>
      <c r="U6063" t="str">
        <f>IF(T6063='Analysis backend'!$L$1,IF(ISERROR(MATCH('Analysis backend'!$M$1,E6063:I6063,0)),"Dire","Radiant"),"")</f>
        <v/>
      </c>
    </row>
    <row r="6064" spans="20:21" x14ac:dyDescent="0.3">
      <c r="T6064" t="str">
        <f>IF(ISERROR(MATCH('Analysis backend'!$M$1,E6064:N6064,0)),"",'Analysis backend'!$L$1)</f>
        <v/>
      </c>
      <c r="U6064" t="str">
        <f>IF(T6064='Analysis backend'!$L$1,IF(ISERROR(MATCH('Analysis backend'!$M$1,E6064:I6064,0)),"Dire","Radiant"),"")</f>
        <v/>
      </c>
    </row>
    <row r="6065" spans="20:21" x14ac:dyDescent="0.3">
      <c r="T6065" t="str">
        <f>IF(ISERROR(MATCH('Analysis backend'!$M$1,E6065:N6065,0)),"",'Analysis backend'!$L$1)</f>
        <v/>
      </c>
      <c r="U6065" t="str">
        <f>IF(T6065='Analysis backend'!$L$1,IF(ISERROR(MATCH('Analysis backend'!$M$1,E6065:I6065,0)),"Dire","Radiant"),"")</f>
        <v/>
      </c>
    </row>
    <row r="6066" spans="20:21" x14ac:dyDescent="0.3">
      <c r="T6066" t="str">
        <f>IF(ISERROR(MATCH('Analysis backend'!$M$1,E6066:N6066,0)),"",'Analysis backend'!$L$1)</f>
        <v/>
      </c>
      <c r="U6066" t="str">
        <f>IF(T6066='Analysis backend'!$L$1,IF(ISERROR(MATCH('Analysis backend'!$M$1,E6066:I6066,0)),"Dire","Radiant"),"")</f>
        <v/>
      </c>
    </row>
    <row r="6067" spans="20:21" x14ac:dyDescent="0.3">
      <c r="T6067" t="str">
        <f>IF(ISERROR(MATCH('Analysis backend'!$M$1,E6067:N6067,0)),"",'Analysis backend'!$L$1)</f>
        <v/>
      </c>
      <c r="U6067" t="str">
        <f>IF(T6067='Analysis backend'!$L$1,IF(ISERROR(MATCH('Analysis backend'!$M$1,E6067:I6067,0)),"Dire","Radiant"),"")</f>
        <v/>
      </c>
    </row>
    <row r="6068" spans="20:21" x14ac:dyDescent="0.3">
      <c r="T6068" t="str">
        <f>IF(ISERROR(MATCH('Analysis backend'!$M$1,E6068:N6068,0)),"",'Analysis backend'!$L$1)</f>
        <v/>
      </c>
      <c r="U6068" t="str">
        <f>IF(T6068='Analysis backend'!$L$1,IF(ISERROR(MATCH('Analysis backend'!$M$1,E6068:I6068,0)),"Dire","Radiant"),"")</f>
        <v/>
      </c>
    </row>
    <row r="6069" spans="20:21" x14ac:dyDescent="0.3">
      <c r="T6069" t="str">
        <f>IF(ISERROR(MATCH('Analysis backend'!$M$1,E6069:N6069,0)),"",'Analysis backend'!$L$1)</f>
        <v/>
      </c>
      <c r="U6069" t="str">
        <f>IF(T6069='Analysis backend'!$L$1,IF(ISERROR(MATCH('Analysis backend'!$M$1,E6069:I6069,0)),"Dire","Radiant"),"")</f>
        <v/>
      </c>
    </row>
    <row r="6070" spans="20:21" x14ac:dyDescent="0.3">
      <c r="T6070" t="str">
        <f>IF(ISERROR(MATCH('Analysis backend'!$M$1,E6070:N6070,0)),"",'Analysis backend'!$L$1)</f>
        <v/>
      </c>
      <c r="U6070" t="str">
        <f>IF(T6070='Analysis backend'!$L$1,IF(ISERROR(MATCH('Analysis backend'!$M$1,E6070:I6070,0)),"Dire","Radiant"),"")</f>
        <v/>
      </c>
    </row>
    <row r="6071" spans="20:21" x14ac:dyDescent="0.3">
      <c r="T6071" t="str">
        <f>IF(ISERROR(MATCH('Analysis backend'!$M$1,E6071:N6071,0)),"",'Analysis backend'!$L$1)</f>
        <v/>
      </c>
      <c r="U6071" t="str">
        <f>IF(T6071='Analysis backend'!$L$1,IF(ISERROR(MATCH('Analysis backend'!$M$1,E6071:I6071,0)),"Dire","Radiant"),"")</f>
        <v/>
      </c>
    </row>
    <row r="6072" spans="20:21" x14ac:dyDescent="0.3">
      <c r="T6072" t="str">
        <f>IF(ISERROR(MATCH('Analysis backend'!$M$1,E6072:N6072,0)),"",'Analysis backend'!$L$1)</f>
        <v/>
      </c>
      <c r="U6072" t="str">
        <f>IF(T6072='Analysis backend'!$L$1,IF(ISERROR(MATCH('Analysis backend'!$M$1,E6072:I6072,0)),"Dire","Radiant"),"")</f>
        <v/>
      </c>
    </row>
    <row r="6073" spans="20:21" x14ac:dyDescent="0.3">
      <c r="T6073" t="str">
        <f>IF(ISERROR(MATCH('Analysis backend'!$M$1,E6073:N6073,0)),"",'Analysis backend'!$L$1)</f>
        <v/>
      </c>
      <c r="U6073" t="str">
        <f>IF(T6073='Analysis backend'!$L$1,IF(ISERROR(MATCH('Analysis backend'!$M$1,E6073:I6073,0)),"Dire","Radiant"),"")</f>
        <v/>
      </c>
    </row>
    <row r="6074" spans="20:21" x14ac:dyDescent="0.3">
      <c r="T6074" t="str">
        <f>IF(ISERROR(MATCH('Analysis backend'!$M$1,E6074:N6074,0)),"",'Analysis backend'!$L$1)</f>
        <v/>
      </c>
      <c r="U6074" t="str">
        <f>IF(T6074='Analysis backend'!$L$1,IF(ISERROR(MATCH('Analysis backend'!$M$1,E6074:I6074,0)),"Dire","Radiant"),"")</f>
        <v/>
      </c>
    </row>
    <row r="6075" spans="20:21" x14ac:dyDescent="0.3">
      <c r="T6075" t="str">
        <f>IF(ISERROR(MATCH('Analysis backend'!$M$1,E6075:N6075,0)),"",'Analysis backend'!$L$1)</f>
        <v/>
      </c>
      <c r="U6075" t="str">
        <f>IF(T6075='Analysis backend'!$L$1,IF(ISERROR(MATCH('Analysis backend'!$M$1,E6075:I6075,0)),"Dire","Radiant"),"")</f>
        <v/>
      </c>
    </row>
    <row r="6076" spans="20:21" x14ac:dyDescent="0.3">
      <c r="T6076" t="str">
        <f>IF(ISERROR(MATCH('Analysis backend'!$M$1,E6076:N6076,0)),"",'Analysis backend'!$L$1)</f>
        <v/>
      </c>
      <c r="U6076" t="str">
        <f>IF(T6076='Analysis backend'!$L$1,IF(ISERROR(MATCH('Analysis backend'!$M$1,E6076:I6076,0)),"Dire","Radiant"),"")</f>
        <v/>
      </c>
    </row>
    <row r="6077" spans="20:21" x14ac:dyDescent="0.3">
      <c r="T6077" t="str">
        <f>IF(ISERROR(MATCH('Analysis backend'!$M$1,E6077:N6077,0)),"",'Analysis backend'!$L$1)</f>
        <v/>
      </c>
      <c r="U6077" t="str">
        <f>IF(T6077='Analysis backend'!$L$1,IF(ISERROR(MATCH('Analysis backend'!$M$1,E6077:I6077,0)),"Dire","Radiant"),"")</f>
        <v/>
      </c>
    </row>
    <row r="6078" spans="20:21" x14ac:dyDescent="0.3">
      <c r="T6078" t="str">
        <f>IF(ISERROR(MATCH('Analysis backend'!$M$1,E6078:N6078,0)),"",'Analysis backend'!$L$1)</f>
        <v/>
      </c>
      <c r="U6078" t="str">
        <f>IF(T6078='Analysis backend'!$L$1,IF(ISERROR(MATCH('Analysis backend'!$M$1,E6078:I6078,0)),"Dire","Radiant"),"")</f>
        <v/>
      </c>
    </row>
    <row r="6079" spans="20:21" x14ac:dyDescent="0.3">
      <c r="T6079" t="str">
        <f>IF(ISERROR(MATCH('Analysis backend'!$M$1,E6079:N6079,0)),"",'Analysis backend'!$L$1)</f>
        <v/>
      </c>
      <c r="U6079" t="str">
        <f>IF(T6079='Analysis backend'!$L$1,IF(ISERROR(MATCH('Analysis backend'!$M$1,E6079:I6079,0)),"Dire","Radiant"),"")</f>
        <v/>
      </c>
    </row>
    <row r="6080" spans="20:21" x14ac:dyDescent="0.3">
      <c r="T6080" t="str">
        <f>IF(ISERROR(MATCH('Analysis backend'!$M$1,E6080:N6080,0)),"",'Analysis backend'!$L$1)</f>
        <v/>
      </c>
      <c r="U6080" t="str">
        <f>IF(T6080='Analysis backend'!$L$1,IF(ISERROR(MATCH('Analysis backend'!$M$1,E6080:I6080,0)),"Dire","Radiant"),"")</f>
        <v/>
      </c>
    </row>
    <row r="6081" spans="20:21" x14ac:dyDescent="0.3">
      <c r="T6081" t="str">
        <f>IF(ISERROR(MATCH('Analysis backend'!$M$1,E6081:N6081,0)),"",'Analysis backend'!$L$1)</f>
        <v/>
      </c>
      <c r="U6081" t="str">
        <f>IF(T6081='Analysis backend'!$L$1,IF(ISERROR(MATCH('Analysis backend'!$M$1,E6081:I6081,0)),"Dire","Radiant"),"")</f>
        <v/>
      </c>
    </row>
    <row r="6082" spans="20:21" x14ac:dyDescent="0.3">
      <c r="T6082" t="str">
        <f>IF(ISERROR(MATCH('Analysis backend'!$M$1,E6082:N6082,0)),"",'Analysis backend'!$L$1)</f>
        <v/>
      </c>
      <c r="U6082" t="str">
        <f>IF(T6082='Analysis backend'!$L$1,IF(ISERROR(MATCH('Analysis backend'!$M$1,E6082:I6082,0)),"Dire","Radiant"),"")</f>
        <v/>
      </c>
    </row>
    <row r="6083" spans="20:21" x14ac:dyDescent="0.3">
      <c r="T6083" t="str">
        <f>IF(ISERROR(MATCH('Analysis backend'!$M$1,E6083:N6083,0)),"",'Analysis backend'!$L$1)</f>
        <v/>
      </c>
      <c r="U6083" t="str">
        <f>IF(T6083='Analysis backend'!$L$1,IF(ISERROR(MATCH('Analysis backend'!$M$1,E6083:I6083,0)),"Dire","Radiant"),"")</f>
        <v/>
      </c>
    </row>
    <row r="6084" spans="20:21" x14ac:dyDescent="0.3">
      <c r="T6084" t="str">
        <f>IF(ISERROR(MATCH('Analysis backend'!$M$1,E6084:N6084,0)),"",'Analysis backend'!$L$1)</f>
        <v/>
      </c>
      <c r="U6084" t="str">
        <f>IF(T6084='Analysis backend'!$L$1,IF(ISERROR(MATCH('Analysis backend'!$M$1,E6084:I6084,0)),"Dire","Radiant"),"")</f>
        <v/>
      </c>
    </row>
    <row r="6085" spans="20:21" x14ac:dyDescent="0.3">
      <c r="T6085" t="str">
        <f>IF(ISERROR(MATCH('Analysis backend'!$M$1,E6085:N6085,0)),"",'Analysis backend'!$L$1)</f>
        <v/>
      </c>
      <c r="U6085" t="str">
        <f>IF(T6085='Analysis backend'!$L$1,IF(ISERROR(MATCH('Analysis backend'!$M$1,E6085:I6085,0)),"Dire","Radiant"),"")</f>
        <v/>
      </c>
    </row>
    <row r="6086" spans="20:21" x14ac:dyDescent="0.3">
      <c r="T6086" t="str">
        <f>IF(ISERROR(MATCH('Analysis backend'!$M$1,E6086:N6086,0)),"",'Analysis backend'!$L$1)</f>
        <v/>
      </c>
      <c r="U6086" t="str">
        <f>IF(T6086='Analysis backend'!$L$1,IF(ISERROR(MATCH('Analysis backend'!$M$1,E6086:I6086,0)),"Dire","Radiant"),"")</f>
        <v/>
      </c>
    </row>
    <row r="6087" spans="20:21" x14ac:dyDescent="0.3">
      <c r="T6087" t="str">
        <f>IF(ISERROR(MATCH('Analysis backend'!$M$1,E6087:N6087,0)),"",'Analysis backend'!$L$1)</f>
        <v/>
      </c>
      <c r="U6087" t="str">
        <f>IF(T6087='Analysis backend'!$L$1,IF(ISERROR(MATCH('Analysis backend'!$M$1,E6087:I6087,0)),"Dire","Radiant"),"")</f>
        <v/>
      </c>
    </row>
    <row r="6088" spans="20:21" x14ac:dyDescent="0.3">
      <c r="T6088" t="str">
        <f>IF(ISERROR(MATCH('Analysis backend'!$M$1,E6088:N6088,0)),"",'Analysis backend'!$L$1)</f>
        <v/>
      </c>
      <c r="U6088" t="str">
        <f>IF(T6088='Analysis backend'!$L$1,IF(ISERROR(MATCH('Analysis backend'!$M$1,E6088:I6088,0)),"Dire","Radiant"),"")</f>
        <v/>
      </c>
    </row>
    <row r="6089" spans="20:21" x14ac:dyDescent="0.3">
      <c r="T6089" t="str">
        <f>IF(ISERROR(MATCH('Analysis backend'!$M$1,E6089:N6089,0)),"",'Analysis backend'!$L$1)</f>
        <v/>
      </c>
      <c r="U6089" t="str">
        <f>IF(T6089='Analysis backend'!$L$1,IF(ISERROR(MATCH('Analysis backend'!$M$1,E6089:I6089,0)),"Dire","Radiant"),"")</f>
        <v/>
      </c>
    </row>
    <row r="6090" spans="20:21" x14ac:dyDescent="0.3">
      <c r="T6090" t="str">
        <f>IF(ISERROR(MATCH('Analysis backend'!$M$1,E6090:N6090,0)),"",'Analysis backend'!$L$1)</f>
        <v/>
      </c>
      <c r="U6090" t="str">
        <f>IF(T6090='Analysis backend'!$L$1,IF(ISERROR(MATCH('Analysis backend'!$M$1,E6090:I6090,0)),"Dire","Radiant"),"")</f>
        <v/>
      </c>
    </row>
    <row r="6091" spans="20:21" x14ac:dyDescent="0.3">
      <c r="T6091" t="str">
        <f>IF(ISERROR(MATCH('Analysis backend'!$M$1,E6091:N6091,0)),"",'Analysis backend'!$L$1)</f>
        <v/>
      </c>
      <c r="U6091" t="str">
        <f>IF(T6091='Analysis backend'!$L$1,IF(ISERROR(MATCH('Analysis backend'!$M$1,E6091:I6091,0)),"Dire","Radiant"),"")</f>
        <v/>
      </c>
    </row>
    <row r="6092" spans="20:21" x14ac:dyDescent="0.3">
      <c r="T6092" t="str">
        <f>IF(ISERROR(MATCH('Analysis backend'!$M$1,E6092:N6092,0)),"",'Analysis backend'!$L$1)</f>
        <v/>
      </c>
      <c r="U6092" t="str">
        <f>IF(T6092='Analysis backend'!$L$1,IF(ISERROR(MATCH('Analysis backend'!$M$1,E6092:I6092,0)),"Dire","Radiant"),"")</f>
        <v/>
      </c>
    </row>
    <row r="6093" spans="20:21" x14ac:dyDescent="0.3">
      <c r="T6093" t="str">
        <f>IF(ISERROR(MATCH('Analysis backend'!$M$1,E6093:N6093,0)),"",'Analysis backend'!$L$1)</f>
        <v/>
      </c>
      <c r="U6093" t="str">
        <f>IF(T6093='Analysis backend'!$L$1,IF(ISERROR(MATCH('Analysis backend'!$M$1,E6093:I6093,0)),"Dire","Radiant"),"")</f>
        <v/>
      </c>
    </row>
    <row r="6094" spans="20:21" x14ac:dyDescent="0.3">
      <c r="T6094" t="str">
        <f>IF(ISERROR(MATCH('Analysis backend'!$M$1,E6094:N6094,0)),"",'Analysis backend'!$L$1)</f>
        <v/>
      </c>
      <c r="U6094" t="str">
        <f>IF(T6094='Analysis backend'!$L$1,IF(ISERROR(MATCH('Analysis backend'!$M$1,E6094:I6094,0)),"Dire","Radiant"),"")</f>
        <v/>
      </c>
    </row>
    <row r="6095" spans="20:21" x14ac:dyDescent="0.3">
      <c r="T6095" t="str">
        <f>IF(ISERROR(MATCH('Analysis backend'!$M$1,E6095:N6095,0)),"",'Analysis backend'!$L$1)</f>
        <v/>
      </c>
      <c r="U6095" t="str">
        <f>IF(T6095='Analysis backend'!$L$1,IF(ISERROR(MATCH('Analysis backend'!$M$1,E6095:I6095,0)),"Dire","Radiant"),"")</f>
        <v/>
      </c>
    </row>
    <row r="6096" spans="20:21" x14ac:dyDescent="0.3">
      <c r="T6096" t="str">
        <f>IF(ISERROR(MATCH('Analysis backend'!$M$1,E6096:N6096,0)),"",'Analysis backend'!$L$1)</f>
        <v/>
      </c>
      <c r="U6096" t="str">
        <f>IF(T6096='Analysis backend'!$L$1,IF(ISERROR(MATCH('Analysis backend'!$M$1,E6096:I6096,0)),"Dire","Radiant"),"")</f>
        <v/>
      </c>
    </row>
    <row r="6097" spans="20:21" x14ac:dyDescent="0.3">
      <c r="T6097" t="str">
        <f>IF(ISERROR(MATCH('Analysis backend'!$M$1,E6097:N6097,0)),"",'Analysis backend'!$L$1)</f>
        <v/>
      </c>
      <c r="U6097" t="str">
        <f>IF(T6097='Analysis backend'!$L$1,IF(ISERROR(MATCH('Analysis backend'!$M$1,E6097:I6097,0)),"Dire","Radiant"),"")</f>
        <v/>
      </c>
    </row>
    <row r="6098" spans="20:21" x14ac:dyDescent="0.3">
      <c r="T6098" t="str">
        <f>IF(ISERROR(MATCH('Analysis backend'!$M$1,E6098:N6098,0)),"",'Analysis backend'!$L$1)</f>
        <v/>
      </c>
      <c r="U6098" t="str">
        <f>IF(T6098='Analysis backend'!$L$1,IF(ISERROR(MATCH('Analysis backend'!$M$1,E6098:I6098,0)),"Dire","Radiant"),"")</f>
        <v/>
      </c>
    </row>
    <row r="6099" spans="20:21" x14ac:dyDescent="0.3">
      <c r="T6099" t="str">
        <f>IF(ISERROR(MATCH('Analysis backend'!$M$1,E6099:N6099,0)),"",'Analysis backend'!$L$1)</f>
        <v/>
      </c>
      <c r="U6099" t="str">
        <f>IF(T6099='Analysis backend'!$L$1,IF(ISERROR(MATCH('Analysis backend'!$M$1,E6099:I6099,0)),"Dire","Radiant"),"")</f>
        <v/>
      </c>
    </row>
    <row r="6100" spans="20:21" x14ac:dyDescent="0.3">
      <c r="T6100" t="str">
        <f>IF(ISERROR(MATCH('Analysis backend'!$M$1,E6100:N6100,0)),"",'Analysis backend'!$L$1)</f>
        <v/>
      </c>
      <c r="U6100" t="str">
        <f>IF(T6100='Analysis backend'!$L$1,IF(ISERROR(MATCH('Analysis backend'!$M$1,E6100:I6100,0)),"Dire","Radiant"),"")</f>
        <v/>
      </c>
    </row>
    <row r="6101" spans="20:21" x14ac:dyDescent="0.3">
      <c r="T6101" t="str">
        <f>IF(ISERROR(MATCH('Analysis backend'!$M$1,E6101:N6101,0)),"",'Analysis backend'!$L$1)</f>
        <v/>
      </c>
      <c r="U6101" t="str">
        <f>IF(T6101='Analysis backend'!$L$1,IF(ISERROR(MATCH('Analysis backend'!$M$1,E6101:I6101,0)),"Dire","Radiant"),"")</f>
        <v/>
      </c>
    </row>
    <row r="6102" spans="20:21" x14ac:dyDescent="0.3">
      <c r="T6102" t="str">
        <f>IF(ISERROR(MATCH('Analysis backend'!$M$1,E6102:N6102,0)),"",'Analysis backend'!$L$1)</f>
        <v/>
      </c>
      <c r="U6102" t="str">
        <f>IF(T6102='Analysis backend'!$L$1,IF(ISERROR(MATCH('Analysis backend'!$M$1,E6102:I6102,0)),"Dire","Radiant"),"")</f>
        <v/>
      </c>
    </row>
    <row r="6103" spans="20:21" x14ac:dyDescent="0.3">
      <c r="T6103" t="str">
        <f>IF(ISERROR(MATCH('Analysis backend'!$M$1,E6103:N6103,0)),"",'Analysis backend'!$L$1)</f>
        <v/>
      </c>
      <c r="U6103" t="str">
        <f>IF(T6103='Analysis backend'!$L$1,IF(ISERROR(MATCH('Analysis backend'!$M$1,E6103:I6103,0)),"Dire","Radiant"),"")</f>
        <v/>
      </c>
    </row>
    <row r="6104" spans="20:21" x14ac:dyDescent="0.3">
      <c r="T6104" t="str">
        <f>IF(ISERROR(MATCH('Analysis backend'!$M$1,E6104:N6104,0)),"",'Analysis backend'!$L$1)</f>
        <v/>
      </c>
      <c r="U6104" t="str">
        <f>IF(T6104='Analysis backend'!$L$1,IF(ISERROR(MATCH('Analysis backend'!$M$1,E6104:I6104,0)),"Dire","Radiant"),"")</f>
        <v/>
      </c>
    </row>
    <row r="6105" spans="20:21" x14ac:dyDescent="0.3">
      <c r="T6105" t="str">
        <f>IF(ISERROR(MATCH('Analysis backend'!$M$1,E6105:N6105,0)),"",'Analysis backend'!$L$1)</f>
        <v/>
      </c>
      <c r="U6105" t="str">
        <f>IF(T6105='Analysis backend'!$L$1,IF(ISERROR(MATCH('Analysis backend'!$M$1,E6105:I6105,0)),"Dire","Radiant"),"")</f>
        <v/>
      </c>
    </row>
    <row r="6106" spans="20:21" x14ac:dyDescent="0.3">
      <c r="T6106" t="str">
        <f>IF(ISERROR(MATCH('Analysis backend'!$M$1,E6106:N6106,0)),"",'Analysis backend'!$L$1)</f>
        <v/>
      </c>
      <c r="U6106" t="str">
        <f>IF(T6106='Analysis backend'!$L$1,IF(ISERROR(MATCH('Analysis backend'!$M$1,E6106:I6106,0)),"Dire","Radiant"),"")</f>
        <v/>
      </c>
    </row>
    <row r="6107" spans="20:21" x14ac:dyDescent="0.3">
      <c r="T6107" t="str">
        <f>IF(ISERROR(MATCH('Analysis backend'!$M$1,E6107:N6107,0)),"",'Analysis backend'!$L$1)</f>
        <v/>
      </c>
      <c r="U6107" t="str">
        <f>IF(T6107='Analysis backend'!$L$1,IF(ISERROR(MATCH('Analysis backend'!$M$1,E6107:I6107,0)),"Dire","Radiant"),"")</f>
        <v/>
      </c>
    </row>
    <row r="6108" spans="20:21" x14ac:dyDescent="0.3">
      <c r="T6108" t="str">
        <f>IF(ISERROR(MATCH('Analysis backend'!$M$1,E6108:N6108,0)),"",'Analysis backend'!$L$1)</f>
        <v/>
      </c>
      <c r="U6108" t="str">
        <f>IF(T6108='Analysis backend'!$L$1,IF(ISERROR(MATCH('Analysis backend'!$M$1,E6108:I6108,0)),"Dire","Radiant"),"")</f>
        <v/>
      </c>
    </row>
    <row r="6109" spans="20:21" x14ac:dyDescent="0.3">
      <c r="T6109" t="str">
        <f>IF(ISERROR(MATCH('Analysis backend'!$M$1,E6109:N6109,0)),"",'Analysis backend'!$L$1)</f>
        <v/>
      </c>
      <c r="U6109" t="str">
        <f>IF(T6109='Analysis backend'!$L$1,IF(ISERROR(MATCH('Analysis backend'!$M$1,E6109:I6109,0)),"Dire","Radiant"),"")</f>
        <v/>
      </c>
    </row>
    <row r="6110" spans="20:21" x14ac:dyDescent="0.3">
      <c r="T6110" t="str">
        <f>IF(ISERROR(MATCH('Analysis backend'!$M$1,E6110:N6110,0)),"",'Analysis backend'!$L$1)</f>
        <v/>
      </c>
      <c r="U6110" t="str">
        <f>IF(T6110='Analysis backend'!$L$1,IF(ISERROR(MATCH('Analysis backend'!$M$1,E6110:I6110,0)),"Dire","Radiant"),"")</f>
        <v/>
      </c>
    </row>
    <row r="6111" spans="20:21" x14ac:dyDescent="0.3">
      <c r="T6111" t="str">
        <f>IF(ISERROR(MATCH('Analysis backend'!$M$1,E6111:N6111,0)),"",'Analysis backend'!$L$1)</f>
        <v/>
      </c>
      <c r="U6111" t="str">
        <f>IF(T6111='Analysis backend'!$L$1,IF(ISERROR(MATCH('Analysis backend'!$M$1,E6111:I6111,0)),"Dire","Radiant"),"")</f>
        <v/>
      </c>
    </row>
    <row r="6112" spans="20:21" x14ac:dyDescent="0.3">
      <c r="T6112" t="str">
        <f>IF(ISERROR(MATCH('Analysis backend'!$M$1,E6112:N6112,0)),"",'Analysis backend'!$L$1)</f>
        <v/>
      </c>
      <c r="U6112" t="str">
        <f>IF(T6112='Analysis backend'!$L$1,IF(ISERROR(MATCH('Analysis backend'!$M$1,E6112:I6112,0)),"Dire","Radiant"),"")</f>
        <v/>
      </c>
    </row>
    <row r="6113" spans="20:21" x14ac:dyDescent="0.3">
      <c r="T6113" t="str">
        <f>IF(ISERROR(MATCH('Analysis backend'!$M$1,E6113:N6113,0)),"",'Analysis backend'!$L$1)</f>
        <v/>
      </c>
      <c r="U6113" t="str">
        <f>IF(T6113='Analysis backend'!$L$1,IF(ISERROR(MATCH('Analysis backend'!$M$1,E6113:I6113,0)),"Dire","Radiant"),"")</f>
        <v/>
      </c>
    </row>
    <row r="6114" spans="20:21" x14ac:dyDescent="0.3">
      <c r="T6114" t="str">
        <f>IF(ISERROR(MATCH('Analysis backend'!$M$1,E6114:N6114,0)),"",'Analysis backend'!$L$1)</f>
        <v/>
      </c>
      <c r="U6114" t="str">
        <f>IF(T6114='Analysis backend'!$L$1,IF(ISERROR(MATCH('Analysis backend'!$M$1,E6114:I6114,0)),"Dire","Radiant"),"")</f>
        <v/>
      </c>
    </row>
    <row r="6115" spans="20:21" x14ac:dyDescent="0.3">
      <c r="T6115" t="str">
        <f>IF(ISERROR(MATCH('Analysis backend'!$M$1,E6115:N6115,0)),"",'Analysis backend'!$L$1)</f>
        <v/>
      </c>
      <c r="U6115" t="str">
        <f>IF(T6115='Analysis backend'!$L$1,IF(ISERROR(MATCH('Analysis backend'!$M$1,E6115:I6115,0)),"Dire","Radiant"),"")</f>
        <v/>
      </c>
    </row>
    <row r="6116" spans="20:21" x14ac:dyDescent="0.3">
      <c r="T6116" t="str">
        <f>IF(ISERROR(MATCH('Analysis backend'!$M$1,E6116:N6116,0)),"",'Analysis backend'!$L$1)</f>
        <v/>
      </c>
      <c r="U6116" t="str">
        <f>IF(T6116='Analysis backend'!$L$1,IF(ISERROR(MATCH('Analysis backend'!$M$1,E6116:I6116,0)),"Dire","Radiant"),"")</f>
        <v/>
      </c>
    </row>
    <row r="6117" spans="20:21" x14ac:dyDescent="0.3">
      <c r="T6117" t="str">
        <f>IF(ISERROR(MATCH('Analysis backend'!$M$1,E6117:N6117,0)),"",'Analysis backend'!$L$1)</f>
        <v/>
      </c>
      <c r="U6117" t="str">
        <f>IF(T6117='Analysis backend'!$L$1,IF(ISERROR(MATCH('Analysis backend'!$M$1,E6117:I6117,0)),"Dire","Radiant"),"")</f>
        <v/>
      </c>
    </row>
    <row r="6118" spans="20:21" x14ac:dyDescent="0.3">
      <c r="T6118" t="str">
        <f>IF(ISERROR(MATCH('Analysis backend'!$M$1,E6118:N6118,0)),"",'Analysis backend'!$L$1)</f>
        <v/>
      </c>
      <c r="U6118" t="str">
        <f>IF(T6118='Analysis backend'!$L$1,IF(ISERROR(MATCH('Analysis backend'!$M$1,E6118:I6118,0)),"Dire","Radiant"),"")</f>
        <v/>
      </c>
    </row>
    <row r="6119" spans="20:21" x14ac:dyDescent="0.3">
      <c r="T6119" t="str">
        <f>IF(ISERROR(MATCH('Analysis backend'!$M$1,E6119:N6119,0)),"",'Analysis backend'!$L$1)</f>
        <v/>
      </c>
      <c r="U6119" t="str">
        <f>IF(T6119='Analysis backend'!$L$1,IF(ISERROR(MATCH('Analysis backend'!$M$1,E6119:I6119,0)),"Dire","Radiant"),"")</f>
        <v/>
      </c>
    </row>
    <row r="6120" spans="20:21" x14ac:dyDescent="0.3">
      <c r="T6120" t="str">
        <f>IF(ISERROR(MATCH('Analysis backend'!$M$1,E6120:N6120,0)),"",'Analysis backend'!$L$1)</f>
        <v/>
      </c>
      <c r="U6120" t="str">
        <f>IF(T6120='Analysis backend'!$L$1,IF(ISERROR(MATCH('Analysis backend'!$M$1,E6120:I6120,0)),"Dire","Radiant"),"")</f>
        <v/>
      </c>
    </row>
    <row r="6121" spans="20:21" x14ac:dyDescent="0.3">
      <c r="T6121" t="str">
        <f>IF(ISERROR(MATCH('Analysis backend'!$M$1,E6121:N6121,0)),"",'Analysis backend'!$L$1)</f>
        <v/>
      </c>
      <c r="U6121" t="str">
        <f>IF(T6121='Analysis backend'!$L$1,IF(ISERROR(MATCH('Analysis backend'!$M$1,E6121:I6121,0)),"Dire","Radiant"),"")</f>
        <v/>
      </c>
    </row>
    <row r="6122" spans="20:21" x14ac:dyDescent="0.3">
      <c r="T6122" t="str">
        <f>IF(ISERROR(MATCH('Analysis backend'!$M$1,E6122:N6122,0)),"",'Analysis backend'!$L$1)</f>
        <v/>
      </c>
      <c r="U6122" t="str">
        <f>IF(T6122='Analysis backend'!$L$1,IF(ISERROR(MATCH('Analysis backend'!$M$1,E6122:I6122,0)),"Dire","Radiant"),"")</f>
        <v/>
      </c>
    </row>
    <row r="6123" spans="20:21" x14ac:dyDescent="0.3">
      <c r="T6123" t="str">
        <f>IF(ISERROR(MATCH('Analysis backend'!$M$1,E6123:N6123,0)),"",'Analysis backend'!$L$1)</f>
        <v/>
      </c>
      <c r="U6123" t="str">
        <f>IF(T6123='Analysis backend'!$L$1,IF(ISERROR(MATCH('Analysis backend'!$M$1,E6123:I6123,0)),"Dire","Radiant"),"")</f>
        <v/>
      </c>
    </row>
    <row r="6124" spans="20:21" x14ac:dyDescent="0.3">
      <c r="T6124" t="str">
        <f>IF(ISERROR(MATCH('Analysis backend'!$M$1,E6124:N6124,0)),"",'Analysis backend'!$L$1)</f>
        <v/>
      </c>
      <c r="U6124" t="str">
        <f>IF(T6124='Analysis backend'!$L$1,IF(ISERROR(MATCH('Analysis backend'!$M$1,E6124:I6124,0)),"Dire","Radiant"),"")</f>
        <v/>
      </c>
    </row>
    <row r="6125" spans="20:21" x14ac:dyDescent="0.3">
      <c r="T6125" t="str">
        <f>IF(ISERROR(MATCH('Analysis backend'!$M$1,E6125:N6125,0)),"",'Analysis backend'!$L$1)</f>
        <v/>
      </c>
      <c r="U6125" t="str">
        <f>IF(T6125='Analysis backend'!$L$1,IF(ISERROR(MATCH('Analysis backend'!$M$1,E6125:I6125,0)),"Dire","Radiant"),"")</f>
        <v/>
      </c>
    </row>
    <row r="6126" spans="20:21" x14ac:dyDescent="0.3">
      <c r="T6126" t="str">
        <f>IF(ISERROR(MATCH('Analysis backend'!$M$1,E6126:N6126,0)),"",'Analysis backend'!$L$1)</f>
        <v/>
      </c>
      <c r="U6126" t="str">
        <f>IF(T6126='Analysis backend'!$L$1,IF(ISERROR(MATCH('Analysis backend'!$M$1,E6126:I6126,0)),"Dire","Radiant"),"")</f>
        <v/>
      </c>
    </row>
    <row r="6127" spans="20:21" x14ac:dyDescent="0.3">
      <c r="T6127" t="str">
        <f>IF(ISERROR(MATCH('Analysis backend'!$M$1,E6127:N6127,0)),"",'Analysis backend'!$L$1)</f>
        <v/>
      </c>
      <c r="U6127" t="str">
        <f>IF(T6127='Analysis backend'!$L$1,IF(ISERROR(MATCH('Analysis backend'!$M$1,E6127:I6127,0)),"Dire","Radiant"),"")</f>
        <v/>
      </c>
    </row>
    <row r="6128" spans="20:21" x14ac:dyDescent="0.3">
      <c r="T6128" t="str">
        <f>IF(ISERROR(MATCH('Analysis backend'!$M$1,E6128:N6128,0)),"",'Analysis backend'!$L$1)</f>
        <v/>
      </c>
      <c r="U6128" t="str">
        <f>IF(T6128='Analysis backend'!$L$1,IF(ISERROR(MATCH('Analysis backend'!$M$1,E6128:I6128,0)),"Dire","Radiant"),"")</f>
        <v/>
      </c>
    </row>
    <row r="6129" spans="20:21" x14ac:dyDescent="0.3">
      <c r="T6129" t="str">
        <f>IF(ISERROR(MATCH('Analysis backend'!$M$1,E6129:N6129,0)),"",'Analysis backend'!$L$1)</f>
        <v/>
      </c>
      <c r="U6129" t="str">
        <f>IF(T6129='Analysis backend'!$L$1,IF(ISERROR(MATCH('Analysis backend'!$M$1,E6129:I6129,0)),"Dire","Radiant"),"")</f>
        <v/>
      </c>
    </row>
    <row r="6130" spans="20:21" x14ac:dyDescent="0.3">
      <c r="T6130" t="str">
        <f>IF(ISERROR(MATCH('Analysis backend'!$M$1,E6130:N6130,0)),"",'Analysis backend'!$L$1)</f>
        <v/>
      </c>
      <c r="U6130" t="str">
        <f>IF(T6130='Analysis backend'!$L$1,IF(ISERROR(MATCH('Analysis backend'!$M$1,E6130:I6130,0)),"Dire","Radiant"),"")</f>
        <v/>
      </c>
    </row>
    <row r="6131" spans="20:21" x14ac:dyDescent="0.3">
      <c r="T6131" t="str">
        <f>IF(ISERROR(MATCH('Analysis backend'!$M$1,E6131:N6131,0)),"",'Analysis backend'!$L$1)</f>
        <v/>
      </c>
      <c r="U6131" t="str">
        <f>IF(T6131='Analysis backend'!$L$1,IF(ISERROR(MATCH('Analysis backend'!$M$1,E6131:I6131,0)),"Dire","Radiant"),"")</f>
        <v/>
      </c>
    </row>
    <row r="6132" spans="20:21" x14ac:dyDescent="0.3">
      <c r="T6132" t="str">
        <f>IF(ISERROR(MATCH('Analysis backend'!$M$1,E6132:N6132,0)),"",'Analysis backend'!$L$1)</f>
        <v/>
      </c>
      <c r="U6132" t="str">
        <f>IF(T6132='Analysis backend'!$L$1,IF(ISERROR(MATCH('Analysis backend'!$M$1,E6132:I6132,0)),"Dire","Radiant"),"")</f>
        <v/>
      </c>
    </row>
    <row r="6133" spans="20:21" x14ac:dyDescent="0.3">
      <c r="T6133" t="str">
        <f>IF(ISERROR(MATCH('Analysis backend'!$M$1,E6133:N6133,0)),"",'Analysis backend'!$L$1)</f>
        <v/>
      </c>
      <c r="U6133" t="str">
        <f>IF(T6133='Analysis backend'!$L$1,IF(ISERROR(MATCH('Analysis backend'!$M$1,E6133:I6133,0)),"Dire","Radiant"),"")</f>
        <v/>
      </c>
    </row>
    <row r="6134" spans="20:21" x14ac:dyDescent="0.3">
      <c r="T6134" t="str">
        <f>IF(ISERROR(MATCH('Analysis backend'!$M$1,E6134:N6134,0)),"",'Analysis backend'!$L$1)</f>
        <v/>
      </c>
      <c r="U6134" t="str">
        <f>IF(T6134='Analysis backend'!$L$1,IF(ISERROR(MATCH('Analysis backend'!$M$1,E6134:I6134,0)),"Dire","Radiant"),"")</f>
        <v/>
      </c>
    </row>
    <row r="6135" spans="20:21" x14ac:dyDescent="0.3">
      <c r="T6135" t="str">
        <f>IF(ISERROR(MATCH('Analysis backend'!$M$1,E6135:N6135,0)),"",'Analysis backend'!$L$1)</f>
        <v/>
      </c>
      <c r="U6135" t="str">
        <f>IF(T6135='Analysis backend'!$L$1,IF(ISERROR(MATCH('Analysis backend'!$M$1,E6135:I6135,0)),"Dire","Radiant"),"")</f>
        <v/>
      </c>
    </row>
    <row r="6136" spans="20:21" x14ac:dyDescent="0.3">
      <c r="T6136" t="str">
        <f>IF(ISERROR(MATCH('Analysis backend'!$M$1,E6136:N6136,0)),"",'Analysis backend'!$L$1)</f>
        <v/>
      </c>
      <c r="U6136" t="str">
        <f>IF(T6136='Analysis backend'!$L$1,IF(ISERROR(MATCH('Analysis backend'!$M$1,E6136:I6136,0)),"Dire","Radiant"),"")</f>
        <v/>
      </c>
    </row>
    <row r="6137" spans="20:21" x14ac:dyDescent="0.3">
      <c r="T6137" t="str">
        <f>IF(ISERROR(MATCH('Analysis backend'!$M$1,E6137:N6137,0)),"",'Analysis backend'!$L$1)</f>
        <v/>
      </c>
      <c r="U6137" t="str">
        <f>IF(T6137='Analysis backend'!$L$1,IF(ISERROR(MATCH('Analysis backend'!$M$1,E6137:I6137,0)),"Dire","Radiant"),"")</f>
        <v/>
      </c>
    </row>
    <row r="6138" spans="20:21" x14ac:dyDescent="0.3">
      <c r="T6138" t="str">
        <f>IF(ISERROR(MATCH('Analysis backend'!$M$1,E6138:N6138,0)),"",'Analysis backend'!$L$1)</f>
        <v/>
      </c>
      <c r="U6138" t="str">
        <f>IF(T6138='Analysis backend'!$L$1,IF(ISERROR(MATCH('Analysis backend'!$M$1,E6138:I6138,0)),"Dire","Radiant"),"")</f>
        <v/>
      </c>
    </row>
    <row r="6139" spans="20:21" x14ac:dyDescent="0.3">
      <c r="T6139" t="str">
        <f>IF(ISERROR(MATCH('Analysis backend'!$M$1,E6139:N6139,0)),"",'Analysis backend'!$L$1)</f>
        <v/>
      </c>
      <c r="U6139" t="str">
        <f>IF(T6139='Analysis backend'!$L$1,IF(ISERROR(MATCH('Analysis backend'!$M$1,E6139:I6139,0)),"Dire","Radiant"),"")</f>
        <v/>
      </c>
    </row>
    <row r="6140" spans="20:21" x14ac:dyDescent="0.3">
      <c r="T6140" t="str">
        <f>IF(ISERROR(MATCH('Analysis backend'!$M$1,E6140:N6140,0)),"",'Analysis backend'!$L$1)</f>
        <v/>
      </c>
      <c r="U6140" t="str">
        <f>IF(T6140='Analysis backend'!$L$1,IF(ISERROR(MATCH('Analysis backend'!$M$1,E6140:I6140,0)),"Dire","Radiant"),"")</f>
        <v/>
      </c>
    </row>
    <row r="6141" spans="20:21" x14ac:dyDescent="0.3">
      <c r="T6141" t="str">
        <f>IF(ISERROR(MATCH('Analysis backend'!$M$1,E6141:N6141,0)),"",'Analysis backend'!$L$1)</f>
        <v/>
      </c>
      <c r="U6141" t="str">
        <f>IF(T6141='Analysis backend'!$L$1,IF(ISERROR(MATCH('Analysis backend'!$M$1,E6141:I6141,0)),"Dire","Radiant"),"")</f>
        <v/>
      </c>
    </row>
    <row r="6142" spans="20:21" x14ac:dyDescent="0.3">
      <c r="T6142" t="str">
        <f>IF(ISERROR(MATCH('Analysis backend'!$M$1,E6142:N6142,0)),"",'Analysis backend'!$L$1)</f>
        <v/>
      </c>
      <c r="U6142" t="str">
        <f>IF(T6142='Analysis backend'!$L$1,IF(ISERROR(MATCH('Analysis backend'!$M$1,E6142:I6142,0)),"Dire","Radiant"),"")</f>
        <v/>
      </c>
    </row>
    <row r="6143" spans="20:21" x14ac:dyDescent="0.3">
      <c r="T6143" t="str">
        <f>IF(ISERROR(MATCH('Analysis backend'!$M$1,E6143:N6143,0)),"",'Analysis backend'!$L$1)</f>
        <v/>
      </c>
      <c r="U6143" t="str">
        <f>IF(T6143='Analysis backend'!$L$1,IF(ISERROR(MATCH('Analysis backend'!$M$1,E6143:I6143,0)),"Dire","Radiant"),"")</f>
        <v/>
      </c>
    </row>
    <row r="6144" spans="20:21" x14ac:dyDescent="0.3">
      <c r="T6144" t="str">
        <f>IF(ISERROR(MATCH('Analysis backend'!$M$1,E6144:N6144,0)),"",'Analysis backend'!$L$1)</f>
        <v/>
      </c>
      <c r="U6144" t="str">
        <f>IF(T6144='Analysis backend'!$L$1,IF(ISERROR(MATCH('Analysis backend'!$M$1,E6144:I6144,0)),"Dire","Radiant"),"")</f>
        <v/>
      </c>
    </row>
    <row r="6145" spans="20:21" x14ac:dyDescent="0.3">
      <c r="T6145" t="str">
        <f>IF(ISERROR(MATCH('Analysis backend'!$M$1,E6145:N6145,0)),"",'Analysis backend'!$L$1)</f>
        <v/>
      </c>
      <c r="U6145" t="str">
        <f>IF(T6145='Analysis backend'!$L$1,IF(ISERROR(MATCH('Analysis backend'!$M$1,E6145:I6145,0)),"Dire","Radiant"),"")</f>
        <v/>
      </c>
    </row>
    <row r="6146" spans="20:21" x14ac:dyDescent="0.3">
      <c r="T6146" t="str">
        <f>IF(ISERROR(MATCH('Analysis backend'!$M$1,E6146:N6146,0)),"",'Analysis backend'!$L$1)</f>
        <v/>
      </c>
      <c r="U6146" t="str">
        <f>IF(T6146='Analysis backend'!$L$1,IF(ISERROR(MATCH('Analysis backend'!$M$1,E6146:I6146,0)),"Dire","Radiant"),"")</f>
        <v/>
      </c>
    </row>
    <row r="6147" spans="20:21" x14ac:dyDescent="0.3">
      <c r="T6147" t="str">
        <f>IF(ISERROR(MATCH('Analysis backend'!$M$1,E6147:N6147,0)),"",'Analysis backend'!$L$1)</f>
        <v/>
      </c>
      <c r="U6147" t="str">
        <f>IF(T6147='Analysis backend'!$L$1,IF(ISERROR(MATCH('Analysis backend'!$M$1,E6147:I6147,0)),"Dire","Radiant"),"")</f>
        <v/>
      </c>
    </row>
    <row r="6148" spans="20:21" x14ac:dyDescent="0.3">
      <c r="T6148" t="str">
        <f>IF(ISERROR(MATCH('Analysis backend'!$M$1,E6148:N6148,0)),"",'Analysis backend'!$L$1)</f>
        <v/>
      </c>
      <c r="U6148" t="str">
        <f>IF(T6148='Analysis backend'!$L$1,IF(ISERROR(MATCH('Analysis backend'!$M$1,E6148:I6148,0)),"Dire","Radiant"),"")</f>
        <v/>
      </c>
    </row>
    <row r="6149" spans="20:21" x14ac:dyDescent="0.3">
      <c r="T6149" t="str">
        <f>IF(ISERROR(MATCH('Analysis backend'!$M$1,E6149:N6149,0)),"",'Analysis backend'!$L$1)</f>
        <v/>
      </c>
      <c r="U6149" t="str">
        <f>IF(T6149='Analysis backend'!$L$1,IF(ISERROR(MATCH('Analysis backend'!$M$1,E6149:I6149,0)),"Dire","Radiant"),"")</f>
        <v/>
      </c>
    </row>
    <row r="6150" spans="20:21" x14ac:dyDescent="0.3">
      <c r="T6150" t="str">
        <f>IF(ISERROR(MATCH('Analysis backend'!$M$1,E6150:N6150,0)),"",'Analysis backend'!$L$1)</f>
        <v/>
      </c>
      <c r="U6150" t="str">
        <f>IF(T6150='Analysis backend'!$L$1,IF(ISERROR(MATCH('Analysis backend'!$M$1,E6150:I6150,0)),"Dire","Radiant"),"")</f>
        <v/>
      </c>
    </row>
    <row r="6151" spans="20:21" x14ac:dyDescent="0.3">
      <c r="T6151" t="str">
        <f>IF(ISERROR(MATCH('Analysis backend'!$M$1,E6151:N6151,0)),"",'Analysis backend'!$L$1)</f>
        <v/>
      </c>
      <c r="U6151" t="str">
        <f>IF(T6151='Analysis backend'!$L$1,IF(ISERROR(MATCH('Analysis backend'!$M$1,E6151:I6151,0)),"Dire","Radiant"),"")</f>
        <v/>
      </c>
    </row>
    <row r="6152" spans="20:21" x14ac:dyDescent="0.3">
      <c r="T6152" t="str">
        <f>IF(ISERROR(MATCH('Analysis backend'!$M$1,E6152:N6152,0)),"",'Analysis backend'!$L$1)</f>
        <v/>
      </c>
      <c r="U6152" t="str">
        <f>IF(T6152='Analysis backend'!$L$1,IF(ISERROR(MATCH('Analysis backend'!$M$1,E6152:I6152,0)),"Dire","Radiant"),"")</f>
        <v/>
      </c>
    </row>
    <row r="6153" spans="20:21" x14ac:dyDescent="0.3">
      <c r="T6153" t="str">
        <f>IF(ISERROR(MATCH('Analysis backend'!$M$1,E6153:N6153,0)),"",'Analysis backend'!$L$1)</f>
        <v/>
      </c>
      <c r="U6153" t="str">
        <f>IF(T6153='Analysis backend'!$L$1,IF(ISERROR(MATCH('Analysis backend'!$M$1,E6153:I6153,0)),"Dire","Radiant"),"")</f>
        <v/>
      </c>
    </row>
    <row r="6154" spans="20:21" x14ac:dyDescent="0.3">
      <c r="T6154" t="str">
        <f>IF(ISERROR(MATCH('Analysis backend'!$M$1,E6154:N6154,0)),"",'Analysis backend'!$L$1)</f>
        <v/>
      </c>
      <c r="U6154" t="str">
        <f>IF(T6154='Analysis backend'!$L$1,IF(ISERROR(MATCH('Analysis backend'!$M$1,E6154:I6154,0)),"Dire","Radiant"),"")</f>
        <v/>
      </c>
    </row>
    <row r="6155" spans="20:21" x14ac:dyDescent="0.3">
      <c r="T6155" t="str">
        <f>IF(ISERROR(MATCH('Analysis backend'!$M$1,E6155:N6155,0)),"",'Analysis backend'!$L$1)</f>
        <v/>
      </c>
      <c r="U6155" t="str">
        <f>IF(T6155='Analysis backend'!$L$1,IF(ISERROR(MATCH('Analysis backend'!$M$1,E6155:I6155,0)),"Dire","Radiant"),"")</f>
        <v/>
      </c>
    </row>
    <row r="6156" spans="20:21" x14ac:dyDescent="0.3">
      <c r="T6156" t="str">
        <f>IF(ISERROR(MATCH('Analysis backend'!$M$1,E6156:N6156,0)),"",'Analysis backend'!$L$1)</f>
        <v/>
      </c>
      <c r="U6156" t="str">
        <f>IF(T6156='Analysis backend'!$L$1,IF(ISERROR(MATCH('Analysis backend'!$M$1,E6156:I6156,0)),"Dire","Radiant"),"")</f>
        <v/>
      </c>
    </row>
    <row r="6157" spans="20:21" x14ac:dyDescent="0.3">
      <c r="T6157" t="str">
        <f>IF(ISERROR(MATCH('Analysis backend'!$M$1,E6157:N6157,0)),"",'Analysis backend'!$L$1)</f>
        <v/>
      </c>
      <c r="U6157" t="str">
        <f>IF(T6157='Analysis backend'!$L$1,IF(ISERROR(MATCH('Analysis backend'!$M$1,E6157:I6157,0)),"Dire","Radiant"),"")</f>
        <v/>
      </c>
    </row>
    <row r="6158" spans="20:21" x14ac:dyDescent="0.3">
      <c r="T6158" t="str">
        <f>IF(ISERROR(MATCH('Analysis backend'!$M$1,E6158:N6158,0)),"",'Analysis backend'!$L$1)</f>
        <v/>
      </c>
      <c r="U6158" t="str">
        <f>IF(T6158='Analysis backend'!$L$1,IF(ISERROR(MATCH('Analysis backend'!$M$1,E6158:I6158,0)),"Dire","Radiant"),"")</f>
        <v/>
      </c>
    </row>
    <row r="6159" spans="20:21" x14ac:dyDescent="0.3">
      <c r="T6159" t="str">
        <f>IF(ISERROR(MATCH('Analysis backend'!$M$1,E6159:N6159,0)),"",'Analysis backend'!$L$1)</f>
        <v/>
      </c>
      <c r="U6159" t="str">
        <f>IF(T6159='Analysis backend'!$L$1,IF(ISERROR(MATCH('Analysis backend'!$M$1,E6159:I6159,0)),"Dire","Radiant"),"")</f>
        <v/>
      </c>
    </row>
    <row r="6160" spans="20:21" x14ac:dyDescent="0.3">
      <c r="T6160" t="str">
        <f>IF(ISERROR(MATCH('Analysis backend'!$M$1,E6160:N6160,0)),"",'Analysis backend'!$L$1)</f>
        <v/>
      </c>
      <c r="U6160" t="str">
        <f>IF(T6160='Analysis backend'!$L$1,IF(ISERROR(MATCH('Analysis backend'!$M$1,E6160:I6160,0)),"Dire","Radiant"),"")</f>
        <v/>
      </c>
    </row>
    <row r="6161" spans="20:21" x14ac:dyDescent="0.3">
      <c r="T6161" t="str">
        <f>IF(ISERROR(MATCH('Analysis backend'!$M$1,E6161:N6161,0)),"",'Analysis backend'!$L$1)</f>
        <v/>
      </c>
      <c r="U6161" t="str">
        <f>IF(T6161='Analysis backend'!$L$1,IF(ISERROR(MATCH('Analysis backend'!$M$1,E6161:I6161,0)),"Dire","Radiant"),"")</f>
        <v/>
      </c>
    </row>
    <row r="6162" spans="20:21" x14ac:dyDescent="0.3">
      <c r="T6162" t="str">
        <f>IF(ISERROR(MATCH('Analysis backend'!$M$1,E6162:N6162,0)),"",'Analysis backend'!$L$1)</f>
        <v/>
      </c>
      <c r="U6162" t="str">
        <f>IF(T6162='Analysis backend'!$L$1,IF(ISERROR(MATCH('Analysis backend'!$M$1,E6162:I6162,0)),"Dire","Radiant"),"")</f>
        <v/>
      </c>
    </row>
    <row r="6163" spans="20:21" x14ac:dyDescent="0.3">
      <c r="T6163" t="str">
        <f>IF(ISERROR(MATCH('Analysis backend'!$M$1,E6163:N6163,0)),"",'Analysis backend'!$L$1)</f>
        <v/>
      </c>
      <c r="U6163" t="str">
        <f>IF(T6163='Analysis backend'!$L$1,IF(ISERROR(MATCH('Analysis backend'!$M$1,E6163:I6163,0)),"Dire","Radiant"),"")</f>
        <v/>
      </c>
    </row>
    <row r="6164" spans="20:21" x14ac:dyDescent="0.3">
      <c r="T6164" t="str">
        <f>IF(ISERROR(MATCH('Analysis backend'!$M$1,E6164:N6164,0)),"",'Analysis backend'!$L$1)</f>
        <v/>
      </c>
      <c r="U6164" t="str">
        <f>IF(T6164='Analysis backend'!$L$1,IF(ISERROR(MATCH('Analysis backend'!$M$1,E6164:I6164,0)),"Dire","Radiant"),"")</f>
        <v/>
      </c>
    </row>
    <row r="6165" spans="20:21" x14ac:dyDescent="0.3">
      <c r="T6165" t="str">
        <f>IF(ISERROR(MATCH('Analysis backend'!$M$1,E6165:N6165,0)),"",'Analysis backend'!$L$1)</f>
        <v/>
      </c>
      <c r="U6165" t="str">
        <f>IF(T6165='Analysis backend'!$L$1,IF(ISERROR(MATCH('Analysis backend'!$M$1,E6165:I6165,0)),"Dire","Radiant"),"")</f>
        <v/>
      </c>
    </row>
    <row r="6166" spans="20:21" x14ac:dyDescent="0.3">
      <c r="T6166" t="str">
        <f>IF(ISERROR(MATCH('Analysis backend'!$M$1,E6166:N6166,0)),"",'Analysis backend'!$L$1)</f>
        <v/>
      </c>
      <c r="U6166" t="str">
        <f>IF(T6166='Analysis backend'!$L$1,IF(ISERROR(MATCH('Analysis backend'!$M$1,E6166:I6166,0)),"Dire","Radiant"),"")</f>
        <v/>
      </c>
    </row>
    <row r="6167" spans="20:21" x14ac:dyDescent="0.3">
      <c r="T6167" t="str">
        <f>IF(ISERROR(MATCH('Analysis backend'!$M$1,E6167:N6167,0)),"",'Analysis backend'!$L$1)</f>
        <v/>
      </c>
      <c r="U6167" t="str">
        <f>IF(T6167='Analysis backend'!$L$1,IF(ISERROR(MATCH('Analysis backend'!$M$1,E6167:I6167,0)),"Dire","Radiant"),"")</f>
        <v/>
      </c>
    </row>
    <row r="6168" spans="20:21" x14ac:dyDescent="0.3">
      <c r="T6168" t="str">
        <f>IF(ISERROR(MATCH('Analysis backend'!$M$1,E6168:N6168,0)),"",'Analysis backend'!$L$1)</f>
        <v/>
      </c>
      <c r="U6168" t="str">
        <f>IF(T6168='Analysis backend'!$L$1,IF(ISERROR(MATCH('Analysis backend'!$M$1,E6168:I6168,0)),"Dire","Radiant"),"")</f>
        <v/>
      </c>
    </row>
    <row r="6169" spans="20:21" x14ac:dyDescent="0.3">
      <c r="T6169" t="str">
        <f>IF(ISERROR(MATCH('Analysis backend'!$M$1,E6169:N6169,0)),"",'Analysis backend'!$L$1)</f>
        <v/>
      </c>
      <c r="U6169" t="str">
        <f>IF(T6169='Analysis backend'!$L$1,IF(ISERROR(MATCH('Analysis backend'!$M$1,E6169:I6169,0)),"Dire","Radiant"),"")</f>
        <v/>
      </c>
    </row>
    <row r="6170" spans="20:21" x14ac:dyDescent="0.3">
      <c r="T6170" t="str">
        <f>IF(ISERROR(MATCH('Analysis backend'!$M$1,E6170:N6170,0)),"",'Analysis backend'!$L$1)</f>
        <v/>
      </c>
      <c r="U6170" t="str">
        <f>IF(T6170='Analysis backend'!$L$1,IF(ISERROR(MATCH('Analysis backend'!$M$1,E6170:I6170,0)),"Dire","Radiant"),"")</f>
        <v/>
      </c>
    </row>
    <row r="6171" spans="20:21" x14ac:dyDescent="0.3">
      <c r="T6171" t="str">
        <f>IF(ISERROR(MATCH('Analysis backend'!$M$1,E6171:N6171,0)),"",'Analysis backend'!$L$1)</f>
        <v/>
      </c>
      <c r="U6171" t="str">
        <f>IF(T6171='Analysis backend'!$L$1,IF(ISERROR(MATCH('Analysis backend'!$M$1,E6171:I6171,0)),"Dire","Radiant"),"")</f>
        <v/>
      </c>
    </row>
    <row r="6172" spans="20:21" x14ac:dyDescent="0.3">
      <c r="T6172" t="str">
        <f>IF(ISERROR(MATCH('Analysis backend'!$M$1,E6172:N6172,0)),"",'Analysis backend'!$L$1)</f>
        <v/>
      </c>
      <c r="U6172" t="str">
        <f>IF(T6172='Analysis backend'!$L$1,IF(ISERROR(MATCH('Analysis backend'!$M$1,E6172:I6172,0)),"Dire","Radiant"),"")</f>
        <v/>
      </c>
    </row>
    <row r="6173" spans="20:21" x14ac:dyDescent="0.3">
      <c r="T6173" t="str">
        <f>IF(ISERROR(MATCH('Analysis backend'!$M$1,E6173:N6173,0)),"",'Analysis backend'!$L$1)</f>
        <v/>
      </c>
      <c r="U6173" t="str">
        <f>IF(T6173='Analysis backend'!$L$1,IF(ISERROR(MATCH('Analysis backend'!$M$1,E6173:I6173,0)),"Dire","Radiant"),"")</f>
        <v/>
      </c>
    </row>
    <row r="6174" spans="20:21" x14ac:dyDescent="0.3">
      <c r="T6174" t="str">
        <f>IF(ISERROR(MATCH('Analysis backend'!$M$1,E6174:N6174,0)),"",'Analysis backend'!$L$1)</f>
        <v/>
      </c>
      <c r="U6174" t="str">
        <f>IF(T6174='Analysis backend'!$L$1,IF(ISERROR(MATCH('Analysis backend'!$M$1,E6174:I6174,0)),"Dire","Radiant"),"")</f>
        <v/>
      </c>
    </row>
    <row r="6175" spans="20:21" x14ac:dyDescent="0.3">
      <c r="T6175" t="str">
        <f>IF(ISERROR(MATCH('Analysis backend'!$M$1,E6175:N6175,0)),"",'Analysis backend'!$L$1)</f>
        <v/>
      </c>
      <c r="U6175" t="str">
        <f>IF(T6175='Analysis backend'!$L$1,IF(ISERROR(MATCH('Analysis backend'!$M$1,E6175:I6175,0)),"Dire","Radiant"),"")</f>
        <v/>
      </c>
    </row>
    <row r="6176" spans="20:21" x14ac:dyDescent="0.3">
      <c r="T6176" t="str">
        <f>IF(ISERROR(MATCH('Analysis backend'!$M$1,E6176:N6176,0)),"",'Analysis backend'!$L$1)</f>
        <v/>
      </c>
      <c r="U6176" t="str">
        <f>IF(T6176='Analysis backend'!$L$1,IF(ISERROR(MATCH('Analysis backend'!$M$1,E6176:I6176,0)),"Dire","Radiant"),"")</f>
        <v/>
      </c>
    </row>
    <row r="6177" spans="20:21" x14ac:dyDescent="0.3">
      <c r="T6177" t="str">
        <f>IF(ISERROR(MATCH('Analysis backend'!$M$1,E6177:N6177,0)),"",'Analysis backend'!$L$1)</f>
        <v/>
      </c>
      <c r="U6177" t="str">
        <f>IF(T6177='Analysis backend'!$L$1,IF(ISERROR(MATCH('Analysis backend'!$M$1,E6177:I6177,0)),"Dire","Radiant"),"")</f>
        <v/>
      </c>
    </row>
    <row r="6178" spans="20:21" x14ac:dyDescent="0.3">
      <c r="T6178" t="str">
        <f>IF(ISERROR(MATCH('Analysis backend'!$M$1,E6178:N6178,0)),"",'Analysis backend'!$L$1)</f>
        <v/>
      </c>
      <c r="U6178" t="str">
        <f>IF(T6178='Analysis backend'!$L$1,IF(ISERROR(MATCH('Analysis backend'!$M$1,E6178:I6178,0)),"Dire","Radiant"),"")</f>
        <v/>
      </c>
    </row>
    <row r="6179" spans="20:21" x14ac:dyDescent="0.3">
      <c r="T6179" t="str">
        <f>IF(ISERROR(MATCH('Analysis backend'!$M$1,E6179:N6179,0)),"",'Analysis backend'!$L$1)</f>
        <v/>
      </c>
      <c r="U6179" t="str">
        <f>IF(T6179='Analysis backend'!$L$1,IF(ISERROR(MATCH('Analysis backend'!$M$1,E6179:I6179,0)),"Dire","Radiant"),"")</f>
        <v/>
      </c>
    </row>
    <row r="6180" spans="20:21" x14ac:dyDescent="0.3">
      <c r="T6180" t="str">
        <f>IF(ISERROR(MATCH('Analysis backend'!$M$1,E6180:N6180,0)),"",'Analysis backend'!$L$1)</f>
        <v/>
      </c>
      <c r="U6180" t="str">
        <f>IF(T6180='Analysis backend'!$L$1,IF(ISERROR(MATCH('Analysis backend'!$M$1,E6180:I6180,0)),"Dire","Radiant"),"")</f>
        <v/>
      </c>
    </row>
    <row r="6181" spans="20:21" x14ac:dyDescent="0.3">
      <c r="T6181" t="str">
        <f>IF(ISERROR(MATCH('Analysis backend'!$M$1,E6181:N6181,0)),"",'Analysis backend'!$L$1)</f>
        <v/>
      </c>
      <c r="U6181" t="str">
        <f>IF(T6181='Analysis backend'!$L$1,IF(ISERROR(MATCH('Analysis backend'!$M$1,E6181:I6181,0)),"Dire","Radiant"),"")</f>
        <v/>
      </c>
    </row>
    <row r="6182" spans="20:21" x14ac:dyDescent="0.3">
      <c r="T6182" t="str">
        <f>IF(ISERROR(MATCH('Analysis backend'!$M$1,E6182:N6182,0)),"",'Analysis backend'!$L$1)</f>
        <v/>
      </c>
      <c r="U6182" t="str">
        <f>IF(T6182='Analysis backend'!$L$1,IF(ISERROR(MATCH('Analysis backend'!$M$1,E6182:I6182,0)),"Dire","Radiant"),"")</f>
        <v/>
      </c>
    </row>
    <row r="6183" spans="20:21" x14ac:dyDescent="0.3">
      <c r="T6183" t="str">
        <f>IF(ISERROR(MATCH('Analysis backend'!$M$1,E6183:N6183,0)),"",'Analysis backend'!$L$1)</f>
        <v/>
      </c>
      <c r="U6183" t="str">
        <f>IF(T6183='Analysis backend'!$L$1,IF(ISERROR(MATCH('Analysis backend'!$M$1,E6183:I6183,0)),"Dire","Radiant"),"")</f>
        <v/>
      </c>
    </row>
    <row r="6184" spans="20:21" x14ac:dyDescent="0.3">
      <c r="T6184" t="str">
        <f>IF(ISERROR(MATCH('Analysis backend'!$M$1,E6184:N6184,0)),"",'Analysis backend'!$L$1)</f>
        <v/>
      </c>
      <c r="U6184" t="str">
        <f>IF(T6184='Analysis backend'!$L$1,IF(ISERROR(MATCH('Analysis backend'!$M$1,E6184:I6184,0)),"Dire","Radiant"),"")</f>
        <v/>
      </c>
    </row>
    <row r="6185" spans="20:21" x14ac:dyDescent="0.3">
      <c r="T6185" t="str">
        <f>IF(ISERROR(MATCH('Analysis backend'!$M$1,E6185:N6185,0)),"",'Analysis backend'!$L$1)</f>
        <v/>
      </c>
      <c r="U6185" t="str">
        <f>IF(T6185='Analysis backend'!$L$1,IF(ISERROR(MATCH('Analysis backend'!$M$1,E6185:I6185,0)),"Dire","Radiant"),"")</f>
        <v/>
      </c>
    </row>
    <row r="6186" spans="20:21" x14ac:dyDescent="0.3">
      <c r="T6186" t="str">
        <f>IF(ISERROR(MATCH('Analysis backend'!$M$1,E6186:N6186,0)),"",'Analysis backend'!$L$1)</f>
        <v/>
      </c>
      <c r="U6186" t="str">
        <f>IF(T6186='Analysis backend'!$L$1,IF(ISERROR(MATCH('Analysis backend'!$M$1,E6186:I6186,0)),"Dire","Radiant"),"")</f>
        <v/>
      </c>
    </row>
    <row r="6187" spans="20:21" x14ac:dyDescent="0.3">
      <c r="T6187" t="str">
        <f>IF(ISERROR(MATCH('Analysis backend'!$M$1,E6187:N6187,0)),"",'Analysis backend'!$L$1)</f>
        <v/>
      </c>
      <c r="U6187" t="str">
        <f>IF(T6187='Analysis backend'!$L$1,IF(ISERROR(MATCH('Analysis backend'!$M$1,E6187:I6187,0)),"Dire","Radiant"),"")</f>
        <v/>
      </c>
    </row>
    <row r="6188" spans="20:21" x14ac:dyDescent="0.3">
      <c r="T6188" t="str">
        <f>IF(ISERROR(MATCH('Analysis backend'!$M$1,E6188:N6188,0)),"",'Analysis backend'!$L$1)</f>
        <v/>
      </c>
      <c r="U6188" t="str">
        <f>IF(T6188='Analysis backend'!$L$1,IF(ISERROR(MATCH('Analysis backend'!$M$1,E6188:I6188,0)),"Dire","Radiant"),"")</f>
        <v/>
      </c>
    </row>
    <row r="6189" spans="20:21" x14ac:dyDescent="0.3">
      <c r="T6189" t="str">
        <f>IF(ISERROR(MATCH('Analysis backend'!$M$1,E6189:N6189,0)),"",'Analysis backend'!$L$1)</f>
        <v/>
      </c>
      <c r="U6189" t="str">
        <f>IF(T6189='Analysis backend'!$L$1,IF(ISERROR(MATCH('Analysis backend'!$M$1,E6189:I6189,0)),"Dire","Radiant"),"")</f>
        <v/>
      </c>
    </row>
    <row r="6190" spans="20:21" x14ac:dyDescent="0.3">
      <c r="T6190" t="str">
        <f>IF(ISERROR(MATCH('Analysis backend'!$M$1,E6190:N6190,0)),"",'Analysis backend'!$L$1)</f>
        <v/>
      </c>
      <c r="U6190" t="str">
        <f>IF(T6190='Analysis backend'!$L$1,IF(ISERROR(MATCH('Analysis backend'!$M$1,E6190:I6190,0)),"Dire","Radiant"),"")</f>
        <v/>
      </c>
    </row>
    <row r="6191" spans="20:21" x14ac:dyDescent="0.3">
      <c r="T6191" t="str">
        <f>IF(ISERROR(MATCH('Analysis backend'!$M$1,E6191:N6191,0)),"",'Analysis backend'!$L$1)</f>
        <v/>
      </c>
      <c r="U6191" t="str">
        <f>IF(T6191='Analysis backend'!$L$1,IF(ISERROR(MATCH('Analysis backend'!$M$1,E6191:I6191,0)),"Dire","Radiant"),"")</f>
        <v/>
      </c>
    </row>
    <row r="6192" spans="20:21" x14ac:dyDescent="0.3">
      <c r="T6192" t="str">
        <f>IF(ISERROR(MATCH('Analysis backend'!$M$1,E6192:N6192,0)),"",'Analysis backend'!$L$1)</f>
        <v/>
      </c>
      <c r="U6192" t="str">
        <f>IF(T6192='Analysis backend'!$L$1,IF(ISERROR(MATCH('Analysis backend'!$M$1,E6192:I6192,0)),"Dire","Radiant"),"")</f>
        <v/>
      </c>
    </row>
    <row r="6193" spans="20:21" x14ac:dyDescent="0.3">
      <c r="T6193" t="str">
        <f>IF(ISERROR(MATCH('Analysis backend'!$M$1,E6193:N6193,0)),"",'Analysis backend'!$L$1)</f>
        <v/>
      </c>
      <c r="U6193" t="str">
        <f>IF(T6193='Analysis backend'!$L$1,IF(ISERROR(MATCH('Analysis backend'!$M$1,E6193:I6193,0)),"Dire","Radiant"),"")</f>
        <v/>
      </c>
    </row>
    <row r="6194" spans="20:21" x14ac:dyDescent="0.3">
      <c r="T6194" t="str">
        <f>IF(ISERROR(MATCH('Analysis backend'!$M$1,E6194:N6194,0)),"",'Analysis backend'!$L$1)</f>
        <v/>
      </c>
      <c r="U6194" t="str">
        <f>IF(T6194='Analysis backend'!$L$1,IF(ISERROR(MATCH('Analysis backend'!$M$1,E6194:I6194,0)),"Dire","Radiant"),"")</f>
        <v/>
      </c>
    </row>
    <row r="6195" spans="20:21" x14ac:dyDescent="0.3">
      <c r="T6195" t="str">
        <f>IF(ISERROR(MATCH('Analysis backend'!$M$1,E6195:N6195,0)),"",'Analysis backend'!$L$1)</f>
        <v/>
      </c>
      <c r="U6195" t="str">
        <f>IF(T6195='Analysis backend'!$L$1,IF(ISERROR(MATCH('Analysis backend'!$M$1,E6195:I6195,0)),"Dire","Radiant"),"")</f>
        <v/>
      </c>
    </row>
    <row r="6196" spans="20:21" x14ac:dyDescent="0.3">
      <c r="T6196" t="str">
        <f>IF(ISERROR(MATCH('Analysis backend'!$M$1,E6196:N6196,0)),"",'Analysis backend'!$L$1)</f>
        <v/>
      </c>
      <c r="U6196" t="str">
        <f>IF(T6196='Analysis backend'!$L$1,IF(ISERROR(MATCH('Analysis backend'!$M$1,E6196:I6196,0)),"Dire","Radiant"),"")</f>
        <v/>
      </c>
    </row>
    <row r="6197" spans="20:21" x14ac:dyDescent="0.3">
      <c r="T6197" t="str">
        <f>IF(ISERROR(MATCH('Analysis backend'!$M$1,E6197:N6197,0)),"",'Analysis backend'!$L$1)</f>
        <v/>
      </c>
      <c r="U6197" t="str">
        <f>IF(T6197='Analysis backend'!$L$1,IF(ISERROR(MATCH('Analysis backend'!$M$1,E6197:I6197,0)),"Dire","Radiant"),"")</f>
        <v/>
      </c>
    </row>
    <row r="6198" spans="20:21" x14ac:dyDescent="0.3">
      <c r="T6198" t="str">
        <f>IF(ISERROR(MATCH('Analysis backend'!$M$1,E6198:N6198,0)),"",'Analysis backend'!$L$1)</f>
        <v/>
      </c>
      <c r="U6198" t="str">
        <f>IF(T6198='Analysis backend'!$L$1,IF(ISERROR(MATCH('Analysis backend'!$M$1,E6198:I6198,0)),"Dire","Radiant"),"")</f>
        <v/>
      </c>
    </row>
    <row r="6199" spans="20:21" x14ac:dyDescent="0.3">
      <c r="T6199" t="str">
        <f>IF(ISERROR(MATCH('Analysis backend'!$M$1,E6199:N6199,0)),"",'Analysis backend'!$L$1)</f>
        <v/>
      </c>
      <c r="U6199" t="str">
        <f>IF(T6199='Analysis backend'!$L$1,IF(ISERROR(MATCH('Analysis backend'!$M$1,E6199:I6199,0)),"Dire","Radiant"),"")</f>
        <v/>
      </c>
    </row>
    <row r="6200" spans="20:21" x14ac:dyDescent="0.3">
      <c r="T6200" t="str">
        <f>IF(ISERROR(MATCH('Analysis backend'!$M$1,E6200:N6200,0)),"",'Analysis backend'!$L$1)</f>
        <v/>
      </c>
      <c r="U6200" t="str">
        <f>IF(T6200='Analysis backend'!$L$1,IF(ISERROR(MATCH('Analysis backend'!$M$1,E6200:I6200,0)),"Dire","Radiant"),"")</f>
        <v/>
      </c>
    </row>
    <row r="6201" spans="20:21" x14ac:dyDescent="0.3">
      <c r="T6201" t="str">
        <f>IF(ISERROR(MATCH('Analysis backend'!$M$1,E6201:N6201,0)),"",'Analysis backend'!$L$1)</f>
        <v/>
      </c>
      <c r="U6201" t="str">
        <f>IF(T6201='Analysis backend'!$L$1,IF(ISERROR(MATCH('Analysis backend'!$M$1,E6201:I6201,0)),"Dire","Radiant"),"")</f>
        <v/>
      </c>
    </row>
    <row r="6202" spans="20:21" x14ac:dyDescent="0.3">
      <c r="T6202" t="str">
        <f>IF(ISERROR(MATCH('Analysis backend'!$M$1,E6202:N6202,0)),"",'Analysis backend'!$L$1)</f>
        <v/>
      </c>
      <c r="U6202" t="str">
        <f>IF(T6202='Analysis backend'!$L$1,IF(ISERROR(MATCH('Analysis backend'!$M$1,E6202:I6202,0)),"Dire","Radiant"),"")</f>
        <v/>
      </c>
    </row>
    <row r="6203" spans="20:21" x14ac:dyDescent="0.3">
      <c r="T6203" t="str">
        <f>IF(ISERROR(MATCH('Analysis backend'!$M$1,E6203:N6203,0)),"",'Analysis backend'!$L$1)</f>
        <v/>
      </c>
      <c r="U6203" t="str">
        <f>IF(T6203='Analysis backend'!$L$1,IF(ISERROR(MATCH('Analysis backend'!$M$1,E6203:I6203,0)),"Dire","Radiant"),"")</f>
        <v/>
      </c>
    </row>
    <row r="6204" spans="20:21" x14ac:dyDescent="0.3">
      <c r="T6204" t="str">
        <f>IF(ISERROR(MATCH('Analysis backend'!$M$1,E6204:N6204,0)),"",'Analysis backend'!$L$1)</f>
        <v/>
      </c>
      <c r="U6204" t="str">
        <f>IF(T6204='Analysis backend'!$L$1,IF(ISERROR(MATCH('Analysis backend'!$M$1,E6204:I6204,0)),"Dire","Radiant"),"")</f>
        <v/>
      </c>
    </row>
    <row r="6205" spans="20:21" x14ac:dyDescent="0.3">
      <c r="T6205" t="str">
        <f>IF(ISERROR(MATCH('Analysis backend'!$M$1,E6205:N6205,0)),"",'Analysis backend'!$L$1)</f>
        <v/>
      </c>
      <c r="U6205" t="str">
        <f>IF(T6205='Analysis backend'!$L$1,IF(ISERROR(MATCH('Analysis backend'!$M$1,E6205:I6205,0)),"Dire","Radiant"),"")</f>
        <v/>
      </c>
    </row>
    <row r="6206" spans="20:21" x14ac:dyDescent="0.3">
      <c r="T6206" t="str">
        <f>IF(ISERROR(MATCH('Analysis backend'!$M$1,E6206:N6206,0)),"",'Analysis backend'!$L$1)</f>
        <v/>
      </c>
      <c r="U6206" t="str">
        <f>IF(T6206='Analysis backend'!$L$1,IF(ISERROR(MATCH('Analysis backend'!$M$1,E6206:I6206,0)),"Dire","Radiant"),"")</f>
        <v/>
      </c>
    </row>
    <row r="6207" spans="20:21" x14ac:dyDescent="0.3">
      <c r="T6207" t="str">
        <f>IF(ISERROR(MATCH('Analysis backend'!$M$1,E6207:N6207,0)),"",'Analysis backend'!$L$1)</f>
        <v/>
      </c>
      <c r="U6207" t="str">
        <f>IF(T6207='Analysis backend'!$L$1,IF(ISERROR(MATCH('Analysis backend'!$M$1,E6207:I6207,0)),"Dire","Radiant"),"")</f>
        <v/>
      </c>
    </row>
    <row r="6208" spans="20:21" x14ac:dyDescent="0.3">
      <c r="T6208" t="str">
        <f>IF(ISERROR(MATCH('Analysis backend'!$M$1,E6208:N6208,0)),"",'Analysis backend'!$L$1)</f>
        <v/>
      </c>
      <c r="U6208" t="str">
        <f>IF(T6208='Analysis backend'!$L$1,IF(ISERROR(MATCH('Analysis backend'!$M$1,E6208:I6208,0)),"Dire","Radiant"),"")</f>
        <v/>
      </c>
    </row>
    <row r="6209" spans="20:21" x14ac:dyDescent="0.3">
      <c r="T6209" t="str">
        <f>IF(ISERROR(MATCH('Analysis backend'!$M$1,E6209:N6209,0)),"",'Analysis backend'!$L$1)</f>
        <v/>
      </c>
      <c r="U6209" t="str">
        <f>IF(T6209='Analysis backend'!$L$1,IF(ISERROR(MATCH('Analysis backend'!$M$1,E6209:I6209,0)),"Dire","Radiant"),"")</f>
        <v/>
      </c>
    </row>
    <row r="6210" spans="20:21" x14ac:dyDescent="0.3">
      <c r="T6210" t="str">
        <f>IF(ISERROR(MATCH('Analysis backend'!$M$1,E6210:N6210,0)),"",'Analysis backend'!$L$1)</f>
        <v/>
      </c>
      <c r="U6210" t="str">
        <f>IF(T6210='Analysis backend'!$L$1,IF(ISERROR(MATCH('Analysis backend'!$M$1,E6210:I6210,0)),"Dire","Radiant"),"")</f>
        <v/>
      </c>
    </row>
    <row r="6211" spans="20:21" x14ac:dyDescent="0.3">
      <c r="T6211" t="str">
        <f>IF(ISERROR(MATCH('Analysis backend'!$M$1,E6211:N6211,0)),"",'Analysis backend'!$L$1)</f>
        <v/>
      </c>
      <c r="U6211" t="str">
        <f>IF(T6211='Analysis backend'!$L$1,IF(ISERROR(MATCH('Analysis backend'!$M$1,E6211:I6211,0)),"Dire","Radiant"),"")</f>
        <v/>
      </c>
    </row>
    <row r="6212" spans="20:21" x14ac:dyDescent="0.3">
      <c r="T6212" t="str">
        <f>IF(ISERROR(MATCH('Analysis backend'!$M$1,E6212:N6212,0)),"",'Analysis backend'!$L$1)</f>
        <v/>
      </c>
      <c r="U6212" t="str">
        <f>IF(T6212='Analysis backend'!$L$1,IF(ISERROR(MATCH('Analysis backend'!$M$1,E6212:I6212,0)),"Dire","Radiant"),"")</f>
        <v/>
      </c>
    </row>
    <row r="6213" spans="20:21" x14ac:dyDescent="0.3">
      <c r="T6213" t="str">
        <f>IF(ISERROR(MATCH('Analysis backend'!$M$1,E6213:N6213,0)),"",'Analysis backend'!$L$1)</f>
        <v/>
      </c>
      <c r="U6213" t="str">
        <f>IF(T6213='Analysis backend'!$L$1,IF(ISERROR(MATCH('Analysis backend'!$M$1,E6213:I6213,0)),"Dire","Radiant"),"")</f>
        <v/>
      </c>
    </row>
    <row r="6214" spans="20:21" x14ac:dyDescent="0.3">
      <c r="T6214" t="str">
        <f>IF(ISERROR(MATCH('Analysis backend'!$M$1,E6214:N6214,0)),"",'Analysis backend'!$L$1)</f>
        <v/>
      </c>
      <c r="U6214" t="str">
        <f>IF(T6214='Analysis backend'!$L$1,IF(ISERROR(MATCH('Analysis backend'!$M$1,E6214:I6214,0)),"Dire","Radiant"),"")</f>
        <v/>
      </c>
    </row>
    <row r="6215" spans="20:21" x14ac:dyDescent="0.3">
      <c r="T6215" t="str">
        <f>IF(ISERROR(MATCH('Analysis backend'!$M$1,E6215:N6215,0)),"",'Analysis backend'!$L$1)</f>
        <v/>
      </c>
      <c r="U6215" t="str">
        <f>IF(T6215='Analysis backend'!$L$1,IF(ISERROR(MATCH('Analysis backend'!$M$1,E6215:I6215,0)),"Dire","Radiant"),"")</f>
        <v/>
      </c>
    </row>
    <row r="6216" spans="20:21" x14ac:dyDescent="0.3">
      <c r="T6216" t="str">
        <f>IF(ISERROR(MATCH('Analysis backend'!$M$1,E6216:N6216,0)),"",'Analysis backend'!$L$1)</f>
        <v/>
      </c>
      <c r="U6216" t="str">
        <f>IF(T6216='Analysis backend'!$L$1,IF(ISERROR(MATCH('Analysis backend'!$M$1,E6216:I6216,0)),"Dire","Radiant"),"")</f>
        <v/>
      </c>
    </row>
    <row r="6217" spans="20:21" x14ac:dyDescent="0.3">
      <c r="T6217" t="str">
        <f>IF(ISERROR(MATCH('Analysis backend'!$M$1,E6217:N6217,0)),"",'Analysis backend'!$L$1)</f>
        <v/>
      </c>
      <c r="U6217" t="str">
        <f>IF(T6217='Analysis backend'!$L$1,IF(ISERROR(MATCH('Analysis backend'!$M$1,E6217:I6217,0)),"Dire","Radiant"),"")</f>
        <v/>
      </c>
    </row>
    <row r="6218" spans="20:21" x14ac:dyDescent="0.3">
      <c r="T6218" t="str">
        <f>IF(ISERROR(MATCH('Analysis backend'!$M$1,E6218:N6218,0)),"",'Analysis backend'!$L$1)</f>
        <v/>
      </c>
      <c r="U6218" t="str">
        <f>IF(T6218='Analysis backend'!$L$1,IF(ISERROR(MATCH('Analysis backend'!$M$1,E6218:I6218,0)),"Dire","Radiant"),"")</f>
        <v/>
      </c>
    </row>
    <row r="6219" spans="20:21" x14ac:dyDescent="0.3">
      <c r="T6219" t="str">
        <f>IF(ISERROR(MATCH('Analysis backend'!$M$1,E6219:N6219,0)),"",'Analysis backend'!$L$1)</f>
        <v/>
      </c>
      <c r="U6219" t="str">
        <f>IF(T6219='Analysis backend'!$L$1,IF(ISERROR(MATCH('Analysis backend'!$M$1,E6219:I6219,0)),"Dire","Radiant"),"")</f>
        <v/>
      </c>
    </row>
    <row r="6220" spans="20:21" x14ac:dyDescent="0.3">
      <c r="T6220" t="str">
        <f>IF(ISERROR(MATCH('Analysis backend'!$M$1,E6220:N6220,0)),"",'Analysis backend'!$L$1)</f>
        <v/>
      </c>
      <c r="U6220" t="str">
        <f>IF(T6220='Analysis backend'!$L$1,IF(ISERROR(MATCH('Analysis backend'!$M$1,E6220:I6220,0)),"Dire","Radiant"),"")</f>
        <v/>
      </c>
    </row>
    <row r="6221" spans="20:21" x14ac:dyDescent="0.3">
      <c r="T6221" t="str">
        <f>IF(ISERROR(MATCH('Analysis backend'!$M$1,E6221:N6221,0)),"",'Analysis backend'!$L$1)</f>
        <v/>
      </c>
      <c r="U6221" t="str">
        <f>IF(T6221='Analysis backend'!$L$1,IF(ISERROR(MATCH('Analysis backend'!$M$1,E6221:I6221,0)),"Dire","Radiant"),"")</f>
        <v/>
      </c>
    </row>
    <row r="6222" spans="20:21" x14ac:dyDescent="0.3">
      <c r="T6222" t="str">
        <f>IF(ISERROR(MATCH('Analysis backend'!$M$1,E6222:N6222,0)),"",'Analysis backend'!$L$1)</f>
        <v/>
      </c>
      <c r="U6222" t="str">
        <f>IF(T6222='Analysis backend'!$L$1,IF(ISERROR(MATCH('Analysis backend'!$M$1,E6222:I6222,0)),"Dire","Radiant"),"")</f>
        <v/>
      </c>
    </row>
    <row r="6223" spans="20:21" x14ac:dyDescent="0.3">
      <c r="T6223" t="str">
        <f>IF(ISERROR(MATCH('Analysis backend'!$M$1,E6223:N6223,0)),"",'Analysis backend'!$L$1)</f>
        <v/>
      </c>
      <c r="U6223" t="str">
        <f>IF(T6223='Analysis backend'!$L$1,IF(ISERROR(MATCH('Analysis backend'!$M$1,E6223:I6223,0)),"Dire","Radiant"),"")</f>
        <v/>
      </c>
    </row>
    <row r="6224" spans="20:21" x14ac:dyDescent="0.3">
      <c r="T6224" t="str">
        <f>IF(ISERROR(MATCH('Analysis backend'!$M$1,E6224:N6224,0)),"",'Analysis backend'!$L$1)</f>
        <v/>
      </c>
      <c r="U6224" t="str">
        <f>IF(T6224='Analysis backend'!$L$1,IF(ISERROR(MATCH('Analysis backend'!$M$1,E6224:I6224,0)),"Dire","Radiant"),"")</f>
        <v/>
      </c>
    </row>
    <row r="6225" spans="20:21" x14ac:dyDescent="0.3">
      <c r="T6225" t="str">
        <f>IF(ISERROR(MATCH('Analysis backend'!$M$1,E6225:N6225,0)),"",'Analysis backend'!$L$1)</f>
        <v/>
      </c>
      <c r="U6225" t="str">
        <f>IF(T6225='Analysis backend'!$L$1,IF(ISERROR(MATCH('Analysis backend'!$M$1,E6225:I6225,0)),"Dire","Radiant"),"")</f>
        <v/>
      </c>
    </row>
    <row r="6226" spans="20:21" x14ac:dyDescent="0.3">
      <c r="T6226" t="str">
        <f>IF(ISERROR(MATCH('Analysis backend'!$M$1,E6226:N6226,0)),"",'Analysis backend'!$L$1)</f>
        <v/>
      </c>
      <c r="U6226" t="str">
        <f>IF(T6226='Analysis backend'!$L$1,IF(ISERROR(MATCH('Analysis backend'!$M$1,E6226:I6226,0)),"Dire","Radiant"),"")</f>
        <v/>
      </c>
    </row>
    <row r="6227" spans="20:21" x14ac:dyDescent="0.3">
      <c r="T6227" t="str">
        <f>IF(ISERROR(MATCH('Analysis backend'!$M$1,E6227:N6227,0)),"",'Analysis backend'!$L$1)</f>
        <v/>
      </c>
      <c r="U6227" t="str">
        <f>IF(T6227='Analysis backend'!$L$1,IF(ISERROR(MATCH('Analysis backend'!$M$1,E6227:I6227,0)),"Dire","Radiant"),"")</f>
        <v/>
      </c>
    </row>
    <row r="6228" spans="20:21" x14ac:dyDescent="0.3">
      <c r="T6228" t="str">
        <f>IF(ISERROR(MATCH('Analysis backend'!$M$1,E6228:N6228,0)),"",'Analysis backend'!$L$1)</f>
        <v/>
      </c>
      <c r="U6228" t="str">
        <f>IF(T6228='Analysis backend'!$L$1,IF(ISERROR(MATCH('Analysis backend'!$M$1,E6228:I6228,0)),"Dire","Radiant"),"")</f>
        <v/>
      </c>
    </row>
    <row r="6229" spans="20:21" x14ac:dyDescent="0.3">
      <c r="T6229" t="str">
        <f>IF(ISERROR(MATCH('Analysis backend'!$M$1,E6229:N6229,0)),"",'Analysis backend'!$L$1)</f>
        <v/>
      </c>
      <c r="U6229" t="str">
        <f>IF(T6229='Analysis backend'!$L$1,IF(ISERROR(MATCH('Analysis backend'!$M$1,E6229:I6229,0)),"Dire","Radiant"),"")</f>
        <v/>
      </c>
    </row>
    <row r="6230" spans="20:21" x14ac:dyDescent="0.3">
      <c r="T6230" t="str">
        <f>IF(ISERROR(MATCH('Analysis backend'!$M$1,E6230:N6230,0)),"",'Analysis backend'!$L$1)</f>
        <v/>
      </c>
      <c r="U6230" t="str">
        <f>IF(T6230='Analysis backend'!$L$1,IF(ISERROR(MATCH('Analysis backend'!$M$1,E6230:I6230,0)),"Dire","Radiant"),"")</f>
        <v/>
      </c>
    </row>
    <row r="6231" spans="20:21" x14ac:dyDescent="0.3">
      <c r="T6231" t="str">
        <f>IF(ISERROR(MATCH('Analysis backend'!$M$1,E6231:N6231,0)),"",'Analysis backend'!$L$1)</f>
        <v/>
      </c>
      <c r="U6231" t="str">
        <f>IF(T6231='Analysis backend'!$L$1,IF(ISERROR(MATCH('Analysis backend'!$M$1,E6231:I6231,0)),"Dire","Radiant"),"")</f>
        <v/>
      </c>
    </row>
    <row r="6232" spans="20:21" x14ac:dyDescent="0.3">
      <c r="T6232" t="str">
        <f>IF(ISERROR(MATCH('Analysis backend'!$M$1,E6232:N6232,0)),"",'Analysis backend'!$L$1)</f>
        <v/>
      </c>
      <c r="U6232" t="str">
        <f>IF(T6232='Analysis backend'!$L$1,IF(ISERROR(MATCH('Analysis backend'!$M$1,E6232:I6232,0)),"Dire","Radiant"),"")</f>
        <v/>
      </c>
    </row>
    <row r="6233" spans="20:21" x14ac:dyDescent="0.3">
      <c r="T6233" t="str">
        <f>IF(ISERROR(MATCH('Analysis backend'!$M$1,E6233:N6233,0)),"",'Analysis backend'!$L$1)</f>
        <v/>
      </c>
      <c r="U6233" t="str">
        <f>IF(T6233='Analysis backend'!$L$1,IF(ISERROR(MATCH('Analysis backend'!$M$1,E6233:I6233,0)),"Dire","Radiant"),"")</f>
        <v/>
      </c>
    </row>
    <row r="6234" spans="20:21" x14ac:dyDescent="0.3">
      <c r="T6234" t="str">
        <f>IF(ISERROR(MATCH('Analysis backend'!$M$1,E6234:N6234,0)),"",'Analysis backend'!$L$1)</f>
        <v/>
      </c>
      <c r="U6234" t="str">
        <f>IF(T6234='Analysis backend'!$L$1,IF(ISERROR(MATCH('Analysis backend'!$M$1,E6234:I6234,0)),"Dire","Radiant"),"")</f>
        <v/>
      </c>
    </row>
    <row r="6235" spans="20:21" x14ac:dyDescent="0.3">
      <c r="T6235" t="str">
        <f>IF(ISERROR(MATCH('Analysis backend'!$M$1,E6235:N6235,0)),"",'Analysis backend'!$L$1)</f>
        <v/>
      </c>
      <c r="U6235" t="str">
        <f>IF(T6235='Analysis backend'!$L$1,IF(ISERROR(MATCH('Analysis backend'!$M$1,E6235:I6235,0)),"Dire","Radiant"),"")</f>
        <v/>
      </c>
    </row>
    <row r="6236" spans="20:21" x14ac:dyDescent="0.3">
      <c r="T6236" t="str">
        <f>IF(ISERROR(MATCH('Analysis backend'!$M$1,E6236:N6236,0)),"",'Analysis backend'!$L$1)</f>
        <v/>
      </c>
      <c r="U6236" t="str">
        <f>IF(T6236='Analysis backend'!$L$1,IF(ISERROR(MATCH('Analysis backend'!$M$1,E6236:I6236,0)),"Dire","Radiant"),"")</f>
        <v/>
      </c>
    </row>
    <row r="6237" spans="20:21" x14ac:dyDescent="0.3">
      <c r="T6237" t="str">
        <f>IF(ISERROR(MATCH('Analysis backend'!$M$1,E6237:N6237,0)),"",'Analysis backend'!$L$1)</f>
        <v/>
      </c>
      <c r="U6237" t="str">
        <f>IF(T6237='Analysis backend'!$L$1,IF(ISERROR(MATCH('Analysis backend'!$M$1,E6237:I6237,0)),"Dire","Radiant"),"")</f>
        <v/>
      </c>
    </row>
    <row r="6238" spans="20:21" x14ac:dyDescent="0.3">
      <c r="T6238" t="str">
        <f>IF(ISERROR(MATCH('Analysis backend'!$M$1,E6238:N6238,0)),"",'Analysis backend'!$L$1)</f>
        <v/>
      </c>
      <c r="U6238" t="str">
        <f>IF(T6238='Analysis backend'!$L$1,IF(ISERROR(MATCH('Analysis backend'!$M$1,E6238:I6238,0)),"Dire","Radiant"),"")</f>
        <v/>
      </c>
    </row>
    <row r="6239" spans="20:21" x14ac:dyDescent="0.3">
      <c r="T6239" t="str">
        <f>IF(ISERROR(MATCH('Analysis backend'!$M$1,E6239:N6239,0)),"",'Analysis backend'!$L$1)</f>
        <v/>
      </c>
      <c r="U6239" t="str">
        <f>IF(T6239='Analysis backend'!$L$1,IF(ISERROR(MATCH('Analysis backend'!$M$1,E6239:I6239,0)),"Dire","Radiant"),"")</f>
        <v/>
      </c>
    </row>
    <row r="6240" spans="20:21" x14ac:dyDescent="0.3">
      <c r="T6240" t="str">
        <f>IF(ISERROR(MATCH('Analysis backend'!$M$1,E6240:N6240,0)),"",'Analysis backend'!$L$1)</f>
        <v/>
      </c>
      <c r="U6240" t="str">
        <f>IF(T6240='Analysis backend'!$L$1,IF(ISERROR(MATCH('Analysis backend'!$M$1,E6240:I6240,0)),"Dire","Radiant"),"")</f>
        <v/>
      </c>
    </row>
    <row r="6241" spans="20:21" x14ac:dyDescent="0.3">
      <c r="T6241" t="str">
        <f>IF(ISERROR(MATCH('Analysis backend'!$M$1,E6241:N6241,0)),"",'Analysis backend'!$L$1)</f>
        <v/>
      </c>
      <c r="U6241" t="str">
        <f>IF(T6241='Analysis backend'!$L$1,IF(ISERROR(MATCH('Analysis backend'!$M$1,E6241:I6241,0)),"Dire","Radiant"),"")</f>
        <v/>
      </c>
    </row>
    <row r="6242" spans="20:21" x14ac:dyDescent="0.3">
      <c r="T6242" t="str">
        <f>IF(ISERROR(MATCH('Analysis backend'!$M$1,E6242:N6242,0)),"",'Analysis backend'!$L$1)</f>
        <v/>
      </c>
      <c r="U6242" t="str">
        <f>IF(T6242='Analysis backend'!$L$1,IF(ISERROR(MATCH('Analysis backend'!$M$1,E6242:I6242,0)),"Dire","Radiant"),"")</f>
        <v/>
      </c>
    </row>
    <row r="6243" spans="20:21" x14ac:dyDescent="0.3">
      <c r="T6243" t="str">
        <f>IF(ISERROR(MATCH('Analysis backend'!$M$1,E6243:N6243,0)),"",'Analysis backend'!$L$1)</f>
        <v/>
      </c>
      <c r="U6243" t="str">
        <f>IF(T6243='Analysis backend'!$L$1,IF(ISERROR(MATCH('Analysis backend'!$M$1,E6243:I6243,0)),"Dire","Radiant"),"")</f>
        <v/>
      </c>
    </row>
    <row r="6244" spans="20:21" x14ac:dyDescent="0.3">
      <c r="T6244" t="str">
        <f>IF(ISERROR(MATCH('Analysis backend'!$M$1,E6244:N6244,0)),"",'Analysis backend'!$L$1)</f>
        <v/>
      </c>
      <c r="U6244" t="str">
        <f>IF(T6244='Analysis backend'!$L$1,IF(ISERROR(MATCH('Analysis backend'!$M$1,E6244:I6244,0)),"Dire","Radiant"),"")</f>
        <v/>
      </c>
    </row>
    <row r="6245" spans="20:21" x14ac:dyDescent="0.3">
      <c r="T6245" t="str">
        <f>IF(ISERROR(MATCH('Analysis backend'!$M$1,E6245:N6245,0)),"",'Analysis backend'!$L$1)</f>
        <v/>
      </c>
      <c r="U6245" t="str">
        <f>IF(T6245='Analysis backend'!$L$1,IF(ISERROR(MATCH('Analysis backend'!$M$1,E6245:I6245,0)),"Dire","Radiant"),"")</f>
        <v/>
      </c>
    </row>
    <row r="6246" spans="20:21" x14ac:dyDescent="0.3">
      <c r="T6246" t="str">
        <f>IF(ISERROR(MATCH('Analysis backend'!$M$1,E6246:N6246,0)),"",'Analysis backend'!$L$1)</f>
        <v/>
      </c>
      <c r="U6246" t="str">
        <f>IF(T6246='Analysis backend'!$L$1,IF(ISERROR(MATCH('Analysis backend'!$M$1,E6246:I6246,0)),"Dire","Radiant"),"")</f>
        <v/>
      </c>
    </row>
    <row r="6247" spans="20:21" x14ac:dyDescent="0.3">
      <c r="T6247" t="str">
        <f>IF(ISERROR(MATCH('Analysis backend'!$M$1,E6247:N6247,0)),"",'Analysis backend'!$L$1)</f>
        <v/>
      </c>
      <c r="U6247" t="str">
        <f>IF(T6247='Analysis backend'!$L$1,IF(ISERROR(MATCH('Analysis backend'!$M$1,E6247:I6247,0)),"Dire","Radiant"),"")</f>
        <v/>
      </c>
    </row>
    <row r="6248" spans="20:21" x14ac:dyDescent="0.3">
      <c r="T6248" t="str">
        <f>IF(ISERROR(MATCH('Analysis backend'!$M$1,E6248:N6248,0)),"",'Analysis backend'!$L$1)</f>
        <v/>
      </c>
      <c r="U6248" t="str">
        <f>IF(T6248='Analysis backend'!$L$1,IF(ISERROR(MATCH('Analysis backend'!$M$1,E6248:I6248,0)),"Dire","Radiant"),"")</f>
        <v/>
      </c>
    </row>
    <row r="6249" spans="20:21" x14ac:dyDescent="0.3">
      <c r="T6249" t="str">
        <f>IF(ISERROR(MATCH('Analysis backend'!$M$1,E6249:N6249,0)),"",'Analysis backend'!$L$1)</f>
        <v/>
      </c>
      <c r="U6249" t="str">
        <f>IF(T6249='Analysis backend'!$L$1,IF(ISERROR(MATCH('Analysis backend'!$M$1,E6249:I6249,0)),"Dire","Radiant"),"")</f>
        <v/>
      </c>
    </row>
    <row r="6250" spans="20:21" x14ac:dyDescent="0.3">
      <c r="T6250" t="str">
        <f>IF(ISERROR(MATCH('Analysis backend'!$M$1,E6250:N6250,0)),"",'Analysis backend'!$L$1)</f>
        <v/>
      </c>
      <c r="U6250" t="str">
        <f>IF(T6250='Analysis backend'!$L$1,IF(ISERROR(MATCH('Analysis backend'!$M$1,E6250:I6250,0)),"Dire","Radiant"),"")</f>
        <v/>
      </c>
    </row>
    <row r="6251" spans="20:21" x14ac:dyDescent="0.3">
      <c r="T6251" t="str">
        <f>IF(ISERROR(MATCH('Analysis backend'!$M$1,E6251:N6251,0)),"",'Analysis backend'!$L$1)</f>
        <v/>
      </c>
      <c r="U6251" t="str">
        <f>IF(T6251='Analysis backend'!$L$1,IF(ISERROR(MATCH('Analysis backend'!$M$1,E6251:I6251,0)),"Dire","Radiant"),"")</f>
        <v/>
      </c>
    </row>
    <row r="6252" spans="20:21" x14ac:dyDescent="0.3">
      <c r="T6252" t="str">
        <f>IF(ISERROR(MATCH('Analysis backend'!$M$1,E6252:N6252,0)),"",'Analysis backend'!$L$1)</f>
        <v/>
      </c>
      <c r="U6252" t="str">
        <f>IF(T6252='Analysis backend'!$L$1,IF(ISERROR(MATCH('Analysis backend'!$M$1,E6252:I6252,0)),"Dire","Radiant"),"")</f>
        <v/>
      </c>
    </row>
    <row r="6253" spans="20:21" x14ac:dyDescent="0.3">
      <c r="T6253" t="str">
        <f>IF(ISERROR(MATCH('Analysis backend'!$M$1,E6253:N6253,0)),"",'Analysis backend'!$L$1)</f>
        <v/>
      </c>
      <c r="U6253" t="str">
        <f>IF(T6253='Analysis backend'!$L$1,IF(ISERROR(MATCH('Analysis backend'!$M$1,E6253:I6253,0)),"Dire","Radiant"),"")</f>
        <v/>
      </c>
    </row>
    <row r="6254" spans="20:21" x14ac:dyDescent="0.3">
      <c r="T6254" t="str">
        <f>IF(ISERROR(MATCH('Analysis backend'!$M$1,E6254:N6254,0)),"",'Analysis backend'!$L$1)</f>
        <v/>
      </c>
      <c r="U6254" t="str">
        <f>IF(T6254='Analysis backend'!$L$1,IF(ISERROR(MATCH('Analysis backend'!$M$1,E6254:I6254,0)),"Dire","Radiant"),"")</f>
        <v/>
      </c>
    </row>
    <row r="6255" spans="20:21" x14ac:dyDescent="0.3">
      <c r="T6255" t="str">
        <f>IF(ISERROR(MATCH('Analysis backend'!$M$1,E6255:N6255,0)),"",'Analysis backend'!$L$1)</f>
        <v/>
      </c>
      <c r="U6255" t="str">
        <f>IF(T6255='Analysis backend'!$L$1,IF(ISERROR(MATCH('Analysis backend'!$M$1,E6255:I6255,0)),"Dire","Radiant"),"")</f>
        <v/>
      </c>
    </row>
    <row r="6256" spans="20:21" x14ac:dyDescent="0.3">
      <c r="T6256" t="str">
        <f>IF(ISERROR(MATCH('Analysis backend'!$M$1,E6256:N6256,0)),"",'Analysis backend'!$L$1)</f>
        <v/>
      </c>
      <c r="U6256" t="str">
        <f>IF(T6256='Analysis backend'!$L$1,IF(ISERROR(MATCH('Analysis backend'!$M$1,E6256:I6256,0)),"Dire","Radiant"),"")</f>
        <v/>
      </c>
    </row>
    <row r="6257" spans="20:21" x14ac:dyDescent="0.3">
      <c r="T6257" t="str">
        <f>IF(ISERROR(MATCH('Analysis backend'!$M$1,E6257:N6257,0)),"",'Analysis backend'!$L$1)</f>
        <v/>
      </c>
      <c r="U6257" t="str">
        <f>IF(T6257='Analysis backend'!$L$1,IF(ISERROR(MATCH('Analysis backend'!$M$1,E6257:I6257,0)),"Dire","Radiant"),"")</f>
        <v/>
      </c>
    </row>
    <row r="6258" spans="20:21" x14ac:dyDescent="0.3">
      <c r="T6258" t="str">
        <f>IF(ISERROR(MATCH('Analysis backend'!$M$1,E6258:N6258,0)),"",'Analysis backend'!$L$1)</f>
        <v/>
      </c>
      <c r="U6258" t="str">
        <f>IF(T6258='Analysis backend'!$L$1,IF(ISERROR(MATCH('Analysis backend'!$M$1,E6258:I6258,0)),"Dire","Radiant"),"")</f>
        <v/>
      </c>
    </row>
    <row r="6259" spans="20:21" x14ac:dyDescent="0.3">
      <c r="T6259" t="str">
        <f>IF(ISERROR(MATCH('Analysis backend'!$M$1,E6259:N6259,0)),"",'Analysis backend'!$L$1)</f>
        <v/>
      </c>
      <c r="U6259" t="str">
        <f>IF(T6259='Analysis backend'!$L$1,IF(ISERROR(MATCH('Analysis backend'!$M$1,E6259:I6259,0)),"Dire","Radiant"),"")</f>
        <v/>
      </c>
    </row>
    <row r="6260" spans="20:21" x14ac:dyDescent="0.3">
      <c r="T6260" t="str">
        <f>IF(ISERROR(MATCH('Analysis backend'!$M$1,E6260:N6260,0)),"",'Analysis backend'!$L$1)</f>
        <v/>
      </c>
      <c r="U6260" t="str">
        <f>IF(T6260='Analysis backend'!$L$1,IF(ISERROR(MATCH('Analysis backend'!$M$1,E6260:I6260,0)),"Dire","Radiant"),"")</f>
        <v/>
      </c>
    </row>
    <row r="6261" spans="20:21" x14ac:dyDescent="0.3">
      <c r="T6261" t="str">
        <f>IF(ISERROR(MATCH('Analysis backend'!$M$1,E6261:N6261,0)),"",'Analysis backend'!$L$1)</f>
        <v/>
      </c>
      <c r="U6261" t="str">
        <f>IF(T6261='Analysis backend'!$L$1,IF(ISERROR(MATCH('Analysis backend'!$M$1,E6261:I6261,0)),"Dire","Radiant"),"")</f>
        <v/>
      </c>
    </row>
    <row r="6262" spans="20:21" x14ac:dyDescent="0.3">
      <c r="T6262" t="str">
        <f>IF(ISERROR(MATCH('Analysis backend'!$M$1,E6262:N6262,0)),"",'Analysis backend'!$L$1)</f>
        <v/>
      </c>
      <c r="U6262" t="str">
        <f>IF(T6262='Analysis backend'!$L$1,IF(ISERROR(MATCH('Analysis backend'!$M$1,E6262:I6262,0)),"Dire","Radiant"),"")</f>
        <v/>
      </c>
    </row>
    <row r="6263" spans="20:21" x14ac:dyDescent="0.3">
      <c r="T6263" t="str">
        <f>IF(ISERROR(MATCH('Analysis backend'!$M$1,E6263:N6263,0)),"",'Analysis backend'!$L$1)</f>
        <v/>
      </c>
      <c r="U6263" t="str">
        <f>IF(T6263='Analysis backend'!$L$1,IF(ISERROR(MATCH('Analysis backend'!$M$1,E6263:I6263,0)),"Dire","Radiant"),"")</f>
        <v/>
      </c>
    </row>
    <row r="6264" spans="20:21" x14ac:dyDescent="0.3">
      <c r="T6264" t="str">
        <f>IF(ISERROR(MATCH('Analysis backend'!$M$1,E6264:N6264,0)),"",'Analysis backend'!$L$1)</f>
        <v/>
      </c>
      <c r="U6264" t="str">
        <f>IF(T6264='Analysis backend'!$L$1,IF(ISERROR(MATCH('Analysis backend'!$M$1,E6264:I6264,0)),"Dire","Radiant"),"")</f>
        <v/>
      </c>
    </row>
    <row r="6265" spans="20:21" x14ac:dyDescent="0.3">
      <c r="T6265" t="str">
        <f>IF(ISERROR(MATCH('Analysis backend'!$M$1,E6265:N6265,0)),"",'Analysis backend'!$L$1)</f>
        <v/>
      </c>
      <c r="U6265" t="str">
        <f>IF(T6265='Analysis backend'!$L$1,IF(ISERROR(MATCH('Analysis backend'!$M$1,E6265:I6265,0)),"Dire","Radiant"),"")</f>
        <v/>
      </c>
    </row>
    <row r="6266" spans="20:21" x14ac:dyDescent="0.3">
      <c r="T6266" t="str">
        <f>IF(ISERROR(MATCH('Analysis backend'!$M$1,E6266:N6266,0)),"",'Analysis backend'!$L$1)</f>
        <v/>
      </c>
      <c r="U6266" t="str">
        <f>IF(T6266='Analysis backend'!$L$1,IF(ISERROR(MATCH('Analysis backend'!$M$1,E6266:I6266,0)),"Dire","Radiant"),"")</f>
        <v/>
      </c>
    </row>
    <row r="6267" spans="20:21" x14ac:dyDescent="0.3">
      <c r="T6267" t="str">
        <f>IF(ISERROR(MATCH('Analysis backend'!$M$1,E6267:N6267,0)),"",'Analysis backend'!$L$1)</f>
        <v/>
      </c>
      <c r="U6267" t="str">
        <f>IF(T6267='Analysis backend'!$L$1,IF(ISERROR(MATCH('Analysis backend'!$M$1,E6267:I6267,0)),"Dire","Radiant"),"")</f>
        <v/>
      </c>
    </row>
    <row r="6268" spans="20:21" x14ac:dyDescent="0.3">
      <c r="T6268" t="str">
        <f>IF(ISERROR(MATCH('Analysis backend'!$M$1,E6268:N6268,0)),"",'Analysis backend'!$L$1)</f>
        <v/>
      </c>
      <c r="U6268" t="str">
        <f>IF(T6268='Analysis backend'!$L$1,IF(ISERROR(MATCH('Analysis backend'!$M$1,E6268:I6268,0)),"Dire","Radiant"),"")</f>
        <v/>
      </c>
    </row>
    <row r="6269" spans="20:21" x14ac:dyDescent="0.3">
      <c r="T6269" t="str">
        <f>IF(ISERROR(MATCH('Analysis backend'!$M$1,E6269:N6269,0)),"",'Analysis backend'!$L$1)</f>
        <v/>
      </c>
      <c r="U6269" t="str">
        <f>IF(T6269='Analysis backend'!$L$1,IF(ISERROR(MATCH('Analysis backend'!$M$1,E6269:I6269,0)),"Dire","Radiant"),"")</f>
        <v/>
      </c>
    </row>
    <row r="6270" spans="20:21" x14ac:dyDescent="0.3">
      <c r="T6270" t="str">
        <f>IF(ISERROR(MATCH('Analysis backend'!$M$1,E6270:N6270,0)),"",'Analysis backend'!$L$1)</f>
        <v/>
      </c>
      <c r="U6270" t="str">
        <f>IF(T6270='Analysis backend'!$L$1,IF(ISERROR(MATCH('Analysis backend'!$M$1,E6270:I6270,0)),"Dire","Radiant"),"")</f>
        <v/>
      </c>
    </row>
    <row r="6271" spans="20:21" x14ac:dyDescent="0.3">
      <c r="T6271" t="str">
        <f>IF(ISERROR(MATCH('Analysis backend'!$M$1,E6271:N6271,0)),"",'Analysis backend'!$L$1)</f>
        <v/>
      </c>
      <c r="U6271" t="str">
        <f>IF(T6271='Analysis backend'!$L$1,IF(ISERROR(MATCH('Analysis backend'!$M$1,E6271:I6271,0)),"Dire","Radiant"),"")</f>
        <v/>
      </c>
    </row>
    <row r="6272" spans="20:21" x14ac:dyDescent="0.3">
      <c r="T6272" t="str">
        <f>IF(ISERROR(MATCH('Analysis backend'!$M$1,E6272:N6272,0)),"",'Analysis backend'!$L$1)</f>
        <v/>
      </c>
      <c r="U6272" t="str">
        <f>IF(T6272='Analysis backend'!$L$1,IF(ISERROR(MATCH('Analysis backend'!$M$1,E6272:I6272,0)),"Dire","Radiant"),"")</f>
        <v/>
      </c>
    </row>
    <row r="6273" spans="20:21" x14ac:dyDescent="0.3">
      <c r="T6273" t="str">
        <f>IF(ISERROR(MATCH('Analysis backend'!$M$1,E6273:N6273,0)),"",'Analysis backend'!$L$1)</f>
        <v/>
      </c>
      <c r="U6273" t="str">
        <f>IF(T6273='Analysis backend'!$L$1,IF(ISERROR(MATCH('Analysis backend'!$M$1,E6273:I6273,0)),"Dire","Radiant"),"")</f>
        <v/>
      </c>
    </row>
    <row r="6274" spans="20:21" x14ac:dyDescent="0.3">
      <c r="T6274" t="str">
        <f>IF(ISERROR(MATCH('Analysis backend'!$M$1,E6274:N6274,0)),"",'Analysis backend'!$L$1)</f>
        <v/>
      </c>
      <c r="U6274" t="str">
        <f>IF(T6274='Analysis backend'!$L$1,IF(ISERROR(MATCH('Analysis backend'!$M$1,E6274:I6274,0)),"Dire","Radiant"),"")</f>
        <v/>
      </c>
    </row>
    <row r="6275" spans="20:21" x14ac:dyDescent="0.3">
      <c r="T6275" t="str">
        <f>IF(ISERROR(MATCH('Analysis backend'!$M$1,E6275:N6275,0)),"",'Analysis backend'!$L$1)</f>
        <v/>
      </c>
      <c r="U6275" t="str">
        <f>IF(T6275='Analysis backend'!$L$1,IF(ISERROR(MATCH('Analysis backend'!$M$1,E6275:I6275,0)),"Dire","Radiant"),"")</f>
        <v/>
      </c>
    </row>
    <row r="6276" spans="20:21" x14ac:dyDescent="0.3">
      <c r="T6276" t="str">
        <f>IF(ISERROR(MATCH('Analysis backend'!$M$1,E6276:N6276,0)),"",'Analysis backend'!$L$1)</f>
        <v/>
      </c>
      <c r="U6276" t="str">
        <f>IF(T6276='Analysis backend'!$L$1,IF(ISERROR(MATCH('Analysis backend'!$M$1,E6276:I6276,0)),"Dire","Radiant"),"")</f>
        <v/>
      </c>
    </row>
    <row r="6277" spans="20:21" x14ac:dyDescent="0.3">
      <c r="T6277" t="str">
        <f>IF(ISERROR(MATCH('Analysis backend'!$M$1,E6277:N6277,0)),"",'Analysis backend'!$L$1)</f>
        <v/>
      </c>
      <c r="U6277" t="str">
        <f>IF(T6277='Analysis backend'!$L$1,IF(ISERROR(MATCH('Analysis backend'!$M$1,E6277:I6277,0)),"Dire","Radiant"),"")</f>
        <v/>
      </c>
    </row>
    <row r="6278" spans="20:21" x14ac:dyDescent="0.3">
      <c r="T6278" t="str">
        <f>IF(ISERROR(MATCH('Analysis backend'!$M$1,E6278:N6278,0)),"",'Analysis backend'!$L$1)</f>
        <v/>
      </c>
      <c r="U6278" t="str">
        <f>IF(T6278='Analysis backend'!$L$1,IF(ISERROR(MATCH('Analysis backend'!$M$1,E6278:I6278,0)),"Dire","Radiant"),"")</f>
        <v/>
      </c>
    </row>
    <row r="6279" spans="20:21" x14ac:dyDescent="0.3">
      <c r="T6279" t="str">
        <f>IF(ISERROR(MATCH('Analysis backend'!$M$1,E6279:N6279,0)),"",'Analysis backend'!$L$1)</f>
        <v/>
      </c>
      <c r="U6279" t="str">
        <f>IF(T6279='Analysis backend'!$L$1,IF(ISERROR(MATCH('Analysis backend'!$M$1,E6279:I6279,0)),"Dire","Radiant"),"")</f>
        <v/>
      </c>
    </row>
    <row r="6280" spans="20:21" x14ac:dyDescent="0.3">
      <c r="T6280" t="str">
        <f>IF(ISERROR(MATCH('Analysis backend'!$M$1,E6280:N6280,0)),"",'Analysis backend'!$L$1)</f>
        <v/>
      </c>
      <c r="U6280" t="str">
        <f>IF(T6280='Analysis backend'!$L$1,IF(ISERROR(MATCH('Analysis backend'!$M$1,E6280:I6280,0)),"Dire","Radiant"),"")</f>
        <v/>
      </c>
    </row>
    <row r="6281" spans="20:21" x14ac:dyDescent="0.3">
      <c r="T6281" t="str">
        <f>IF(ISERROR(MATCH('Analysis backend'!$M$1,E6281:N6281,0)),"",'Analysis backend'!$L$1)</f>
        <v/>
      </c>
      <c r="U6281" t="str">
        <f>IF(T6281='Analysis backend'!$L$1,IF(ISERROR(MATCH('Analysis backend'!$M$1,E6281:I6281,0)),"Dire","Radiant"),"")</f>
        <v/>
      </c>
    </row>
    <row r="6282" spans="20:21" x14ac:dyDescent="0.3">
      <c r="T6282" t="str">
        <f>IF(ISERROR(MATCH('Analysis backend'!$M$1,E6282:N6282,0)),"",'Analysis backend'!$L$1)</f>
        <v/>
      </c>
      <c r="U6282" t="str">
        <f>IF(T6282='Analysis backend'!$L$1,IF(ISERROR(MATCH('Analysis backend'!$M$1,E6282:I6282,0)),"Dire","Radiant"),"")</f>
        <v/>
      </c>
    </row>
    <row r="6283" spans="20:21" x14ac:dyDescent="0.3">
      <c r="T6283" t="str">
        <f>IF(ISERROR(MATCH('Analysis backend'!$M$1,E6283:N6283,0)),"",'Analysis backend'!$L$1)</f>
        <v/>
      </c>
      <c r="U6283" t="str">
        <f>IF(T6283='Analysis backend'!$L$1,IF(ISERROR(MATCH('Analysis backend'!$M$1,E6283:I6283,0)),"Dire","Radiant"),"")</f>
        <v/>
      </c>
    </row>
    <row r="6284" spans="20:21" x14ac:dyDescent="0.3">
      <c r="T6284" t="str">
        <f>IF(ISERROR(MATCH('Analysis backend'!$M$1,E6284:N6284,0)),"",'Analysis backend'!$L$1)</f>
        <v/>
      </c>
      <c r="U6284" t="str">
        <f>IF(T6284='Analysis backend'!$L$1,IF(ISERROR(MATCH('Analysis backend'!$M$1,E6284:I6284,0)),"Dire","Radiant"),"")</f>
        <v/>
      </c>
    </row>
    <row r="6285" spans="20:21" x14ac:dyDescent="0.3">
      <c r="T6285" t="str">
        <f>IF(ISERROR(MATCH('Analysis backend'!$M$1,E6285:N6285,0)),"",'Analysis backend'!$L$1)</f>
        <v/>
      </c>
      <c r="U6285" t="str">
        <f>IF(T6285='Analysis backend'!$L$1,IF(ISERROR(MATCH('Analysis backend'!$M$1,E6285:I6285,0)),"Dire","Radiant"),"")</f>
        <v/>
      </c>
    </row>
    <row r="6286" spans="20:21" x14ac:dyDescent="0.3">
      <c r="T6286" t="str">
        <f>IF(ISERROR(MATCH('Analysis backend'!$M$1,E6286:N6286,0)),"",'Analysis backend'!$L$1)</f>
        <v/>
      </c>
      <c r="U6286" t="str">
        <f>IF(T6286='Analysis backend'!$L$1,IF(ISERROR(MATCH('Analysis backend'!$M$1,E6286:I6286,0)),"Dire","Radiant"),"")</f>
        <v/>
      </c>
    </row>
    <row r="6287" spans="20:21" x14ac:dyDescent="0.3">
      <c r="T6287" t="str">
        <f>IF(ISERROR(MATCH('Analysis backend'!$M$1,E6287:N6287,0)),"",'Analysis backend'!$L$1)</f>
        <v/>
      </c>
      <c r="U6287" t="str">
        <f>IF(T6287='Analysis backend'!$L$1,IF(ISERROR(MATCH('Analysis backend'!$M$1,E6287:I6287,0)),"Dire","Radiant"),"")</f>
        <v/>
      </c>
    </row>
    <row r="6288" spans="20:21" x14ac:dyDescent="0.3">
      <c r="T6288" t="str">
        <f>IF(ISERROR(MATCH('Analysis backend'!$M$1,E6288:N6288,0)),"",'Analysis backend'!$L$1)</f>
        <v/>
      </c>
      <c r="U6288" t="str">
        <f>IF(T6288='Analysis backend'!$L$1,IF(ISERROR(MATCH('Analysis backend'!$M$1,E6288:I6288,0)),"Dire","Radiant"),"")</f>
        <v/>
      </c>
    </row>
    <row r="6289" spans="20:21" x14ac:dyDescent="0.3">
      <c r="T6289" t="str">
        <f>IF(ISERROR(MATCH('Analysis backend'!$M$1,E6289:N6289,0)),"",'Analysis backend'!$L$1)</f>
        <v/>
      </c>
      <c r="U6289" t="str">
        <f>IF(T6289='Analysis backend'!$L$1,IF(ISERROR(MATCH('Analysis backend'!$M$1,E6289:I6289,0)),"Dire","Radiant"),"")</f>
        <v/>
      </c>
    </row>
    <row r="6290" spans="20:21" x14ac:dyDescent="0.3">
      <c r="T6290" t="str">
        <f>IF(ISERROR(MATCH('Analysis backend'!$M$1,E6290:N6290,0)),"",'Analysis backend'!$L$1)</f>
        <v/>
      </c>
      <c r="U6290" t="str">
        <f>IF(T6290='Analysis backend'!$L$1,IF(ISERROR(MATCH('Analysis backend'!$M$1,E6290:I6290,0)),"Dire","Radiant"),"")</f>
        <v/>
      </c>
    </row>
    <row r="6291" spans="20:21" x14ac:dyDescent="0.3">
      <c r="T6291" t="str">
        <f>IF(ISERROR(MATCH('Analysis backend'!$M$1,E6291:N6291,0)),"",'Analysis backend'!$L$1)</f>
        <v/>
      </c>
      <c r="U6291" t="str">
        <f>IF(T6291='Analysis backend'!$L$1,IF(ISERROR(MATCH('Analysis backend'!$M$1,E6291:I6291,0)),"Dire","Radiant"),"")</f>
        <v/>
      </c>
    </row>
    <row r="6292" spans="20:21" x14ac:dyDescent="0.3">
      <c r="T6292" t="str">
        <f>IF(ISERROR(MATCH('Analysis backend'!$M$1,E6292:N6292,0)),"",'Analysis backend'!$L$1)</f>
        <v/>
      </c>
      <c r="U6292" t="str">
        <f>IF(T6292='Analysis backend'!$L$1,IF(ISERROR(MATCH('Analysis backend'!$M$1,E6292:I6292,0)),"Dire","Radiant"),"")</f>
        <v/>
      </c>
    </row>
    <row r="6293" spans="20:21" x14ac:dyDescent="0.3">
      <c r="T6293" t="str">
        <f>IF(ISERROR(MATCH('Analysis backend'!$M$1,E6293:N6293,0)),"",'Analysis backend'!$L$1)</f>
        <v/>
      </c>
      <c r="U6293" t="str">
        <f>IF(T6293='Analysis backend'!$L$1,IF(ISERROR(MATCH('Analysis backend'!$M$1,E6293:I6293,0)),"Dire","Radiant"),"")</f>
        <v/>
      </c>
    </row>
    <row r="6294" spans="20:21" x14ac:dyDescent="0.3">
      <c r="T6294" t="str">
        <f>IF(ISERROR(MATCH('Analysis backend'!$M$1,E6294:N6294,0)),"",'Analysis backend'!$L$1)</f>
        <v/>
      </c>
      <c r="U6294" t="str">
        <f>IF(T6294='Analysis backend'!$L$1,IF(ISERROR(MATCH('Analysis backend'!$M$1,E6294:I6294,0)),"Dire","Radiant"),"")</f>
        <v/>
      </c>
    </row>
    <row r="6295" spans="20:21" x14ac:dyDescent="0.3">
      <c r="T6295" t="str">
        <f>IF(ISERROR(MATCH('Analysis backend'!$M$1,E6295:N6295,0)),"",'Analysis backend'!$L$1)</f>
        <v/>
      </c>
      <c r="U6295" t="str">
        <f>IF(T6295='Analysis backend'!$L$1,IF(ISERROR(MATCH('Analysis backend'!$M$1,E6295:I6295,0)),"Dire","Radiant"),"")</f>
        <v/>
      </c>
    </row>
    <row r="6296" spans="20:21" x14ac:dyDescent="0.3">
      <c r="T6296" t="str">
        <f>IF(ISERROR(MATCH('Analysis backend'!$M$1,E6296:N6296,0)),"",'Analysis backend'!$L$1)</f>
        <v/>
      </c>
      <c r="U6296" t="str">
        <f>IF(T6296='Analysis backend'!$L$1,IF(ISERROR(MATCH('Analysis backend'!$M$1,E6296:I6296,0)),"Dire","Radiant"),"")</f>
        <v/>
      </c>
    </row>
    <row r="6297" spans="20:21" x14ac:dyDescent="0.3">
      <c r="T6297" t="str">
        <f>IF(ISERROR(MATCH('Analysis backend'!$M$1,E6297:N6297,0)),"",'Analysis backend'!$L$1)</f>
        <v/>
      </c>
      <c r="U6297" t="str">
        <f>IF(T6297='Analysis backend'!$L$1,IF(ISERROR(MATCH('Analysis backend'!$M$1,E6297:I6297,0)),"Dire","Radiant"),"")</f>
        <v/>
      </c>
    </row>
    <row r="6298" spans="20:21" x14ac:dyDescent="0.3">
      <c r="T6298" t="str">
        <f>IF(ISERROR(MATCH('Analysis backend'!$M$1,E6298:N6298,0)),"",'Analysis backend'!$L$1)</f>
        <v/>
      </c>
      <c r="U6298" t="str">
        <f>IF(T6298='Analysis backend'!$L$1,IF(ISERROR(MATCH('Analysis backend'!$M$1,E6298:I6298,0)),"Dire","Radiant"),"")</f>
        <v/>
      </c>
    </row>
    <row r="6299" spans="20:21" x14ac:dyDescent="0.3">
      <c r="T6299" t="str">
        <f>IF(ISERROR(MATCH('Analysis backend'!$M$1,E6299:N6299,0)),"",'Analysis backend'!$L$1)</f>
        <v/>
      </c>
      <c r="U6299" t="str">
        <f>IF(T6299='Analysis backend'!$L$1,IF(ISERROR(MATCH('Analysis backend'!$M$1,E6299:I6299,0)),"Dire","Radiant"),"")</f>
        <v/>
      </c>
    </row>
    <row r="6300" spans="20:21" x14ac:dyDescent="0.3">
      <c r="T6300" t="str">
        <f>IF(ISERROR(MATCH('Analysis backend'!$M$1,E6300:N6300,0)),"",'Analysis backend'!$L$1)</f>
        <v/>
      </c>
      <c r="U6300" t="str">
        <f>IF(T6300='Analysis backend'!$L$1,IF(ISERROR(MATCH('Analysis backend'!$M$1,E6300:I6300,0)),"Dire","Radiant"),"")</f>
        <v/>
      </c>
    </row>
    <row r="6301" spans="20:21" x14ac:dyDescent="0.3">
      <c r="T6301" t="str">
        <f>IF(ISERROR(MATCH('Analysis backend'!$M$1,E6301:N6301,0)),"",'Analysis backend'!$L$1)</f>
        <v/>
      </c>
      <c r="U6301" t="str">
        <f>IF(T6301='Analysis backend'!$L$1,IF(ISERROR(MATCH('Analysis backend'!$M$1,E6301:I6301,0)),"Dire","Radiant"),"")</f>
        <v/>
      </c>
    </row>
    <row r="6302" spans="20:21" x14ac:dyDescent="0.3">
      <c r="T6302" t="str">
        <f>IF(ISERROR(MATCH('Analysis backend'!$M$1,E6302:N6302,0)),"",'Analysis backend'!$L$1)</f>
        <v/>
      </c>
      <c r="U6302" t="str">
        <f>IF(T6302='Analysis backend'!$L$1,IF(ISERROR(MATCH('Analysis backend'!$M$1,E6302:I6302,0)),"Dire","Radiant"),"")</f>
        <v/>
      </c>
    </row>
    <row r="6303" spans="20:21" x14ac:dyDescent="0.3">
      <c r="T6303" t="str">
        <f>IF(ISERROR(MATCH('Analysis backend'!$M$1,E6303:N6303,0)),"",'Analysis backend'!$L$1)</f>
        <v/>
      </c>
      <c r="U6303" t="str">
        <f>IF(T6303='Analysis backend'!$L$1,IF(ISERROR(MATCH('Analysis backend'!$M$1,E6303:I6303,0)),"Dire","Radiant"),"")</f>
        <v/>
      </c>
    </row>
    <row r="6304" spans="20:21" x14ac:dyDescent="0.3">
      <c r="T6304" t="str">
        <f>IF(ISERROR(MATCH('Analysis backend'!$M$1,E6304:N6304,0)),"",'Analysis backend'!$L$1)</f>
        <v/>
      </c>
      <c r="U6304" t="str">
        <f>IF(T6304='Analysis backend'!$L$1,IF(ISERROR(MATCH('Analysis backend'!$M$1,E6304:I6304,0)),"Dire","Radiant"),"")</f>
        <v/>
      </c>
    </row>
    <row r="6305" spans="20:21" x14ac:dyDescent="0.3">
      <c r="T6305" t="str">
        <f>IF(ISERROR(MATCH('Analysis backend'!$M$1,E6305:N6305,0)),"",'Analysis backend'!$L$1)</f>
        <v/>
      </c>
      <c r="U6305" t="str">
        <f>IF(T6305='Analysis backend'!$L$1,IF(ISERROR(MATCH('Analysis backend'!$M$1,E6305:I6305,0)),"Dire","Radiant"),"")</f>
        <v/>
      </c>
    </row>
    <row r="6306" spans="20:21" x14ac:dyDescent="0.3">
      <c r="T6306" t="str">
        <f>IF(ISERROR(MATCH('Analysis backend'!$M$1,E6306:N6306,0)),"",'Analysis backend'!$L$1)</f>
        <v/>
      </c>
      <c r="U6306" t="str">
        <f>IF(T6306='Analysis backend'!$L$1,IF(ISERROR(MATCH('Analysis backend'!$M$1,E6306:I6306,0)),"Dire","Radiant"),"")</f>
        <v/>
      </c>
    </row>
    <row r="6307" spans="20:21" x14ac:dyDescent="0.3">
      <c r="T6307" t="str">
        <f>IF(ISERROR(MATCH('Analysis backend'!$M$1,E6307:N6307,0)),"",'Analysis backend'!$L$1)</f>
        <v/>
      </c>
      <c r="U6307" t="str">
        <f>IF(T6307='Analysis backend'!$L$1,IF(ISERROR(MATCH('Analysis backend'!$M$1,E6307:I6307,0)),"Dire","Radiant"),"")</f>
        <v/>
      </c>
    </row>
    <row r="6308" spans="20:21" x14ac:dyDescent="0.3">
      <c r="T6308" t="str">
        <f>IF(ISERROR(MATCH('Analysis backend'!$M$1,E6308:N6308,0)),"",'Analysis backend'!$L$1)</f>
        <v/>
      </c>
      <c r="U6308" t="str">
        <f>IF(T6308='Analysis backend'!$L$1,IF(ISERROR(MATCH('Analysis backend'!$M$1,E6308:I6308,0)),"Dire","Radiant"),"")</f>
        <v/>
      </c>
    </row>
    <row r="6309" spans="20:21" x14ac:dyDescent="0.3">
      <c r="T6309" t="str">
        <f>IF(ISERROR(MATCH('Analysis backend'!$M$1,E6309:N6309,0)),"",'Analysis backend'!$L$1)</f>
        <v/>
      </c>
      <c r="U6309" t="str">
        <f>IF(T6309='Analysis backend'!$L$1,IF(ISERROR(MATCH('Analysis backend'!$M$1,E6309:I6309,0)),"Dire","Radiant"),"")</f>
        <v/>
      </c>
    </row>
    <row r="6310" spans="20:21" x14ac:dyDescent="0.3">
      <c r="T6310" t="str">
        <f>IF(ISERROR(MATCH('Analysis backend'!$M$1,E6310:N6310,0)),"",'Analysis backend'!$L$1)</f>
        <v/>
      </c>
      <c r="U6310" t="str">
        <f>IF(T6310='Analysis backend'!$L$1,IF(ISERROR(MATCH('Analysis backend'!$M$1,E6310:I6310,0)),"Dire","Radiant"),"")</f>
        <v/>
      </c>
    </row>
    <row r="6311" spans="20:21" x14ac:dyDescent="0.3">
      <c r="T6311" t="str">
        <f>IF(ISERROR(MATCH('Analysis backend'!$M$1,E6311:N6311,0)),"",'Analysis backend'!$L$1)</f>
        <v/>
      </c>
      <c r="U6311" t="str">
        <f>IF(T6311='Analysis backend'!$L$1,IF(ISERROR(MATCH('Analysis backend'!$M$1,E6311:I6311,0)),"Dire","Radiant"),"")</f>
        <v/>
      </c>
    </row>
    <row r="6312" spans="20:21" x14ac:dyDescent="0.3">
      <c r="T6312" t="str">
        <f>IF(ISERROR(MATCH('Analysis backend'!$M$1,E6312:N6312,0)),"",'Analysis backend'!$L$1)</f>
        <v/>
      </c>
      <c r="U6312" t="str">
        <f>IF(T6312='Analysis backend'!$L$1,IF(ISERROR(MATCH('Analysis backend'!$M$1,E6312:I6312,0)),"Dire","Radiant"),"")</f>
        <v/>
      </c>
    </row>
    <row r="6313" spans="20:21" x14ac:dyDescent="0.3">
      <c r="T6313" t="str">
        <f>IF(ISERROR(MATCH('Analysis backend'!$M$1,E6313:N6313,0)),"",'Analysis backend'!$L$1)</f>
        <v/>
      </c>
      <c r="U6313" t="str">
        <f>IF(T6313='Analysis backend'!$L$1,IF(ISERROR(MATCH('Analysis backend'!$M$1,E6313:I6313,0)),"Dire","Radiant"),"")</f>
        <v/>
      </c>
    </row>
    <row r="6314" spans="20:21" x14ac:dyDescent="0.3">
      <c r="T6314" t="str">
        <f>IF(ISERROR(MATCH('Analysis backend'!$M$1,E6314:N6314,0)),"",'Analysis backend'!$L$1)</f>
        <v/>
      </c>
      <c r="U6314" t="str">
        <f>IF(T6314='Analysis backend'!$L$1,IF(ISERROR(MATCH('Analysis backend'!$M$1,E6314:I6314,0)),"Dire","Radiant"),"")</f>
        <v/>
      </c>
    </row>
    <row r="6315" spans="20:21" x14ac:dyDescent="0.3">
      <c r="T6315" t="str">
        <f>IF(ISERROR(MATCH('Analysis backend'!$M$1,E6315:N6315,0)),"",'Analysis backend'!$L$1)</f>
        <v/>
      </c>
      <c r="U6315" t="str">
        <f>IF(T6315='Analysis backend'!$L$1,IF(ISERROR(MATCH('Analysis backend'!$M$1,E6315:I6315,0)),"Dire","Radiant"),"")</f>
        <v/>
      </c>
    </row>
    <row r="6316" spans="20:21" x14ac:dyDescent="0.3">
      <c r="T6316" t="str">
        <f>IF(ISERROR(MATCH('Analysis backend'!$M$1,E6316:N6316,0)),"",'Analysis backend'!$L$1)</f>
        <v/>
      </c>
      <c r="U6316" t="str">
        <f>IF(T6316='Analysis backend'!$L$1,IF(ISERROR(MATCH('Analysis backend'!$M$1,E6316:I6316,0)),"Dire","Radiant"),"")</f>
        <v/>
      </c>
    </row>
    <row r="6317" spans="20:21" x14ac:dyDescent="0.3">
      <c r="T6317" t="str">
        <f>IF(ISERROR(MATCH('Analysis backend'!$M$1,E6317:N6317,0)),"",'Analysis backend'!$L$1)</f>
        <v/>
      </c>
      <c r="U6317" t="str">
        <f>IF(T6317='Analysis backend'!$L$1,IF(ISERROR(MATCH('Analysis backend'!$M$1,E6317:I6317,0)),"Dire","Radiant"),"")</f>
        <v/>
      </c>
    </row>
    <row r="6318" spans="20:21" x14ac:dyDescent="0.3">
      <c r="T6318" t="str">
        <f>IF(ISERROR(MATCH('Analysis backend'!$M$1,E6318:N6318,0)),"",'Analysis backend'!$L$1)</f>
        <v/>
      </c>
      <c r="U6318" t="str">
        <f>IF(T6318='Analysis backend'!$L$1,IF(ISERROR(MATCH('Analysis backend'!$M$1,E6318:I6318,0)),"Dire","Radiant"),"")</f>
        <v/>
      </c>
    </row>
    <row r="6319" spans="20:21" x14ac:dyDescent="0.3">
      <c r="T6319" t="str">
        <f>IF(ISERROR(MATCH('Analysis backend'!$M$1,E6319:N6319,0)),"",'Analysis backend'!$L$1)</f>
        <v/>
      </c>
      <c r="U6319" t="str">
        <f>IF(T6319='Analysis backend'!$L$1,IF(ISERROR(MATCH('Analysis backend'!$M$1,E6319:I6319,0)),"Dire","Radiant"),"")</f>
        <v/>
      </c>
    </row>
    <row r="6320" spans="20:21" x14ac:dyDescent="0.3">
      <c r="T6320" t="str">
        <f>IF(ISERROR(MATCH('Analysis backend'!$M$1,E6320:N6320,0)),"",'Analysis backend'!$L$1)</f>
        <v/>
      </c>
      <c r="U6320" t="str">
        <f>IF(T6320='Analysis backend'!$L$1,IF(ISERROR(MATCH('Analysis backend'!$M$1,E6320:I6320,0)),"Dire","Radiant"),"")</f>
        <v/>
      </c>
    </row>
    <row r="6321" spans="20:21" x14ac:dyDescent="0.3">
      <c r="T6321" t="str">
        <f>IF(ISERROR(MATCH('Analysis backend'!$M$1,E6321:N6321,0)),"",'Analysis backend'!$L$1)</f>
        <v/>
      </c>
      <c r="U6321" t="str">
        <f>IF(T6321='Analysis backend'!$L$1,IF(ISERROR(MATCH('Analysis backend'!$M$1,E6321:I6321,0)),"Dire","Radiant"),"")</f>
        <v/>
      </c>
    </row>
    <row r="6322" spans="20:21" x14ac:dyDescent="0.3">
      <c r="T6322" t="str">
        <f>IF(ISERROR(MATCH('Analysis backend'!$M$1,E6322:N6322,0)),"",'Analysis backend'!$L$1)</f>
        <v/>
      </c>
      <c r="U6322" t="str">
        <f>IF(T6322='Analysis backend'!$L$1,IF(ISERROR(MATCH('Analysis backend'!$M$1,E6322:I6322,0)),"Dire","Radiant"),"")</f>
        <v/>
      </c>
    </row>
    <row r="6323" spans="20:21" x14ac:dyDescent="0.3">
      <c r="T6323" t="str">
        <f>IF(ISERROR(MATCH('Analysis backend'!$M$1,E6323:N6323,0)),"",'Analysis backend'!$L$1)</f>
        <v/>
      </c>
      <c r="U6323" t="str">
        <f>IF(T6323='Analysis backend'!$L$1,IF(ISERROR(MATCH('Analysis backend'!$M$1,E6323:I6323,0)),"Dire","Radiant"),"")</f>
        <v/>
      </c>
    </row>
    <row r="6324" spans="20:21" x14ac:dyDescent="0.3">
      <c r="T6324" t="str">
        <f>IF(ISERROR(MATCH('Analysis backend'!$M$1,E6324:N6324,0)),"",'Analysis backend'!$L$1)</f>
        <v/>
      </c>
      <c r="U6324" t="str">
        <f>IF(T6324='Analysis backend'!$L$1,IF(ISERROR(MATCH('Analysis backend'!$M$1,E6324:I6324,0)),"Dire","Radiant"),"")</f>
        <v/>
      </c>
    </row>
    <row r="6325" spans="20:21" x14ac:dyDescent="0.3">
      <c r="T6325" t="str">
        <f>IF(ISERROR(MATCH('Analysis backend'!$M$1,E6325:N6325,0)),"",'Analysis backend'!$L$1)</f>
        <v/>
      </c>
      <c r="U6325" t="str">
        <f>IF(T6325='Analysis backend'!$L$1,IF(ISERROR(MATCH('Analysis backend'!$M$1,E6325:I6325,0)),"Dire","Radiant"),"")</f>
        <v/>
      </c>
    </row>
    <row r="6326" spans="20:21" x14ac:dyDescent="0.3">
      <c r="T6326" t="str">
        <f>IF(ISERROR(MATCH('Analysis backend'!$M$1,E6326:N6326,0)),"",'Analysis backend'!$L$1)</f>
        <v/>
      </c>
      <c r="U6326" t="str">
        <f>IF(T6326='Analysis backend'!$L$1,IF(ISERROR(MATCH('Analysis backend'!$M$1,E6326:I6326,0)),"Dire","Radiant"),"")</f>
        <v/>
      </c>
    </row>
    <row r="6327" spans="20:21" x14ac:dyDescent="0.3">
      <c r="T6327" t="str">
        <f>IF(ISERROR(MATCH('Analysis backend'!$M$1,E6327:N6327,0)),"",'Analysis backend'!$L$1)</f>
        <v/>
      </c>
      <c r="U6327" t="str">
        <f>IF(T6327='Analysis backend'!$L$1,IF(ISERROR(MATCH('Analysis backend'!$M$1,E6327:I6327,0)),"Dire","Radiant"),"")</f>
        <v/>
      </c>
    </row>
    <row r="6328" spans="20:21" x14ac:dyDescent="0.3">
      <c r="T6328" t="str">
        <f>IF(ISERROR(MATCH('Analysis backend'!$M$1,E6328:N6328,0)),"",'Analysis backend'!$L$1)</f>
        <v/>
      </c>
      <c r="U6328" t="str">
        <f>IF(T6328='Analysis backend'!$L$1,IF(ISERROR(MATCH('Analysis backend'!$M$1,E6328:I6328,0)),"Dire","Radiant"),"")</f>
        <v/>
      </c>
    </row>
    <row r="6329" spans="20:21" x14ac:dyDescent="0.3">
      <c r="T6329" t="str">
        <f>IF(ISERROR(MATCH('Analysis backend'!$M$1,E6329:N6329,0)),"",'Analysis backend'!$L$1)</f>
        <v/>
      </c>
      <c r="U6329" t="str">
        <f>IF(T6329='Analysis backend'!$L$1,IF(ISERROR(MATCH('Analysis backend'!$M$1,E6329:I6329,0)),"Dire","Radiant"),"")</f>
        <v/>
      </c>
    </row>
    <row r="6330" spans="20:21" x14ac:dyDescent="0.3">
      <c r="T6330" t="str">
        <f>IF(ISERROR(MATCH('Analysis backend'!$M$1,E6330:N6330,0)),"",'Analysis backend'!$L$1)</f>
        <v/>
      </c>
      <c r="U6330" t="str">
        <f>IF(T6330='Analysis backend'!$L$1,IF(ISERROR(MATCH('Analysis backend'!$M$1,E6330:I6330,0)),"Dire","Radiant"),"")</f>
        <v/>
      </c>
    </row>
    <row r="6331" spans="20:21" x14ac:dyDescent="0.3">
      <c r="T6331" t="str">
        <f>IF(ISERROR(MATCH('Analysis backend'!$M$1,E6331:N6331,0)),"",'Analysis backend'!$L$1)</f>
        <v/>
      </c>
      <c r="U6331" t="str">
        <f>IF(T6331='Analysis backend'!$L$1,IF(ISERROR(MATCH('Analysis backend'!$M$1,E6331:I6331,0)),"Dire","Radiant"),"")</f>
        <v/>
      </c>
    </row>
    <row r="6332" spans="20:21" x14ac:dyDescent="0.3">
      <c r="T6332" t="str">
        <f>IF(ISERROR(MATCH('Analysis backend'!$M$1,E6332:N6332,0)),"",'Analysis backend'!$L$1)</f>
        <v/>
      </c>
      <c r="U6332" t="str">
        <f>IF(T6332='Analysis backend'!$L$1,IF(ISERROR(MATCH('Analysis backend'!$M$1,E6332:I6332,0)),"Dire","Radiant"),"")</f>
        <v/>
      </c>
    </row>
    <row r="6333" spans="20:21" x14ac:dyDescent="0.3">
      <c r="T6333" t="str">
        <f>IF(ISERROR(MATCH('Analysis backend'!$M$1,E6333:N6333,0)),"",'Analysis backend'!$L$1)</f>
        <v/>
      </c>
      <c r="U6333" t="str">
        <f>IF(T6333='Analysis backend'!$L$1,IF(ISERROR(MATCH('Analysis backend'!$M$1,E6333:I6333,0)),"Dire","Radiant"),"")</f>
        <v/>
      </c>
    </row>
    <row r="6334" spans="20:21" x14ac:dyDescent="0.3">
      <c r="T6334" t="str">
        <f>IF(ISERROR(MATCH('Analysis backend'!$M$1,E6334:N6334,0)),"",'Analysis backend'!$L$1)</f>
        <v/>
      </c>
      <c r="U6334" t="str">
        <f>IF(T6334='Analysis backend'!$L$1,IF(ISERROR(MATCH('Analysis backend'!$M$1,E6334:I6334,0)),"Dire","Radiant"),"")</f>
        <v/>
      </c>
    </row>
    <row r="6335" spans="20:21" x14ac:dyDescent="0.3">
      <c r="T6335" t="str">
        <f>IF(ISERROR(MATCH('Analysis backend'!$M$1,E6335:N6335,0)),"",'Analysis backend'!$L$1)</f>
        <v/>
      </c>
      <c r="U6335" t="str">
        <f>IF(T6335='Analysis backend'!$L$1,IF(ISERROR(MATCH('Analysis backend'!$M$1,E6335:I6335,0)),"Dire","Radiant"),"")</f>
        <v/>
      </c>
    </row>
    <row r="6336" spans="20:21" x14ac:dyDescent="0.3">
      <c r="T6336" t="str">
        <f>IF(ISERROR(MATCH('Analysis backend'!$M$1,E6336:N6336,0)),"",'Analysis backend'!$L$1)</f>
        <v/>
      </c>
      <c r="U6336" t="str">
        <f>IF(T6336='Analysis backend'!$L$1,IF(ISERROR(MATCH('Analysis backend'!$M$1,E6336:I6336,0)),"Dire","Radiant"),"")</f>
        <v/>
      </c>
    </row>
    <row r="6337" spans="20:21" x14ac:dyDescent="0.3">
      <c r="T6337" t="str">
        <f>IF(ISERROR(MATCH('Analysis backend'!$M$1,E6337:N6337,0)),"",'Analysis backend'!$L$1)</f>
        <v/>
      </c>
      <c r="U6337" t="str">
        <f>IF(T6337='Analysis backend'!$L$1,IF(ISERROR(MATCH('Analysis backend'!$M$1,E6337:I6337,0)),"Dire","Radiant"),"")</f>
        <v/>
      </c>
    </row>
    <row r="6338" spans="20:21" x14ac:dyDescent="0.3">
      <c r="T6338" t="str">
        <f>IF(ISERROR(MATCH('Analysis backend'!$M$1,E6338:N6338,0)),"",'Analysis backend'!$L$1)</f>
        <v/>
      </c>
      <c r="U6338" t="str">
        <f>IF(T6338='Analysis backend'!$L$1,IF(ISERROR(MATCH('Analysis backend'!$M$1,E6338:I6338,0)),"Dire","Radiant"),"")</f>
        <v/>
      </c>
    </row>
    <row r="6339" spans="20:21" x14ac:dyDescent="0.3">
      <c r="T6339" t="str">
        <f>IF(ISERROR(MATCH('Analysis backend'!$M$1,E6339:N6339,0)),"",'Analysis backend'!$L$1)</f>
        <v/>
      </c>
      <c r="U6339" t="str">
        <f>IF(T6339='Analysis backend'!$L$1,IF(ISERROR(MATCH('Analysis backend'!$M$1,E6339:I6339,0)),"Dire","Radiant"),"")</f>
        <v/>
      </c>
    </row>
    <row r="6340" spans="20:21" x14ac:dyDescent="0.3">
      <c r="T6340" t="str">
        <f>IF(ISERROR(MATCH('Analysis backend'!$M$1,E6340:N6340,0)),"",'Analysis backend'!$L$1)</f>
        <v/>
      </c>
      <c r="U6340" t="str">
        <f>IF(T6340='Analysis backend'!$L$1,IF(ISERROR(MATCH('Analysis backend'!$M$1,E6340:I6340,0)),"Dire","Radiant"),"")</f>
        <v/>
      </c>
    </row>
    <row r="6341" spans="20:21" x14ac:dyDescent="0.3">
      <c r="T6341" t="str">
        <f>IF(ISERROR(MATCH('Analysis backend'!$M$1,E6341:N6341,0)),"",'Analysis backend'!$L$1)</f>
        <v/>
      </c>
      <c r="U6341" t="str">
        <f>IF(T6341='Analysis backend'!$L$1,IF(ISERROR(MATCH('Analysis backend'!$M$1,E6341:I6341,0)),"Dire","Radiant"),"")</f>
        <v/>
      </c>
    </row>
    <row r="6342" spans="20:21" x14ac:dyDescent="0.3">
      <c r="T6342" t="str">
        <f>IF(ISERROR(MATCH('Analysis backend'!$M$1,E6342:N6342,0)),"",'Analysis backend'!$L$1)</f>
        <v/>
      </c>
      <c r="U6342" t="str">
        <f>IF(T6342='Analysis backend'!$L$1,IF(ISERROR(MATCH('Analysis backend'!$M$1,E6342:I6342,0)),"Dire","Radiant"),"")</f>
        <v/>
      </c>
    </row>
    <row r="6343" spans="20:21" x14ac:dyDescent="0.3">
      <c r="T6343" t="str">
        <f>IF(ISERROR(MATCH('Analysis backend'!$M$1,E6343:N6343,0)),"",'Analysis backend'!$L$1)</f>
        <v/>
      </c>
      <c r="U6343" t="str">
        <f>IF(T6343='Analysis backend'!$L$1,IF(ISERROR(MATCH('Analysis backend'!$M$1,E6343:I6343,0)),"Dire","Radiant"),"")</f>
        <v/>
      </c>
    </row>
    <row r="6344" spans="20:21" x14ac:dyDescent="0.3">
      <c r="T6344" t="str">
        <f>IF(ISERROR(MATCH('Analysis backend'!$M$1,E6344:N6344,0)),"",'Analysis backend'!$L$1)</f>
        <v/>
      </c>
      <c r="U6344" t="str">
        <f>IF(T6344='Analysis backend'!$L$1,IF(ISERROR(MATCH('Analysis backend'!$M$1,E6344:I6344,0)),"Dire","Radiant"),"")</f>
        <v/>
      </c>
    </row>
    <row r="6345" spans="20:21" x14ac:dyDescent="0.3">
      <c r="T6345" t="str">
        <f>IF(ISERROR(MATCH('Analysis backend'!$M$1,E6345:N6345,0)),"",'Analysis backend'!$L$1)</f>
        <v/>
      </c>
      <c r="U6345" t="str">
        <f>IF(T6345='Analysis backend'!$L$1,IF(ISERROR(MATCH('Analysis backend'!$M$1,E6345:I6345,0)),"Dire","Radiant"),"")</f>
        <v/>
      </c>
    </row>
    <row r="6346" spans="20:21" x14ac:dyDescent="0.3">
      <c r="T6346" t="str">
        <f>IF(ISERROR(MATCH('Analysis backend'!$M$1,E6346:N6346,0)),"",'Analysis backend'!$L$1)</f>
        <v/>
      </c>
      <c r="U6346" t="str">
        <f>IF(T6346='Analysis backend'!$L$1,IF(ISERROR(MATCH('Analysis backend'!$M$1,E6346:I6346,0)),"Dire","Radiant"),"")</f>
        <v/>
      </c>
    </row>
    <row r="6347" spans="20:21" x14ac:dyDescent="0.3">
      <c r="T6347" t="str">
        <f>IF(ISERROR(MATCH('Analysis backend'!$M$1,E6347:N6347,0)),"",'Analysis backend'!$L$1)</f>
        <v/>
      </c>
      <c r="U6347" t="str">
        <f>IF(T6347='Analysis backend'!$L$1,IF(ISERROR(MATCH('Analysis backend'!$M$1,E6347:I6347,0)),"Dire","Radiant"),"")</f>
        <v/>
      </c>
    </row>
    <row r="6348" spans="20:21" x14ac:dyDescent="0.3">
      <c r="T6348" t="str">
        <f>IF(ISERROR(MATCH('Analysis backend'!$M$1,E6348:N6348,0)),"",'Analysis backend'!$L$1)</f>
        <v/>
      </c>
      <c r="U6348" t="str">
        <f>IF(T6348='Analysis backend'!$L$1,IF(ISERROR(MATCH('Analysis backend'!$M$1,E6348:I6348,0)),"Dire","Radiant"),"")</f>
        <v/>
      </c>
    </row>
    <row r="6349" spans="20:21" x14ac:dyDescent="0.3">
      <c r="T6349" t="str">
        <f>IF(ISERROR(MATCH('Analysis backend'!$M$1,E6349:N6349,0)),"",'Analysis backend'!$L$1)</f>
        <v/>
      </c>
      <c r="U6349" t="str">
        <f>IF(T6349='Analysis backend'!$L$1,IF(ISERROR(MATCH('Analysis backend'!$M$1,E6349:I6349,0)),"Dire","Radiant"),"")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31"/>
  <sheetViews>
    <sheetView tabSelected="1" workbookViewId="0">
      <selection activeCell="F9" sqref="F9"/>
    </sheetView>
  </sheetViews>
  <sheetFormatPr defaultRowHeight="14.4" x14ac:dyDescent="0.3"/>
  <cols>
    <col min="1" max="1" width="20.109375" customWidth="1"/>
    <col min="3" max="3" width="10.6640625" customWidth="1"/>
  </cols>
  <sheetData>
    <row r="1" spans="1:5" x14ac:dyDescent="0.3">
      <c r="A1" t="s">
        <v>515</v>
      </c>
      <c r="B1" s="19" t="s">
        <v>441</v>
      </c>
      <c r="C1" s="19"/>
    </row>
    <row r="2" spans="1:5" x14ac:dyDescent="0.3">
      <c r="A2" t="s">
        <v>386</v>
      </c>
      <c r="B2" s="19">
        <f ca="1">'Analysis backend'!O3</f>
        <v>137</v>
      </c>
      <c r="C2" s="19"/>
    </row>
    <row r="4" spans="1:5" ht="26.4" x14ac:dyDescent="0.3">
      <c r="A4" s="17" t="str">
        <f ca="1">"Stats for "&amp;TEXT(B2,"0")&amp;" "&amp;B1&amp;" games played on "&amp;TEXT(TODAY(),"mm/dd/yyyy")</f>
        <v>Stats for 137 Phantom Assassin games played on 12/05/2018</v>
      </c>
      <c r="B4" s="16"/>
      <c r="C4" s="16"/>
      <c r="D4" s="16"/>
      <c r="E4" s="16"/>
    </row>
    <row r="5" spans="1:5" ht="26.4" x14ac:dyDescent="0.3">
      <c r="A5" s="12" t="s">
        <v>20</v>
      </c>
      <c r="B5" s="13" t="s">
        <v>397</v>
      </c>
      <c r="C5" s="13" t="s">
        <v>396</v>
      </c>
      <c r="D5" s="13" t="s">
        <v>398</v>
      </c>
      <c r="E5" s="13" t="s">
        <v>395</v>
      </c>
    </row>
    <row r="6" spans="1:5" x14ac:dyDescent="0.3">
      <c r="A6" s="15" t="str">
        <f>'Analysis backend'!M102</f>
        <v>Magnus</v>
      </c>
      <c r="B6" s="18">
        <f ca="1">'Analysis backend'!Q102</f>
        <v>45</v>
      </c>
      <c r="C6" s="14">
        <f ca="1">'Analysis backend'!S102</f>
        <v>0.42222222222222222</v>
      </c>
      <c r="D6" s="18">
        <f ca="1">'Analysis backend'!N102</f>
        <v>40</v>
      </c>
      <c r="E6" s="14">
        <f ca="1">'Analysis backend'!P102</f>
        <v>0.65</v>
      </c>
    </row>
    <row r="7" spans="1:5" x14ac:dyDescent="0.3">
      <c r="A7" s="15" t="str">
        <f>'Analysis backend'!M91</f>
        <v>Rubick</v>
      </c>
      <c r="B7" s="18">
        <f ca="1">'Analysis backend'!Q91</f>
        <v>31</v>
      </c>
      <c r="C7" s="14">
        <f ca="1">'Analysis backend'!S91</f>
        <v>0.67741935483870963</v>
      </c>
      <c r="D7" s="18">
        <f ca="1">'Analysis backend'!N91</f>
        <v>37</v>
      </c>
      <c r="E7" s="14">
        <f ca="1">'Analysis backend'!P91</f>
        <v>0.51351351351351349</v>
      </c>
    </row>
    <row r="8" spans="1:5" x14ac:dyDescent="0.3">
      <c r="A8" s="15" t="str">
        <f>'Analysis backend'!M126</f>
        <v>Grimstroke</v>
      </c>
      <c r="B8" s="18">
        <f ca="1">'Analysis backend'!Q126</f>
        <v>31</v>
      </c>
      <c r="C8" s="14">
        <f ca="1">'Analysis backend'!S126</f>
        <v>0.45161290322580644</v>
      </c>
      <c r="D8" s="18">
        <f ca="1">'Analysis backend'!N126</f>
        <v>24</v>
      </c>
      <c r="E8" s="14">
        <f ca="1">'Analysis backend'!P126</f>
        <v>0.66666666666666663</v>
      </c>
    </row>
    <row r="9" spans="1:5" x14ac:dyDescent="0.3">
      <c r="A9" s="15" t="str">
        <f>'Analysis backend'!M98</f>
        <v>Slark</v>
      </c>
      <c r="B9" s="18">
        <f ca="1">'Analysis backend'!Q98</f>
        <v>31</v>
      </c>
      <c r="C9" s="14">
        <f ca="1">'Analysis backend'!S98</f>
        <v>0.45161290322580644</v>
      </c>
      <c r="D9" s="18">
        <f ca="1">'Analysis backend'!N98</f>
        <v>2</v>
      </c>
      <c r="E9" s="14">
        <f ca="1">'Analysis backend'!P98</f>
        <v>0.5</v>
      </c>
    </row>
    <row r="10" spans="1:5" x14ac:dyDescent="0.3">
      <c r="A10" s="15" t="str">
        <f>'Analysis backend'!M55</f>
        <v>Dazzle</v>
      </c>
      <c r="B10" s="18">
        <f ca="1">'Analysis backend'!Q55</f>
        <v>26</v>
      </c>
      <c r="C10" s="14">
        <f ca="1">'Analysis backend'!S55</f>
        <v>0.61538461538461542</v>
      </c>
      <c r="D10" s="18">
        <f ca="1">'Analysis backend'!N55</f>
        <v>32</v>
      </c>
      <c r="E10" s="14">
        <f ca="1">'Analysis backend'!P55</f>
        <v>0.59375</v>
      </c>
    </row>
    <row r="11" spans="1:5" x14ac:dyDescent="0.3">
      <c r="A11" s="15" t="str">
        <f>'Analysis backend'!M50</f>
        <v>Pugna</v>
      </c>
      <c r="B11" s="18">
        <f ca="1">'Analysis backend'!Q50</f>
        <v>22</v>
      </c>
      <c r="C11" s="14">
        <f ca="1">'Analysis backend'!S50</f>
        <v>0.5</v>
      </c>
      <c r="D11" s="18">
        <f ca="1">'Analysis backend'!N50</f>
        <v>11</v>
      </c>
      <c r="E11" s="14">
        <f ca="1">'Analysis backend'!P50</f>
        <v>0.81818181818181823</v>
      </c>
    </row>
    <row r="12" spans="1:5" x14ac:dyDescent="0.3">
      <c r="A12" s="15" t="str">
        <f>'Analysis backend'!M6</f>
        <v>Anti-Mage</v>
      </c>
      <c r="B12" s="18">
        <f ca="1">'Analysis backend'!Q6</f>
        <v>20</v>
      </c>
      <c r="C12" s="14">
        <f ca="1">'Analysis backend'!S6</f>
        <v>0.55000000000000004</v>
      </c>
      <c r="D12" s="18">
        <f ca="1">'Analysis backend'!N6</f>
        <v>3</v>
      </c>
      <c r="E12" s="14">
        <f ca="1">'Analysis backend'!P6</f>
        <v>0.33333333333333331</v>
      </c>
    </row>
    <row r="13" spans="1:5" x14ac:dyDescent="0.3">
      <c r="A13" s="15" t="str">
        <f>'Analysis backend'!M36</f>
        <v>Lich</v>
      </c>
      <c r="B13" s="18">
        <f ca="1">'Analysis backend'!Q36</f>
        <v>20</v>
      </c>
      <c r="C13" s="14">
        <f ca="1">'Analysis backend'!S36</f>
        <v>0.7</v>
      </c>
      <c r="D13" s="18">
        <f ca="1">'Analysis backend'!N36</f>
        <v>12</v>
      </c>
      <c r="E13" s="14">
        <f ca="1">'Analysis backend'!P36</f>
        <v>0.66666666666666663</v>
      </c>
    </row>
    <row r="14" spans="1:5" x14ac:dyDescent="0.3">
      <c r="A14" s="15" t="str">
        <f>'Analysis backend'!M119</f>
        <v>Monkey King</v>
      </c>
      <c r="B14" s="18">
        <f ca="1">'Analysis backend'!Q119</f>
        <v>19</v>
      </c>
      <c r="C14" s="14">
        <f ca="1">'Analysis backend'!S119</f>
        <v>0.42105263157894735</v>
      </c>
      <c r="D14" s="18">
        <f ca="1">'Analysis backend'!N119</f>
        <v>11</v>
      </c>
      <c r="E14" s="14">
        <f ca="1">'Analysis backend'!P119</f>
        <v>0.27272727272727271</v>
      </c>
    </row>
    <row r="15" spans="1:5" x14ac:dyDescent="0.3">
      <c r="A15" s="15" t="str">
        <f>'Analysis backend'!M46</f>
        <v>Faceless Void</v>
      </c>
      <c r="B15" s="18">
        <f ca="1">'Analysis backend'!Q46</f>
        <v>17</v>
      </c>
      <c r="C15" s="14">
        <f ca="1">'Analysis backend'!S46</f>
        <v>0.6470588235294118</v>
      </c>
      <c r="D15" s="18">
        <f ca="1">'Analysis backend'!N46</f>
        <v>3</v>
      </c>
      <c r="E15" s="14">
        <f ca="1">'Analysis backend'!P46</f>
        <v>0.33333333333333331</v>
      </c>
    </row>
    <row r="16" spans="1:5" x14ac:dyDescent="0.3">
      <c r="A16" s="15" t="str">
        <f>'Analysis backend'!M31</f>
        <v>Lion</v>
      </c>
      <c r="B16" s="18">
        <f ca="1">'Analysis backend'!Q31</f>
        <v>16</v>
      </c>
      <c r="C16" s="14">
        <f ca="1">'Analysis backend'!S31</f>
        <v>0.5625</v>
      </c>
      <c r="D16" s="18">
        <f ca="1">'Analysis backend'!N31</f>
        <v>7</v>
      </c>
      <c r="E16" s="14">
        <f ca="1">'Analysis backend'!P31</f>
        <v>0.8571428571428571</v>
      </c>
    </row>
    <row r="17" spans="1:5" x14ac:dyDescent="0.3">
      <c r="A17" s="15" t="str">
        <f>'Analysis backend'!M116</f>
        <v>Oracle</v>
      </c>
      <c r="B17" s="18">
        <f ca="1">'Analysis backend'!Q116</f>
        <v>15</v>
      </c>
      <c r="C17" s="14">
        <f ca="1">'Analysis backend'!S116</f>
        <v>0.46666666666666667</v>
      </c>
      <c r="D17" s="18">
        <f ca="1">'Analysis backend'!N116</f>
        <v>15</v>
      </c>
      <c r="E17" s="14">
        <f ca="1">'Analysis backend'!P116</f>
        <v>0.53333333333333333</v>
      </c>
    </row>
    <row r="18" spans="1:5" x14ac:dyDescent="0.3">
      <c r="A18" s="15" t="str">
        <f>'Analysis backend'!M13</f>
        <v>Juggernaut</v>
      </c>
      <c r="B18" s="18">
        <f ca="1">'Analysis backend'!Q13</f>
        <v>15</v>
      </c>
      <c r="C18" s="14">
        <f ca="1">'Analysis backend'!S13</f>
        <v>0.6</v>
      </c>
      <c r="D18" s="18">
        <f ca="1">'Analysis backend'!N13</f>
        <v>0</v>
      </c>
      <c r="E18" s="14">
        <f ca="1">'Analysis backend'!P13</f>
        <v>0</v>
      </c>
    </row>
    <row r="19" spans="1:5" x14ac:dyDescent="0.3">
      <c r="A19" s="15" t="str">
        <f>'Analysis backend'!M106</f>
        <v>Skywrath Mage</v>
      </c>
      <c r="B19" s="18">
        <f ca="1">'Analysis backend'!Q106</f>
        <v>15</v>
      </c>
      <c r="C19" s="14">
        <f ca="1">'Analysis backend'!S106</f>
        <v>0.6</v>
      </c>
      <c r="D19" s="18">
        <f ca="1">'Analysis backend'!N106</f>
        <v>11</v>
      </c>
      <c r="E19" s="14">
        <f ca="1">'Analysis backend'!P106</f>
        <v>0.45454545454545453</v>
      </c>
    </row>
    <row r="20" spans="1:5" x14ac:dyDescent="0.3">
      <c r="A20" s="15" t="str">
        <f>'Analysis backend'!M21</f>
        <v>Sand King</v>
      </c>
      <c r="B20" s="18">
        <f ca="1">'Analysis backend'!Q21</f>
        <v>15</v>
      </c>
      <c r="C20" s="14">
        <f ca="1">'Analysis backend'!S21</f>
        <v>0.26666666666666666</v>
      </c>
      <c r="D20" s="18">
        <f ca="1">'Analysis backend'!N21</f>
        <v>14</v>
      </c>
      <c r="E20" s="14">
        <f ca="1">'Analysis backend'!P21</f>
        <v>0.7142857142857143</v>
      </c>
    </row>
    <row r="21" spans="1:5" x14ac:dyDescent="0.3">
      <c r="A21" s="15" t="str">
        <f>'Analysis backend'!M81</f>
        <v>Outworld Devourer</v>
      </c>
      <c r="B21" s="18">
        <f ca="1">'Analysis backend'!Q81</f>
        <v>12</v>
      </c>
      <c r="C21" s="14">
        <f ca="1">'Analysis backend'!S81</f>
        <v>0.58333333333333337</v>
      </c>
      <c r="D21" s="18">
        <f ca="1">'Analysis backend'!N81</f>
        <v>23</v>
      </c>
      <c r="E21" s="14">
        <f ca="1">'Analysis backend'!P81</f>
        <v>0.69565217391304346</v>
      </c>
    </row>
    <row r="22" spans="1:5" x14ac:dyDescent="0.3">
      <c r="A22" s="15" t="str">
        <f>'Analysis backend'!M83</f>
        <v>Brewmaster</v>
      </c>
      <c r="B22" s="18">
        <f ca="1">'Analysis backend'!Q83</f>
        <v>12</v>
      </c>
      <c r="C22" s="14">
        <f ca="1">'Analysis backend'!S83</f>
        <v>0.75</v>
      </c>
      <c r="D22" s="18">
        <f ca="1">'Analysis backend'!N83</f>
        <v>10</v>
      </c>
      <c r="E22" s="14">
        <f ca="1">'Analysis backend'!P83</f>
        <v>0.6</v>
      </c>
    </row>
    <row r="23" spans="1:5" x14ac:dyDescent="0.3">
      <c r="A23" s="15" t="str">
        <f>'Analysis backend'!M90</f>
        <v>Undying</v>
      </c>
      <c r="B23" s="18">
        <f ca="1">'Analysis backend'!Q90</f>
        <v>12</v>
      </c>
      <c r="C23" s="14">
        <f ca="1">'Analysis backend'!S90</f>
        <v>0.5</v>
      </c>
      <c r="D23" s="18">
        <f ca="1">'Analysis backend'!N90</f>
        <v>6</v>
      </c>
      <c r="E23" s="14">
        <f ca="1">'Analysis backend'!P90</f>
        <v>0.66666666666666663</v>
      </c>
    </row>
    <row r="24" spans="1:5" x14ac:dyDescent="0.3">
      <c r="A24" s="15" t="str">
        <f>'Analysis backend'!M96</f>
        <v>Io</v>
      </c>
      <c r="B24" s="18">
        <f ca="1">'Analysis backend'!Q96</f>
        <v>11</v>
      </c>
      <c r="C24" s="14">
        <f ca="1">'Analysis backend'!S96</f>
        <v>0.81818181818181823</v>
      </c>
      <c r="D24" s="18">
        <f ca="1">'Analysis backend'!N96</f>
        <v>2</v>
      </c>
      <c r="E24" s="14">
        <f ca="1">'Analysis backend'!P96</f>
        <v>1</v>
      </c>
    </row>
    <row r="25" spans="1:5" x14ac:dyDescent="0.3">
      <c r="A25" s="15" t="str">
        <f>'Analysis backend'!M105</f>
        <v>Tusk</v>
      </c>
      <c r="B25" s="18">
        <f ca="1">'Analysis backend'!Q105</f>
        <v>10</v>
      </c>
      <c r="C25" s="14">
        <f ca="1">'Analysis backend'!S105</f>
        <v>0.8</v>
      </c>
      <c r="D25" s="18">
        <f ca="1">'Analysis backend'!N105</f>
        <v>15</v>
      </c>
      <c r="E25" s="14">
        <f ca="1">'Analysis backend'!P105</f>
        <v>0.66666666666666663</v>
      </c>
    </row>
    <row r="26" spans="1:5" x14ac:dyDescent="0.3">
      <c r="A26" s="15" t="str">
        <f>'Analysis backend'!M11</f>
        <v>Drow Ranger</v>
      </c>
      <c r="B26" s="18">
        <f ca="1">'Analysis backend'!Q11</f>
        <v>10</v>
      </c>
      <c r="C26" s="14">
        <f ca="1">'Analysis backend'!S11</f>
        <v>0.7</v>
      </c>
      <c r="D26" s="18">
        <f ca="1">'Analysis backend'!N11</f>
        <v>2</v>
      </c>
      <c r="E26" s="14">
        <f ca="1">'Analysis backend'!P11</f>
        <v>0</v>
      </c>
    </row>
    <row r="27" spans="1:5" x14ac:dyDescent="0.3">
      <c r="A27" s="15" t="str">
        <f>'Analysis backend'!M12</f>
        <v>Earthshaker</v>
      </c>
      <c r="B27" s="18">
        <f ca="1">'Analysis backend'!Q12</f>
        <v>10</v>
      </c>
      <c r="C27" s="14">
        <f ca="1">'Analysis backend'!S12</f>
        <v>0.8</v>
      </c>
      <c r="D27" s="18">
        <f ca="1">'Analysis backend'!N12</f>
        <v>6</v>
      </c>
      <c r="E27" s="14">
        <f ca="1">'Analysis backend'!P12</f>
        <v>0.83333333333333337</v>
      </c>
    </row>
    <row r="28" spans="1:5" x14ac:dyDescent="0.3">
      <c r="A28" s="15" t="str">
        <f>'Analysis backend'!M15</f>
        <v>Morphling</v>
      </c>
      <c r="B28" s="18">
        <f ca="1">'Analysis backend'!Q15</f>
        <v>10</v>
      </c>
      <c r="C28" s="14">
        <f ca="1">'Analysis backend'!S15</f>
        <v>0.8</v>
      </c>
      <c r="D28" s="18">
        <f ca="1">'Analysis backend'!N15</f>
        <v>2</v>
      </c>
      <c r="E28" s="14">
        <f ca="1">'Analysis backend'!P15</f>
        <v>0.5</v>
      </c>
    </row>
    <row r="29" spans="1:5" x14ac:dyDescent="0.3">
      <c r="A29" s="15" t="str">
        <f>'Analysis backend'!M39</f>
        <v>Tinker</v>
      </c>
      <c r="B29" s="18">
        <f ca="1">'Analysis backend'!Q39</f>
        <v>9</v>
      </c>
      <c r="C29" s="14">
        <f ca="1">'Analysis backend'!S39</f>
        <v>0.55555555555555558</v>
      </c>
      <c r="D29" s="18">
        <f ca="1">'Analysis backend'!N39</f>
        <v>2</v>
      </c>
      <c r="E29" s="14">
        <f ca="1">'Analysis backend'!P39</f>
        <v>0</v>
      </c>
    </row>
    <row r="30" spans="1:5" x14ac:dyDescent="0.3">
      <c r="A30" s="15" t="str">
        <f>'Analysis backend'!M8</f>
        <v>Bane</v>
      </c>
      <c r="B30" s="18">
        <f ca="1">'Analysis backend'!Q8</f>
        <v>9</v>
      </c>
      <c r="C30" s="14">
        <f ca="1">'Analysis backend'!S8</f>
        <v>0.44444444444444442</v>
      </c>
      <c r="D30" s="18">
        <f ca="1">'Analysis backend'!N8</f>
        <v>7</v>
      </c>
      <c r="E30" s="14">
        <f ca="1">'Analysis backend'!P8</f>
        <v>0.7142857142857143</v>
      </c>
    </row>
    <row r="31" spans="1:5" x14ac:dyDescent="0.3">
      <c r="A31" s="15" t="str">
        <f>'Analysis backend'!M43</f>
        <v>Beastmaster</v>
      </c>
      <c r="B31" s="18">
        <f ca="1">'Analysis backend'!Q43</f>
        <v>9</v>
      </c>
      <c r="C31" s="14">
        <f ca="1">'Analysis backend'!S43</f>
        <v>0.55555555555555558</v>
      </c>
      <c r="D31" s="18">
        <f ca="1">'Analysis backend'!N43</f>
        <v>8</v>
      </c>
      <c r="E31" s="14">
        <f ca="1">'Analysis backend'!P43</f>
        <v>0.375</v>
      </c>
    </row>
    <row r="32" spans="1:5" x14ac:dyDescent="0.3">
      <c r="A32" s="15" t="str">
        <f>'Analysis backend'!M7</f>
        <v>Axe</v>
      </c>
      <c r="B32" s="18">
        <f ca="1">'Analysis backend'!Q7</f>
        <v>8</v>
      </c>
      <c r="C32" s="14">
        <f ca="1">'Analysis backend'!S7</f>
        <v>1</v>
      </c>
      <c r="D32" s="18">
        <f ca="1">'Analysis backend'!N7</f>
        <v>12</v>
      </c>
      <c r="E32" s="14">
        <f ca="1">'Analysis backend'!P7</f>
        <v>0.5</v>
      </c>
    </row>
    <row r="33" spans="1:5" x14ac:dyDescent="0.3">
      <c r="A33" s="15" t="str">
        <f>'Analysis backend'!M112</f>
        <v>Earth Spirit</v>
      </c>
      <c r="B33" s="18">
        <f ca="1">'Analysis backend'!Q112</f>
        <v>8</v>
      </c>
      <c r="C33" s="14">
        <f ca="1">'Analysis backend'!S112</f>
        <v>0.75</v>
      </c>
      <c r="D33" s="18">
        <f ca="1">'Analysis backend'!N112</f>
        <v>7</v>
      </c>
      <c r="E33" s="14">
        <f ca="1">'Analysis backend'!P112</f>
        <v>0.42857142857142855</v>
      </c>
    </row>
    <row r="34" spans="1:5" x14ac:dyDescent="0.3">
      <c r="A34" s="15" t="str">
        <f>'Analysis backend'!M24</f>
        <v>Tiny</v>
      </c>
      <c r="B34" s="18">
        <f ca="1">'Analysis backend'!Q24</f>
        <v>8</v>
      </c>
      <c r="C34" s="14">
        <f ca="1">'Analysis backend'!S24</f>
        <v>0.5</v>
      </c>
      <c r="D34" s="18">
        <f ca="1">'Analysis backend'!N24</f>
        <v>8</v>
      </c>
      <c r="E34" s="14">
        <f ca="1">'Analysis backend'!P24</f>
        <v>0.375</v>
      </c>
    </row>
    <row r="35" spans="1:5" x14ac:dyDescent="0.3">
      <c r="A35" s="15" t="str">
        <f>'Analysis backend'!M115</f>
        <v>Phoenix</v>
      </c>
      <c r="B35" s="18">
        <f ca="1">'Analysis backend'!Q115</f>
        <v>8</v>
      </c>
      <c r="C35" s="14">
        <f ca="1">'Analysis backend'!S115</f>
        <v>0.75</v>
      </c>
      <c r="D35" s="18">
        <f ca="1">'Analysis backend'!N115</f>
        <v>4</v>
      </c>
      <c r="E35" s="14">
        <f ca="1">'Analysis backend'!P115</f>
        <v>0.5</v>
      </c>
    </row>
    <row r="36" spans="1:5" x14ac:dyDescent="0.3">
      <c r="A36" s="15" t="str">
        <f>'Analysis backend'!M99</f>
        <v>Medusa</v>
      </c>
      <c r="B36" s="18">
        <f ca="1">'Analysis backend'!Q99</f>
        <v>8</v>
      </c>
      <c r="C36" s="14">
        <f ca="1">'Analysis backend'!S99</f>
        <v>0.5</v>
      </c>
      <c r="D36" s="18">
        <f ca="1">'Analysis backend'!N99</f>
        <v>2</v>
      </c>
      <c r="E36" s="14">
        <f ca="1">'Analysis backend'!P99</f>
        <v>1</v>
      </c>
    </row>
    <row r="37" spans="1:5" x14ac:dyDescent="0.3">
      <c r="A37" s="15" t="str">
        <f>'Analysis backend'!M30</f>
        <v>Lina</v>
      </c>
      <c r="B37" s="18">
        <f ca="1">'Analysis backend'!Q30</f>
        <v>8</v>
      </c>
      <c r="C37" s="14">
        <f ca="1">'Analysis backend'!S30</f>
        <v>0.625</v>
      </c>
      <c r="D37" s="18">
        <f ca="1">'Analysis backend'!N30</f>
        <v>9</v>
      </c>
      <c r="E37" s="14">
        <f ca="1">'Analysis backend'!P30</f>
        <v>0.55555555555555558</v>
      </c>
    </row>
    <row r="38" spans="1:5" x14ac:dyDescent="0.3">
      <c r="A38" s="15" t="str">
        <f>'Analysis backend'!M34</f>
        <v>Tidehunter</v>
      </c>
      <c r="B38" s="18">
        <f ca="1">'Analysis backend'!Q34</f>
        <v>8</v>
      </c>
      <c r="C38" s="14">
        <f ca="1">'Analysis backend'!S34</f>
        <v>0.75</v>
      </c>
      <c r="D38" s="18">
        <f ca="1">'Analysis backend'!N34</f>
        <v>7</v>
      </c>
      <c r="E38" s="14">
        <f ca="1">'Analysis backend'!P34</f>
        <v>0.5714285714285714</v>
      </c>
    </row>
    <row r="39" spans="1:5" x14ac:dyDescent="0.3">
      <c r="A39" s="15" t="str">
        <f>'Analysis backend'!M32</f>
        <v>Shadow Shaman</v>
      </c>
      <c r="B39" s="18">
        <f ca="1">'Analysis backend'!Q32</f>
        <v>7</v>
      </c>
      <c r="C39" s="14">
        <f ca="1">'Analysis backend'!S32</f>
        <v>0.7142857142857143</v>
      </c>
      <c r="D39" s="18">
        <f ca="1">'Analysis backend'!N32</f>
        <v>5</v>
      </c>
      <c r="E39" s="14">
        <f ca="1">'Analysis backend'!P32</f>
        <v>0.6</v>
      </c>
    </row>
    <row r="40" spans="1:5" x14ac:dyDescent="0.3">
      <c r="A40" s="15" t="str">
        <f>'Analysis backend'!M79</f>
        <v>Invoker</v>
      </c>
      <c r="B40" s="18">
        <f ca="1">'Analysis backend'!Q79</f>
        <v>7</v>
      </c>
      <c r="C40" s="14">
        <f ca="1">'Analysis backend'!S79</f>
        <v>1</v>
      </c>
      <c r="D40" s="18">
        <f ca="1">'Analysis backend'!N79</f>
        <v>6</v>
      </c>
      <c r="E40" s="14">
        <f ca="1">'Analysis backend'!P79</f>
        <v>0.5</v>
      </c>
    </row>
    <row r="41" spans="1:5" x14ac:dyDescent="0.3">
      <c r="A41" s="15" t="str">
        <f>'Analysis backend'!M114</f>
        <v>Terrorblade</v>
      </c>
      <c r="B41" s="18">
        <f ca="1">'Analysis backend'!Q114</f>
        <v>7</v>
      </c>
      <c r="C41" s="14">
        <f ca="1">'Analysis backend'!S114</f>
        <v>0.42857142857142855</v>
      </c>
      <c r="D41" s="18">
        <f ca="1">'Analysis backend'!N114</f>
        <v>2</v>
      </c>
      <c r="E41" s="14">
        <f ca="1">'Analysis backend'!P114</f>
        <v>1</v>
      </c>
    </row>
    <row r="42" spans="1:5" x14ac:dyDescent="0.3">
      <c r="A42" s="15" t="str">
        <f>'Analysis backend'!M85</f>
        <v>Lone Druid</v>
      </c>
      <c r="B42" s="18">
        <f ca="1">'Analysis backend'!Q85</f>
        <v>7</v>
      </c>
      <c r="C42" s="14">
        <f ca="1">'Analysis backend'!S85</f>
        <v>0.8571428571428571</v>
      </c>
      <c r="D42" s="18">
        <f ca="1">'Analysis backend'!N85</f>
        <v>1</v>
      </c>
      <c r="E42" s="14">
        <f ca="1">'Analysis backend'!P85</f>
        <v>0</v>
      </c>
    </row>
    <row r="43" spans="1:5" x14ac:dyDescent="0.3">
      <c r="A43" s="15" t="str">
        <f>'Analysis backend'!M117</f>
        <v>Winter Wyvern</v>
      </c>
      <c r="B43" s="18">
        <f ca="1">'Analysis backend'!Q117</f>
        <v>7</v>
      </c>
      <c r="C43" s="14">
        <f ca="1">'Analysis backend'!S117</f>
        <v>0.42857142857142855</v>
      </c>
      <c r="D43" s="18">
        <f ca="1">'Analysis backend'!N117</f>
        <v>8</v>
      </c>
      <c r="E43" s="14">
        <f ca="1">'Analysis backend'!P117</f>
        <v>0.5</v>
      </c>
    </row>
    <row r="44" spans="1:5" x14ac:dyDescent="0.3">
      <c r="A44" s="15" t="str">
        <f>'Analysis backend'!M28</f>
        <v>Kunkka</v>
      </c>
      <c r="B44" s="18">
        <f ca="1">'Analysis backend'!Q28</f>
        <v>7</v>
      </c>
      <c r="C44" s="14">
        <f ca="1">'Analysis backend'!S28</f>
        <v>0.42857142857142855</v>
      </c>
      <c r="D44" s="18">
        <f ca="1">'Analysis backend'!N28</f>
        <v>5</v>
      </c>
      <c r="E44" s="14">
        <f ca="1">'Analysis backend'!P28</f>
        <v>0.4</v>
      </c>
    </row>
    <row r="45" spans="1:5" x14ac:dyDescent="0.3">
      <c r="A45" s="15" t="str">
        <f>'Analysis backend'!M95</f>
        <v>Keeper of the Light</v>
      </c>
      <c r="B45" s="18">
        <f ca="1">'Analysis backend'!Q95</f>
        <v>6</v>
      </c>
      <c r="C45" s="14">
        <f ca="1">'Analysis backend'!S95</f>
        <v>0.66666666666666663</v>
      </c>
      <c r="D45" s="18">
        <f ca="1">'Analysis backend'!N95</f>
        <v>10</v>
      </c>
      <c r="E45" s="14">
        <f ca="1">'Analysis backend'!P95</f>
        <v>0.4</v>
      </c>
    </row>
    <row r="46" spans="1:5" x14ac:dyDescent="0.3">
      <c r="A46" s="15" t="str">
        <f>'Analysis backend'!M67</f>
        <v>Bounty Hunter</v>
      </c>
      <c r="B46" s="18">
        <f ca="1">'Analysis backend'!Q67</f>
        <v>6</v>
      </c>
      <c r="C46" s="14">
        <f ca="1">'Analysis backend'!S67</f>
        <v>0.33333333333333331</v>
      </c>
      <c r="D46" s="18">
        <f ca="1">'Analysis backend'!N67</f>
        <v>4</v>
      </c>
      <c r="E46" s="14">
        <f ca="1">'Analysis backend'!P67</f>
        <v>0.75</v>
      </c>
    </row>
    <row r="47" spans="1:5" x14ac:dyDescent="0.3">
      <c r="A47" s="15" t="str">
        <f>'Analysis backend'!M77</f>
        <v>Gyrocopter</v>
      </c>
      <c r="B47" s="18">
        <f ca="1">'Analysis backend'!Q77</f>
        <v>6</v>
      </c>
      <c r="C47" s="14">
        <f ca="1">'Analysis backend'!S77</f>
        <v>0.83333333333333337</v>
      </c>
      <c r="D47" s="18">
        <f ca="1">'Analysis backend'!N77</f>
        <v>1</v>
      </c>
      <c r="E47" s="14">
        <f ca="1">'Analysis backend'!P77</f>
        <v>1</v>
      </c>
    </row>
    <row r="48" spans="1:5" x14ac:dyDescent="0.3">
      <c r="A48" s="15" t="str">
        <f>'Analysis backend'!M100</f>
        <v>Troll Warlord</v>
      </c>
      <c r="B48" s="18">
        <f ca="1">'Analysis backend'!Q100</f>
        <v>6</v>
      </c>
      <c r="C48" s="14">
        <f ca="1">'Analysis backend'!S100</f>
        <v>0.5</v>
      </c>
      <c r="D48" s="18">
        <f ca="1">'Analysis backend'!N100</f>
        <v>1</v>
      </c>
      <c r="E48" s="14">
        <f ca="1">'Analysis backend'!P100</f>
        <v>0</v>
      </c>
    </row>
    <row r="49" spans="1:5" x14ac:dyDescent="0.3">
      <c r="A49" s="15" t="str">
        <f>'Analysis backend'!M89</f>
        <v>Ogre Magi</v>
      </c>
      <c r="B49" s="18">
        <f ca="1">'Analysis backend'!Q89</f>
        <v>6</v>
      </c>
      <c r="C49" s="14">
        <f ca="1">'Analysis backend'!S89</f>
        <v>0.16666666666666666</v>
      </c>
      <c r="D49" s="18">
        <f ca="1">'Analysis backend'!N89</f>
        <v>2</v>
      </c>
      <c r="E49" s="14">
        <f ca="1">'Analysis backend'!P89</f>
        <v>0</v>
      </c>
    </row>
    <row r="50" spans="1:5" x14ac:dyDescent="0.3">
      <c r="A50" s="15" t="str">
        <f>'Analysis backend'!M18</f>
        <v>Puck</v>
      </c>
      <c r="B50" s="18">
        <f ca="1">'Analysis backend'!Q18</f>
        <v>5</v>
      </c>
      <c r="C50" s="14">
        <f ca="1">'Analysis backend'!S18</f>
        <v>0.4</v>
      </c>
      <c r="D50" s="18">
        <f ca="1">'Analysis backend'!N18</f>
        <v>5</v>
      </c>
      <c r="E50" s="14">
        <f ca="1">'Analysis backend'!P18</f>
        <v>1</v>
      </c>
    </row>
    <row r="51" spans="1:5" x14ac:dyDescent="0.3">
      <c r="A51" s="15" t="str">
        <f>'Analysis backend'!M69</f>
        <v>Jakiro</v>
      </c>
      <c r="B51" s="18">
        <f ca="1">'Analysis backend'!Q69</f>
        <v>5</v>
      </c>
      <c r="C51" s="14">
        <f ca="1">'Analysis backend'!S69</f>
        <v>0.2</v>
      </c>
      <c r="D51" s="18">
        <f ca="1">'Analysis backend'!N69</f>
        <v>1</v>
      </c>
      <c r="E51" s="14">
        <f ca="1">'Analysis backend'!P69</f>
        <v>1</v>
      </c>
    </row>
    <row r="52" spans="1:5" x14ac:dyDescent="0.3">
      <c r="A52" s="15" t="str">
        <f>'Analysis backend'!M14</f>
        <v>Mirana</v>
      </c>
      <c r="B52" s="18">
        <f ca="1">'Analysis backend'!Q14</f>
        <v>4</v>
      </c>
      <c r="C52" s="14">
        <f ca="1">'Analysis backend'!S14</f>
        <v>0.75</v>
      </c>
      <c r="D52" s="18">
        <f ca="1">'Analysis backend'!N14</f>
        <v>4</v>
      </c>
      <c r="E52" s="14">
        <f ca="1">'Analysis backend'!P14</f>
        <v>0.75</v>
      </c>
    </row>
    <row r="53" spans="1:5" x14ac:dyDescent="0.3">
      <c r="A53" s="15" t="str">
        <f>'Analysis backend'!M101</f>
        <v>Centaur Warrunner</v>
      </c>
      <c r="B53" s="18">
        <f ca="1">'Analysis backend'!Q101</f>
        <v>4</v>
      </c>
      <c r="C53" s="14">
        <f ca="1">'Analysis backend'!S101</f>
        <v>0.5</v>
      </c>
      <c r="D53" s="18">
        <f ca="1">'Analysis backend'!N101</f>
        <v>4</v>
      </c>
      <c r="E53" s="14">
        <f ca="1">'Analysis backend'!P101</f>
        <v>0.5</v>
      </c>
    </row>
    <row r="54" spans="1:5" x14ac:dyDescent="0.3">
      <c r="A54" s="15" t="str">
        <f>'Analysis backend'!M84</f>
        <v>Shadow Demon</v>
      </c>
      <c r="B54" s="18">
        <f ca="1">'Analysis backend'!Q84</f>
        <v>4</v>
      </c>
      <c r="C54" s="14">
        <f ca="1">'Analysis backend'!S84</f>
        <v>0.5</v>
      </c>
      <c r="D54" s="18">
        <f ca="1">'Analysis backend'!N84</f>
        <v>6</v>
      </c>
      <c r="E54" s="14">
        <f ca="1">'Analysis backend'!P84</f>
        <v>0.33333333333333331</v>
      </c>
    </row>
    <row r="55" spans="1:5" x14ac:dyDescent="0.3">
      <c r="A55" s="15" t="str">
        <f>'Analysis backend'!M53</f>
        <v>Luna</v>
      </c>
      <c r="B55" s="18">
        <f ca="1">'Analysis backend'!Q53</f>
        <v>4</v>
      </c>
      <c r="C55" s="14">
        <f ca="1">'Analysis backend'!S53</f>
        <v>0.75</v>
      </c>
      <c r="D55" s="18">
        <f ca="1">'Analysis backend'!N53</f>
        <v>1</v>
      </c>
      <c r="E55" s="14">
        <f ca="1">'Analysis backend'!P53</f>
        <v>0</v>
      </c>
    </row>
    <row r="56" spans="1:5" x14ac:dyDescent="0.3">
      <c r="A56" s="15" t="str">
        <f>'Analysis backend'!M111</f>
        <v>Ember Spirit</v>
      </c>
      <c r="B56" s="18">
        <f ca="1">'Analysis backend'!Q111</f>
        <v>4</v>
      </c>
      <c r="C56" s="14">
        <f ca="1">'Analysis backend'!S111</f>
        <v>0.5</v>
      </c>
      <c r="D56" s="18">
        <f ca="1">'Analysis backend'!N111</f>
        <v>2</v>
      </c>
      <c r="E56" s="14">
        <f ca="1">'Analysis backend'!P111</f>
        <v>1</v>
      </c>
    </row>
    <row r="57" spans="1:5" x14ac:dyDescent="0.3">
      <c r="A57" s="15" t="str">
        <f>'Analysis backend'!M27</f>
        <v>Zeus</v>
      </c>
      <c r="B57" s="18">
        <f ca="1">'Analysis backend'!Q27</f>
        <v>3</v>
      </c>
      <c r="C57" s="14">
        <f ca="1">'Analysis backend'!S27</f>
        <v>0.66666666666666663</v>
      </c>
      <c r="D57" s="18">
        <f ca="1">'Analysis backend'!N27</f>
        <v>5</v>
      </c>
      <c r="E57" s="14">
        <f ca="1">'Analysis backend'!P27</f>
        <v>1</v>
      </c>
    </row>
    <row r="58" spans="1:5" x14ac:dyDescent="0.3">
      <c r="A58" s="15" t="str">
        <f>'Analysis backend'!M103</f>
        <v>Timbersaw</v>
      </c>
      <c r="B58" s="18">
        <f ca="1">'Analysis backend'!Q103</f>
        <v>3</v>
      </c>
      <c r="C58" s="14">
        <f ca="1">'Analysis backend'!S103</f>
        <v>1</v>
      </c>
      <c r="D58" s="18">
        <f ca="1">'Analysis backend'!N103</f>
        <v>2</v>
      </c>
      <c r="E58" s="14">
        <f ca="1">'Analysis backend'!P103</f>
        <v>0.5</v>
      </c>
    </row>
    <row r="59" spans="1:5" x14ac:dyDescent="0.3">
      <c r="A59" s="15" t="str">
        <f>'Analysis backend'!M64</f>
        <v>Huskar</v>
      </c>
      <c r="B59" s="18">
        <f ca="1">'Analysis backend'!Q64</f>
        <v>3</v>
      </c>
      <c r="C59" s="14">
        <f ca="1">'Analysis backend'!S64</f>
        <v>0.33333333333333331</v>
      </c>
      <c r="D59" s="18">
        <f ca="1">'Analysis backend'!N64</f>
        <v>3</v>
      </c>
      <c r="E59" s="14">
        <f ca="1">'Analysis backend'!P64</f>
        <v>1</v>
      </c>
    </row>
    <row r="60" spans="1:5" x14ac:dyDescent="0.3">
      <c r="A60" s="15" t="str">
        <f>'Analysis backend'!M16</f>
        <v>Shadow Fiend</v>
      </c>
      <c r="B60" s="18">
        <f ca="1">'Analysis backend'!Q16</f>
        <v>3</v>
      </c>
      <c r="C60" s="14">
        <f ca="1">'Analysis backend'!S16</f>
        <v>1</v>
      </c>
      <c r="D60" s="18">
        <f ca="1">'Analysis backend'!N16</f>
        <v>2</v>
      </c>
      <c r="E60" s="14">
        <f ca="1">'Analysis backend'!P16</f>
        <v>0.5</v>
      </c>
    </row>
    <row r="61" spans="1:5" x14ac:dyDescent="0.3">
      <c r="A61" s="15" t="str">
        <f>'Analysis backend'!M72</f>
        <v>Spectre</v>
      </c>
      <c r="B61" s="18">
        <f ca="1">'Analysis backend'!Q72</f>
        <v>3</v>
      </c>
      <c r="C61" s="14">
        <f ca="1">'Analysis backend'!S72</f>
        <v>0.66666666666666663</v>
      </c>
      <c r="D61" s="18">
        <f ca="1">'Analysis backend'!N72</f>
        <v>0</v>
      </c>
      <c r="E61" s="14">
        <f ca="1">'Analysis backend'!P72</f>
        <v>0</v>
      </c>
    </row>
    <row r="62" spans="1:5" x14ac:dyDescent="0.3">
      <c r="A62" s="15" t="str">
        <f>'Analysis backend'!M9</f>
        <v>Bloodseeker</v>
      </c>
      <c r="B62" s="18">
        <f ca="1">'Analysis backend'!Q9</f>
        <v>3</v>
      </c>
      <c r="C62" s="14">
        <f ca="1">'Analysis backend'!S9</f>
        <v>0.33333333333333331</v>
      </c>
      <c r="D62" s="18">
        <f ca="1">'Analysis backend'!N9</f>
        <v>0</v>
      </c>
      <c r="E62" s="14">
        <f ca="1">'Analysis backend'!P9</f>
        <v>0</v>
      </c>
    </row>
    <row r="63" spans="1:5" x14ac:dyDescent="0.3">
      <c r="A63" s="15" t="str">
        <f>'Analysis backend'!M45</f>
        <v>Venomancer</v>
      </c>
      <c r="B63" s="18">
        <f ca="1">'Analysis backend'!Q45</f>
        <v>3</v>
      </c>
      <c r="C63" s="14">
        <f ca="1">'Analysis backend'!S45</f>
        <v>0.33333333333333331</v>
      </c>
      <c r="D63" s="18">
        <f ca="1">'Analysis backend'!N45</f>
        <v>2</v>
      </c>
      <c r="E63" s="14">
        <f ca="1">'Analysis backend'!P45</f>
        <v>1</v>
      </c>
    </row>
    <row r="64" spans="1:5" x14ac:dyDescent="0.3">
      <c r="A64" s="15" t="str">
        <f>'Analysis backend'!M40</f>
        <v>Sniper</v>
      </c>
      <c r="B64" s="18">
        <f ca="1">'Analysis backend'!Q40</f>
        <v>3</v>
      </c>
      <c r="C64" s="14">
        <f ca="1">'Analysis backend'!S40</f>
        <v>0.33333333333333331</v>
      </c>
      <c r="D64" s="18">
        <f ca="1">'Analysis backend'!N40</f>
        <v>3</v>
      </c>
      <c r="E64" s="14">
        <f ca="1">'Analysis backend'!P40</f>
        <v>0.66666666666666663</v>
      </c>
    </row>
    <row r="65" spans="1:5" x14ac:dyDescent="0.3">
      <c r="A65" s="15" t="str">
        <f>'Analysis backend'!M92</f>
        <v>Disruptor</v>
      </c>
      <c r="B65" s="18">
        <f ca="1">'Analysis backend'!Q92</f>
        <v>3</v>
      </c>
      <c r="C65" s="14">
        <f ca="1">'Analysis backend'!S92</f>
        <v>1</v>
      </c>
      <c r="D65" s="18">
        <f ca="1">'Analysis backend'!N92</f>
        <v>6</v>
      </c>
      <c r="E65" s="14">
        <f ca="1">'Analysis backend'!P92</f>
        <v>0.33333333333333331</v>
      </c>
    </row>
    <row r="66" spans="1:5" x14ac:dyDescent="0.3">
      <c r="A66" s="15" t="str">
        <f>'Analysis backend'!M88</f>
        <v>Treant Protector</v>
      </c>
      <c r="B66" s="18">
        <f ca="1">'Analysis backend'!Q88</f>
        <v>3</v>
      </c>
      <c r="C66" s="14">
        <f ca="1">'Analysis backend'!S88</f>
        <v>0.33333333333333331</v>
      </c>
      <c r="D66" s="18">
        <f ca="1">'Analysis backend'!N88</f>
        <v>1</v>
      </c>
      <c r="E66" s="14">
        <f ca="1">'Analysis backend'!P88</f>
        <v>0</v>
      </c>
    </row>
    <row r="67" spans="1:5" x14ac:dyDescent="0.3">
      <c r="A67" s="15" t="str">
        <f>'Analysis backend'!M80</f>
        <v>Silencer</v>
      </c>
      <c r="B67" s="18">
        <f ca="1">'Analysis backend'!Q80</f>
        <v>2</v>
      </c>
      <c r="C67" s="14">
        <f ca="1">'Analysis backend'!S80</f>
        <v>0.5</v>
      </c>
      <c r="D67" s="18">
        <f ca="1">'Analysis backend'!N80</f>
        <v>6</v>
      </c>
      <c r="E67" s="14">
        <f ca="1">'Analysis backend'!P80</f>
        <v>0.5</v>
      </c>
    </row>
    <row r="68" spans="1:5" x14ac:dyDescent="0.3">
      <c r="A68" s="15" t="str">
        <f>'Analysis backend'!M33</f>
        <v>Slardar</v>
      </c>
      <c r="B68" s="18">
        <f ca="1">'Analysis backend'!Q33</f>
        <v>2</v>
      </c>
      <c r="C68" s="14">
        <f ca="1">'Analysis backend'!S33</f>
        <v>0.5</v>
      </c>
      <c r="D68" s="18">
        <f ca="1">'Analysis backend'!N33</f>
        <v>7</v>
      </c>
      <c r="E68" s="14">
        <f ca="1">'Analysis backend'!P33</f>
        <v>0.2857142857142857</v>
      </c>
    </row>
    <row r="69" spans="1:5" x14ac:dyDescent="0.3">
      <c r="A69" s="15" t="str">
        <f>'Analysis backend'!M108</f>
        <v>Elder Titan</v>
      </c>
      <c r="B69" s="18">
        <f ca="1">'Analysis backend'!Q108</f>
        <v>2</v>
      </c>
      <c r="C69" s="14">
        <f ca="1">'Analysis backend'!S108</f>
        <v>1</v>
      </c>
      <c r="D69" s="18">
        <f ca="1">'Analysis backend'!N108</f>
        <v>4</v>
      </c>
      <c r="E69" s="14">
        <f ca="1">'Analysis backend'!P108</f>
        <v>1</v>
      </c>
    </row>
    <row r="70" spans="1:5" x14ac:dyDescent="0.3">
      <c r="A70" s="15" t="str">
        <f>'Analysis backend'!M19</f>
        <v>Pudge</v>
      </c>
      <c r="B70" s="18">
        <f ca="1">'Analysis backend'!Q19</f>
        <v>2</v>
      </c>
      <c r="C70" s="14">
        <f ca="1">'Analysis backend'!S19</f>
        <v>0.5</v>
      </c>
      <c r="D70" s="18">
        <f ca="1">'Analysis backend'!N19</f>
        <v>6</v>
      </c>
      <c r="E70" s="14">
        <f ca="1">'Analysis backend'!P19</f>
        <v>0.33333333333333331</v>
      </c>
    </row>
    <row r="71" spans="1:5" x14ac:dyDescent="0.3">
      <c r="A71" s="15" t="str">
        <f>'Analysis backend'!M26</f>
        <v>Windranger</v>
      </c>
      <c r="B71" s="18">
        <f ca="1">'Analysis backend'!Q26</f>
        <v>2</v>
      </c>
      <c r="C71" s="14">
        <f ca="1">'Analysis backend'!S26</f>
        <v>0.5</v>
      </c>
      <c r="D71" s="18">
        <f ca="1">'Analysis backend'!N26</f>
        <v>4</v>
      </c>
      <c r="E71" s="14">
        <f ca="1">'Analysis backend'!P26</f>
        <v>0.75</v>
      </c>
    </row>
    <row r="72" spans="1:5" x14ac:dyDescent="0.3">
      <c r="A72" s="15" t="str">
        <f>'Analysis backend'!M38</f>
        <v>Enigma</v>
      </c>
      <c r="B72" s="18">
        <f ca="1">'Analysis backend'!Q38</f>
        <v>2</v>
      </c>
      <c r="C72" s="14">
        <f ca="1">'Analysis backend'!S38</f>
        <v>0.5</v>
      </c>
      <c r="D72" s="18">
        <f ca="1">'Analysis backend'!N38</f>
        <v>1</v>
      </c>
      <c r="E72" s="14">
        <f ca="1">'Analysis backend'!P38</f>
        <v>1</v>
      </c>
    </row>
    <row r="73" spans="1:5" x14ac:dyDescent="0.3">
      <c r="A73" s="15" t="str">
        <f>'Analysis backend'!M54</f>
        <v>Dragon Knight</v>
      </c>
      <c r="B73" s="18">
        <f ca="1">'Analysis backend'!Q54</f>
        <v>2</v>
      </c>
      <c r="C73" s="14">
        <f ca="1">'Analysis backend'!S54</f>
        <v>0</v>
      </c>
      <c r="D73" s="18">
        <f ca="1">'Analysis backend'!N54</f>
        <v>4</v>
      </c>
      <c r="E73" s="14">
        <f ca="1">'Analysis backend'!P54</f>
        <v>0.25</v>
      </c>
    </row>
    <row r="74" spans="1:5" x14ac:dyDescent="0.3">
      <c r="A74" s="15" t="str">
        <f>'Analysis backend'!M61</f>
        <v>Clinkz</v>
      </c>
      <c r="B74" s="18">
        <f ca="1">'Analysis backend'!Q61</f>
        <v>2</v>
      </c>
      <c r="C74" s="14">
        <f ca="1">'Analysis backend'!S61</f>
        <v>1</v>
      </c>
      <c r="D74" s="18">
        <f ca="1">'Analysis backend'!N61</f>
        <v>2</v>
      </c>
      <c r="E74" s="14">
        <f ca="1">'Analysis backend'!P61</f>
        <v>0.5</v>
      </c>
    </row>
    <row r="75" spans="1:5" x14ac:dyDescent="0.3">
      <c r="A75" s="15" t="str">
        <f>'Analysis backend'!M82</f>
        <v>Lycan</v>
      </c>
      <c r="B75" s="18">
        <f ca="1">'Analysis backend'!Q82</f>
        <v>2</v>
      </c>
      <c r="C75" s="14">
        <f ca="1">'Analysis backend'!S82</f>
        <v>0.5</v>
      </c>
      <c r="D75" s="18">
        <f ca="1">'Analysis backend'!N82</f>
        <v>0</v>
      </c>
      <c r="E75" s="14">
        <f ca="1">'Analysis backend'!P82</f>
        <v>0</v>
      </c>
    </row>
    <row r="76" spans="1:5" x14ac:dyDescent="0.3">
      <c r="A76" s="15" t="str">
        <f>'Analysis backend'!M73</f>
        <v>Ancient Apparition</v>
      </c>
      <c r="B76" s="18">
        <f ca="1">'Analysis backend'!Q73</f>
        <v>2</v>
      </c>
      <c r="C76" s="14">
        <f ca="1">'Analysis backend'!S73</f>
        <v>0</v>
      </c>
      <c r="D76" s="18">
        <f ca="1">'Analysis backend'!N73</f>
        <v>2</v>
      </c>
      <c r="E76" s="14">
        <f ca="1">'Analysis backend'!P73</f>
        <v>0</v>
      </c>
    </row>
    <row r="77" spans="1:5" x14ac:dyDescent="0.3">
      <c r="A77" s="15" t="str">
        <f>'Analysis backend'!M113</f>
        <v>Underlord</v>
      </c>
      <c r="B77" s="18">
        <f ca="1">'Analysis backend'!Q113</f>
        <v>2</v>
      </c>
      <c r="C77" s="14">
        <f ca="1">'Analysis backend'!S113</f>
        <v>1</v>
      </c>
      <c r="D77" s="18">
        <f ca="1">'Analysis backend'!N113</f>
        <v>1</v>
      </c>
      <c r="E77" s="14">
        <f ca="1">'Analysis backend'!P113</f>
        <v>0</v>
      </c>
    </row>
    <row r="78" spans="1:5" x14ac:dyDescent="0.3">
      <c r="A78" s="15" t="str">
        <f>'Analysis backend'!M124</f>
        <v>Dark Willow</v>
      </c>
      <c r="B78" s="18">
        <f ca="1">'Analysis backend'!Q124</f>
        <v>2</v>
      </c>
      <c r="C78" s="14">
        <f ca="1">'Analysis backend'!S124</f>
        <v>0.5</v>
      </c>
      <c r="D78" s="18">
        <f ca="1">'Analysis backend'!N124</f>
        <v>2</v>
      </c>
      <c r="E78" s="14">
        <f ca="1">'Analysis backend'!P124</f>
        <v>1</v>
      </c>
    </row>
    <row r="79" spans="1:5" x14ac:dyDescent="0.3">
      <c r="A79" s="15" t="str">
        <f>'Analysis backend'!M41</f>
        <v>Necrophos</v>
      </c>
      <c r="B79" s="18">
        <f ca="1">'Analysis backend'!Q41</f>
        <v>2</v>
      </c>
      <c r="C79" s="14">
        <f ca="1">'Analysis backend'!S41</f>
        <v>0.5</v>
      </c>
      <c r="D79" s="18">
        <f ca="1">'Analysis backend'!N41</f>
        <v>0</v>
      </c>
      <c r="E79" s="14">
        <f ca="1">'Analysis backend'!P41</f>
        <v>0</v>
      </c>
    </row>
    <row r="80" spans="1:5" x14ac:dyDescent="0.3">
      <c r="A80" s="15" t="str">
        <f>'Analysis backend'!M66</f>
        <v>Broodmother</v>
      </c>
      <c r="B80" s="18">
        <f ca="1">'Analysis backend'!Q66</f>
        <v>2</v>
      </c>
      <c r="C80" s="14">
        <f ca="1">'Analysis backend'!S66</f>
        <v>0.5</v>
      </c>
      <c r="D80" s="18">
        <f ca="1">'Analysis backend'!N66</f>
        <v>0</v>
      </c>
      <c r="E80" s="14">
        <f ca="1">'Analysis backend'!P66</f>
        <v>0</v>
      </c>
    </row>
    <row r="81" spans="1:5" x14ac:dyDescent="0.3">
      <c r="A81" s="15" t="str">
        <f>'Analysis backend'!M87</f>
        <v>Meepo</v>
      </c>
      <c r="B81" s="18">
        <f ca="1">'Analysis backend'!Q87</f>
        <v>2</v>
      </c>
      <c r="C81" s="14">
        <f ca="1">'Analysis backend'!S87</f>
        <v>0.5</v>
      </c>
      <c r="D81" s="18">
        <f ca="1">'Analysis backend'!N87</f>
        <v>1</v>
      </c>
      <c r="E81" s="14">
        <f ca="1">'Analysis backend'!P87</f>
        <v>1</v>
      </c>
    </row>
    <row r="82" spans="1:5" x14ac:dyDescent="0.3">
      <c r="A82" s="15" t="str">
        <f>'Analysis backend'!M60</f>
        <v>Dark Seer</v>
      </c>
      <c r="B82" s="18">
        <f ca="1">'Analysis backend'!Q60</f>
        <v>1</v>
      </c>
      <c r="C82" s="14">
        <f ca="1">'Analysis backend'!S60</f>
        <v>1</v>
      </c>
      <c r="D82" s="18">
        <f ca="1">'Analysis backend'!N60</f>
        <v>5</v>
      </c>
      <c r="E82" s="14">
        <f ca="1">'Analysis backend'!P60</f>
        <v>0.6</v>
      </c>
    </row>
    <row r="83" spans="1:5" x14ac:dyDescent="0.3">
      <c r="A83" s="15" t="str">
        <f>'Analysis backend'!M44</f>
        <v>Queen of Pain</v>
      </c>
      <c r="B83" s="18">
        <f ca="1">'Analysis backend'!Q44</f>
        <v>1</v>
      </c>
      <c r="C83" s="14">
        <f ca="1">'Analysis backend'!S44</f>
        <v>0</v>
      </c>
      <c r="D83" s="18">
        <f ca="1">'Analysis backend'!N44</f>
        <v>3</v>
      </c>
      <c r="E83" s="14">
        <f ca="1">'Analysis backend'!P44</f>
        <v>0.66666666666666663</v>
      </c>
    </row>
    <row r="84" spans="1:5" x14ac:dyDescent="0.3">
      <c r="A84" s="15" t="str">
        <f>'Analysis backend'!M125</f>
        <v>Pangolier</v>
      </c>
      <c r="B84" s="18">
        <f ca="1">'Analysis backend'!Q125</f>
        <v>1</v>
      </c>
      <c r="C84" s="14">
        <f ca="1">'Analysis backend'!S125</f>
        <v>0</v>
      </c>
      <c r="D84" s="18">
        <f ca="1">'Analysis backend'!N125</f>
        <v>2</v>
      </c>
      <c r="E84" s="14">
        <f ca="1">'Analysis backend'!P125</f>
        <v>0.5</v>
      </c>
    </row>
    <row r="85" spans="1:5" x14ac:dyDescent="0.3">
      <c r="A85" s="15" t="str">
        <f>'Analysis backend'!M58</f>
        <v>Nature's Prophet</v>
      </c>
      <c r="B85" s="18">
        <f ca="1">'Analysis backend'!Q58</f>
        <v>1</v>
      </c>
      <c r="C85" s="14">
        <f ca="1">'Analysis backend'!S58</f>
        <v>1</v>
      </c>
      <c r="D85" s="18">
        <f ca="1">'Analysis backend'!N58</f>
        <v>1</v>
      </c>
      <c r="E85" s="14">
        <f ca="1">'Analysis backend'!P58</f>
        <v>0</v>
      </c>
    </row>
    <row r="86" spans="1:5" x14ac:dyDescent="0.3">
      <c r="A86" s="15" t="str">
        <f>'Analysis backend'!M97</f>
        <v>Visage</v>
      </c>
      <c r="B86" s="18">
        <f ca="1">'Analysis backend'!Q97</f>
        <v>1</v>
      </c>
      <c r="C86" s="14">
        <f ca="1">'Analysis backend'!S97</f>
        <v>0</v>
      </c>
      <c r="D86" s="18">
        <f ca="1">'Analysis backend'!N97</f>
        <v>2</v>
      </c>
      <c r="E86" s="14">
        <f ca="1">'Analysis backend'!P97</f>
        <v>0</v>
      </c>
    </row>
    <row r="87" spans="1:5" x14ac:dyDescent="0.3">
      <c r="A87" s="15" t="str">
        <f>'Analysis backend'!M74</f>
        <v>Doom</v>
      </c>
      <c r="B87" s="18">
        <f ca="1">'Analysis backend'!Q74</f>
        <v>1</v>
      </c>
      <c r="C87" s="14">
        <f ca="1">'Analysis backend'!S74</f>
        <v>0</v>
      </c>
      <c r="D87" s="18">
        <f ca="1">'Analysis backend'!N74</f>
        <v>6</v>
      </c>
      <c r="E87" s="14">
        <f ca="1">'Analysis backend'!P74</f>
        <v>0.5</v>
      </c>
    </row>
    <row r="88" spans="1:5" x14ac:dyDescent="0.3">
      <c r="A88" s="15" t="str">
        <f>'Analysis backend'!M17</f>
        <v>Phantom Lancer</v>
      </c>
      <c r="B88" s="18">
        <f ca="1">'Analysis backend'!Q17</f>
        <v>1</v>
      </c>
      <c r="C88" s="14">
        <f ca="1">'Analysis backend'!S17</f>
        <v>0</v>
      </c>
      <c r="D88" s="18">
        <f ca="1">'Analysis backend'!N17</f>
        <v>3</v>
      </c>
      <c r="E88" s="14">
        <f ca="1">'Analysis backend'!P17</f>
        <v>0.33333333333333331</v>
      </c>
    </row>
    <row r="89" spans="1:5" x14ac:dyDescent="0.3">
      <c r="A89" s="15" t="str">
        <f>'Analysis backend'!M70</f>
        <v>Batrider</v>
      </c>
      <c r="B89" s="18">
        <f ca="1">'Analysis backend'!Q70</f>
        <v>1</v>
      </c>
      <c r="C89" s="14">
        <f ca="1">'Analysis backend'!S70</f>
        <v>0</v>
      </c>
      <c r="D89" s="18">
        <f ca="1">'Analysis backend'!N70</f>
        <v>2</v>
      </c>
      <c r="E89" s="14">
        <f ca="1">'Analysis backend'!P70</f>
        <v>0</v>
      </c>
    </row>
    <row r="90" spans="1:5" x14ac:dyDescent="0.3">
      <c r="A90" s="15" t="str">
        <f>'Analysis backend'!M56</f>
        <v>Clockwerk</v>
      </c>
      <c r="B90" s="18">
        <f ca="1">'Analysis backend'!Q56</f>
        <v>1</v>
      </c>
      <c r="C90" s="14">
        <f ca="1">'Analysis backend'!S56</f>
        <v>1</v>
      </c>
      <c r="D90" s="18">
        <f ca="1">'Analysis backend'!N56</f>
        <v>0</v>
      </c>
      <c r="E90" s="14">
        <f ca="1">'Analysis backend'!P56</f>
        <v>0</v>
      </c>
    </row>
    <row r="91" spans="1:5" x14ac:dyDescent="0.3">
      <c r="A91" s="15" t="str">
        <f>'Analysis backend'!M94</f>
        <v>Naga Siren</v>
      </c>
      <c r="B91" s="18">
        <f ca="1">'Analysis backend'!Q94</f>
        <v>1</v>
      </c>
      <c r="C91" s="14">
        <f ca="1">'Analysis backend'!S94</f>
        <v>1</v>
      </c>
      <c r="D91" s="18">
        <f ca="1">'Analysis backend'!N94</f>
        <v>0</v>
      </c>
      <c r="E91" s="14">
        <f ca="1">'Analysis backend'!P94</f>
        <v>0</v>
      </c>
    </row>
    <row r="92" spans="1:5" x14ac:dyDescent="0.3">
      <c r="A92" s="15" t="str">
        <f>'Analysis backend'!M23</f>
        <v>Sven</v>
      </c>
      <c r="B92" s="18">
        <f ca="1">'Analysis backend'!Q23</f>
        <v>1</v>
      </c>
      <c r="C92" s="14">
        <f ca="1">'Analysis backend'!S23</f>
        <v>1</v>
      </c>
      <c r="D92" s="18">
        <f ca="1">'Analysis backend'!N23</f>
        <v>0</v>
      </c>
      <c r="E92" s="14">
        <f ca="1">'Analysis backend'!P23</f>
        <v>0</v>
      </c>
    </row>
    <row r="93" spans="1:5" x14ac:dyDescent="0.3">
      <c r="A93" s="15" t="str">
        <f>'Analysis backend'!M35</f>
        <v>Witch Doctor</v>
      </c>
      <c r="B93" s="18">
        <f ca="1">'Analysis backend'!Q35</f>
        <v>1</v>
      </c>
      <c r="C93" s="14">
        <f ca="1">'Analysis backend'!S35</f>
        <v>0</v>
      </c>
      <c r="D93" s="18">
        <f ca="1">'Analysis backend'!N35</f>
        <v>0</v>
      </c>
      <c r="E93" s="14">
        <f ca="1">'Analysis backend'!P35</f>
        <v>0</v>
      </c>
    </row>
    <row r="94" spans="1:5" x14ac:dyDescent="0.3">
      <c r="A94" s="15" t="str">
        <f>'Analysis backend'!M59</f>
        <v>Lifestealer</v>
      </c>
      <c r="B94" s="18">
        <f ca="1">'Analysis backend'!Q59</f>
        <v>1</v>
      </c>
      <c r="C94" s="14">
        <f ca="1">'Analysis backend'!S59</f>
        <v>1</v>
      </c>
      <c r="D94" s="18">
        <f ca="1">'Analysis backend'!N59</f>
        <v>0</v>
      </c>
      <c r="E94" s="14">
        <f ca="1">'Analysis backend'!P59</f>
        <v>0</v>
      </c>
    </row>
    <row r="95" spans="1:5" x14ac:dyDescent="0.3">
      <c r="A95" s="15" t="str">
        <f>'Analysis backend'!M65</f>
        <v>Night Stalker</v>
      </c>
      <c r="B95" s="18">
        <f ca="1">'Analysis backend'!Q65</f>
        <v>1</v>
      </c>
      <c r="C95" s="14">
        <f ca="1">'Analysis backend'!S65</f>
        <v>0</v>
      </c>
      <c r="D95" s="18">
        <f ca="1">'Analysis backend'!N65</f>
        <v>0</v>
      </c>
      <c r="E95" s="14">
        <f ca="1">'Analysis backend'!P65</f>
        <v>0</v>
      </c>
    </row>
    <row r="96" spans="1:5" x14ac:dyDescent="0.3">
      <c r="A96" s="15" t="str">
        <f>'Analysis backend'!M68</f>
        <v>Weaver</v>
      </c>
      <c r="B96" s="18">
        <f ca="1">'Analysis backend'!Q68</f>
        <v>1</v>
      </c>
      <c r="C96" s="14">
        <f ca="1">'Analysis backend'!S68</f>
        <v>1</v>
      </c>
      <c r="D96" s="18">
        <f ca="1">'Analysis backend'!N68</f>
        <v>0</v>
      </c>
      <c r="E96" s="14">
        <f ca="1">'Analysis backend'!P68</f>
        <v>0</v>
      </c>
    </row>
    <row r="97" spans="1:5" x14ac:dyDescent="0.3">
      <c r="A97" s="15" t="str">
        <f>'Analysis backend'!M49</f>
        <v>Phantom Assassin</v>
      </c>
      <c r="B97" s="18">
        <f ca="1">'Analysis backend'!Q49</f>
        <v>0</v>
      </c>
      <c r="C97" s="14">
        <f ca="1">'Analysis backend'!S49</f>
        <v>0</v>
      </c>
      <c r="D97" s="18">
        <f ca="1">'Analysis backend'!N49</f>
        <v>137</v>
      </c>
      <c r="E97" s="14">
        <f ca="1">'Analysis backend'!P49</f>
        <v>0.56934306569343063</v>
      </c>
    </row>
    <row r="98" spans="1:5" x14ac:dyDescent="0.3">
      <c r="A98" s="15" t="str">
        <f>'Analysis backend'!M76</f>
        <v>Spirit Breaker</v>
      </c>
      <c r="B98" s="18">
        <f ca="1">'Analysis backend'!Q76</f>
        <v>0</v>
      </c>
      <c r="C98" s="14">
        <f ca="1">'Analysis backend'!S76</f>
        <v>0</v>
      </c>
      <c r="D98" s="18">
        <f ca="1">'Analysis backend'!N76</f>
        <v>6</v>
      </c>
      <c r="E98" s="14">
        <f ca="1">'Analysis backend'!P76</f>
        <v>0.83333333333333337</v>
      </c>
    </row>
    <row r="99" spans="1:5" x14ac:dyDescent="0.3">
      <c r="A99" s="15" t="str">
        <f>'Analysis backend'!M20</f>
        <v>Razor</v>
      </c>
      <c r="B99" s="18">
        <f ca="1">'Analysis backend'!Q20</f>
        <v>0</v>
      </c>
      <c r="C99" s="14">
        <f ca="1">'Analysis backend'!S20</f>
        <v>0</v>
      </c>
      <c r="D99" s="18">
        <f ca="1">'Analysis backend'!N20</f>
        <v>1</v>
      </c>
      <c r="E99" s="14">
        <f ca="1">'Analysis backend'!P20</f>
        <v>0</v>
      </c>
    </row>
    <row r="100" spans="1:5" x14ac:dyDescent="0.3">
      <c r="A100" s="15" t="str">
        <f>'Analysis backend'!M93</f>
        <v>Nyx Assassin</v>
      </c>
      <c r="B100" s="18">
        <f ca="1">'Analysis backend'!Q93</f>
        <v>0</v>
      </c>
      <c r="C100" s="14">
        <f ca="1">'Analysis backend'!S93</f>
        <v>0</v>
      </c>
      <c r="D100" s="18">
        <f ca="1">'Analysis backend'!N93</f>
        <v>6</v>
      </c>
      <c r="E100" s="14">
        <f ca="1">'Analysis backend'!P93</f>
        <v>0.5</v>
      </c>
    </row>
    <row r="101" spans="1:5" x14ac:dyDescent="0.3">
      <c r="A101" s="15" t="str">
        <f>'Analysis backend'!M51</f>
        <v>Templar Assassin</v>
      </c>
      <c r="B101" s="18">
        <f ca="1">'Analysis backend'!Q51</f>
        <v>0</v>
      </c>
      <c r="C101" s="14">
        <f ca="1">'Analysis backend'!S51</f>
        <v>0</v>
      </c>
      <c r="D101" s="18">
        <f ca="1">'Analysis backend'!N51</f>
        <v>3</v>
      </c>
      <c r="E101" s="14">
        <f ca="1">'Analysis backend'!P51</f>
        <v>0.33333333333333331</v>
      </c>
    </row>
    <row r="102" spans="1:5" x14ac:dyDescent="0.3">
      <c r="A102" s="15" t="str">
        <f>'Analysis backend'!M62</f>
        <v>Omniknight</v>
      </c>
      <c r="B102" s="18">
        <f ca="1">'Analysis backend'!Q62</f>
        <v>0</v>
      </c>
      <c r="C102" s="14">
        <f ca="1">'Analysis backend'!S62</f>
        <v>0</v>
      </c>
      <c r="D102" s="18">
        <f ca="1">'Analysis backend'!N62</f>
        <v>3</v>
      </c>
      <c r="E102" s="14">
        <f ca="1">'Analysis backend'!P62</f>
        <v>0.33333333333333331</v>
      </c>
    </row>
    <row r="103" spans="1:5" x14ac:dyDescent="0.3">
      <c r="A103" s="15" t="str">
        <f>'Analysis backend'!M71</f>
        <v>Chen</v>
      </c>
      <c r="B103" s="18">
        <f ca="1">'Analysis backend'!Q71</f>
        <v>0</v>
      </c>
      <c r="C103" s="14">
        <f ca="1">'Analysis backend'!S71</f>
        <v>0</v>
      </c>
      <c r="D103" s="18">
        <f ca="1">'Analysis backend'!N71</f>
        <v>5</v>
      </c>
      <c r="E103" s="14">
        <f ca="1">'Analysis backend'!P71</f>
        <v>0.8</v>
      </c>
    </row>
    <row r="104" spans="1:5" x14ac:dyDescent="0.3">
      <c r="A104" s="15" t="str">
        <f>'Analysis backend'!M109</f>
        <v>Legion Commander</v>
      </c>
      <c r="B104" s="18">
        <f ca="1">'Analysis backend'!Q109</f>
        <v>0</v>
      </c>
      <c r="C104" s="14">
        <f ca="1">'Analysis backend'!S109</f>
        <v>0</v>
      </c>
      <c r="D104" s="18">
        <f ca="1">'Analysis backend'!N109</f>
        <v>3</v>
      </c>
      <c r="E104" s="14">
        <f ca="1">'Analysis backend'!P109</f>
        <v>0.33333333333333331</v>
      </c>
    </row>
    <row r="105" spans="1:5" x14ac:dyDescent="0.3">
      <c r="A105" s="15" t="str">
        <f>'Analysis backend'!M118</f>
        <v>Arc Warden</v>
      </c>
      <c r="B105" s="18">
        <f ca="1">'Analysis backend'!Q118</f>
        <v>0</v>
      </c>
      <c r="C105" s="14">
        <f ca="1">'Analysis backend'!S118</f>
        <v>0</v>
      </c>
      <c r="D105" s="18">
        <f ca="1">'Analysis backend'!N118</f>
        <v>2</v>
      </c>
      <c r="E105" s="14">
        <f ca="1">'Analysis backend'!P118</f>
        <v>0.5</v>
      </c>
    </row>
    <row r="106" spans="1:5" x14ac:dyDescent="0.3">
      <c r="A106" s="15" t="str">
        <f>'Analysis backend'!M42</f>
        <v>Warlock</v>
      </c>
      <c r="B106" s="18">
        <f ca="1">'Analysis backend'!Q42</f>
        <v>0</v>
      </c>
      <c r="C106" s="14">
        <f ca="1">'Analysis backend'!S42</f>
        <v>0</v>
      </c>
      <c r="D106" s="18">
        <f ca="1">'Analysis backend'!N42</f>
        <v>2</v>
      </c>
      <c r="E106" s="14">
        <f ca="1">'Analysis backend'!P42</f>
        <v>0.5</v>
      </c>
    </row>
    <row r="107" spans="1:5" x14ac:dyDescent="0.3">
      <c r="A107" s="15" t="str">
        <f>'Analysis backend'!M78</f>
        <v>Alchemist</v>
      </c>
      <c r="B107" s="18">
        <f ca="1">'Analysis backend'!Q78</f>
        <v>0</v>
      </c>
      <c r="C107" s="14">
        <f ca="1">'Analysis backend'!S78</f>
        <v>0</v>
      </c>
      <c r="D107" s="18">
        <f ca="1">'Analysis backend'!N78</f>
        <v>0</v>
      </c>
      <c r="E107" s="14">
        <f ca="1">'Analysis backend'!P78</f>
        <v>0</v>
      </c>
    </row>
    <row r="108" spans="1:5" x14ac:dyDescent="0.3">
      <c r="A108" s="15" t="str">
        <f>'Analysis backend'!M86</f>
        <v>Chaos Knight</v>
      </c>
      <c r="B108" s="18">
        <f ca="1">'Analysis backend'!Q86</f>
        <v>0</v>
      </c>
      <c r="C108" s="14">
        <f ca="1">'Analysis backend'!S86</f>
        <v>0</v>
      </c>
      <c r="D108" s="18">
        <f ca="1">'Analysis backend'!N86</f>
        <v>1</v>
      </c>
      <c r="E108" s="14">
        <f ca="1">'Analysis backend'!P86</f>
        <v>1</v>
      </c>
    </row>
    <row r="109" spans="1:5" x14ac:dyDescent="0.3">
      <c r="A109" s="15" t="str">
        <f>'Analysis backend'!M107</f>
        <v>Abaddon</v>
      </c>
      <c r="B109" s="18">
        <f ca="1">'Analysis backend'!Q107</f>
        <v>0</v>
      </c>
      <c r="C109" s="14">
        <f ca="1">'Analysis backend'!S107</f>
        <v>0</v>
      </c>
      <c r="D109" s="18">
        <f ca="1">'Analysis backend'!N107</f>
        <v>0</v>
      </c>
      <c r="E109" s="14">
        <f ca="1">'Analysis backend'!P107</f>
        <v>0</v>
      </c>
    </row>
    <row r="110" spans="1:5" x14ac:dyDescent="0.3">
      <c r="A110" s="15" t="str">
        <f>'Analysis backend'!M110</f>
        <v>Techies</v>
      </c>
      <c r="B110" s="18">
        <f ca="1">'Analysis backend'!Q110</f>
        <v>0</v>
      </c>
      <c r="C110" s="14">
        <f ca="1">'Analysis backend'!S110</f>
        <v>0</v>
      </c>
      <c r="D110" s="18">
        <f ca="1">'Analysis backend'!N110</f>
        <v>2</v>
      </c>
      <c r="E110" s="14">
        <f ca="1">'Analysis backend'!P110</f>
        <v>0</v>
      </c>
    </row>
    <row r="111" spans="1:5" x14ac:dyDescent="0.3">
      <c r="A111" s="15" t="str">
        <f>'Analysis backend'!M10</f>
        <v>Crystal Maiden</v>
      </c>
      <c r="B111" s="18">
        <f ca="1">'Analysis backend'!Q10</f>
        <v>0</v>
      </c>
      <c r="C111" s="14">
        <f ca="1">'Analysis backend'!S10</f>
        <v>0</v>
      </c>
      <c r="D111" s="18">
        <f ca="1">'Analysis backend'!N10</f>
        <v>1</v>
      </c>
      <c r="E111" s="14">
        <f ca="1">'Analysis backend'!P10</f>
        <v>1</v>
      </c>
    </row>
    <row r="112" spans="1:5" x14ac:dyDescent="0.3">
      <c r="A112" s="15" t="str">
        <f>'Analysis backend'!M22</f>
        <v>Storm Spirit</v>
      </c>
      <c r="B112" s="18">
        <f ca="1">'Analysis backend'!Q22</f>
        <v>0</v>
      </c>
      <c r="C112" s="14">
        <f ca="1">'Analysis backend'!S22</f>
        <v>0</v>
      </c>
      <c r="D112" s="18">
        <f ca="1">'Analysis backend'!N22</f>
        <v>0</v>
      </c>
      <c r="E112" s="14">
        <f ca="1">'Analysis backend'!P22</f>
        <v>0</v>
      </c>
    </row>
    <row r="113" spans="1:5" x14ac:dyDescent="0.3">
      <c r="A113" s="15" t="str">
        <f>'Analysis backend'!M25</f>
        <v>Vengeful Spirit</v>
      </c>
      <c r="B113" s="18">
        <f ca="1">'Analysis backend'!Q25</f>
        <v>0</v>
      </c>
      <c r="C113" s="14">
        <f ca="1">'Analysis backend'!S25</f>
        <v>0</v>
      </c>
      <c r="D113" s="18">
        <f ca="1">'Analysis backend'!N25</f>
        <v>0</v>
      </c>
      <c r="E113" s="14">
        <f ca="1">'Analysis backend'!P25</f>
        <v>0</v>
      </c>
    </row>
    <row r="114" spans="1:5" x14ac:dyDescent="0.3">
      <c r="A114" s="15" t="e">
        <f>'Analysis backend'!M29</f>
        <v>#N/A</v>
      </c>
      <c r="B114" s="18">
        <f ca="1">'Analysis backend'!Q29</f>
        <v>0</v>
      </c>
      <c r="C114" s="14">
        <f ca="1">'Analysis backend'!S29</f>
        <v>0</v>
      </c>
      <c r="D114" s="18">
        <f ca="1">'Analysis backend'!N29</f>
        <v>0</v>
      </c>
      <c r="E114" s="14">
        <f ca="1">'Analysis backend'!P29</f>
        <v>0</v>
      </c>
    </row>
    <row r="115" spans="1:5" x14ac:dyDescent="0.3">
      <c r="A115" s="15" t="str">
        <f>'Analysis backend'!M37</f>
        <v>Riki</v>
      </c>
      <c r="B115" s="18">
        <f ca="1">'Analysis backend'!Q37</f>
        <v>0</v>
      </c>
      <c r="C115" s="14">
        <f ca="1">'Analysis backend'!S37</f>
        <v>0</v>
      </c>
      <c r="D115" s="18">
        <f ca="1">'Analysis backend'!N37</f>
        <v>1</v>
      </c>
      <c r="E115" s="14">
        <f ca="1">'Analysis backend'!P37</f>
        <v>0</v>
      </c>
    </row>
    <row r="116" spans="1:5" x14ac:dyDescent="0.3">
      <c r="A116" s="15" t="str">
        <f>'Analysis backend'!M47</f>
        <v>Wraith King</v>
      </c>
      <c r="B116" s="18">
        <f ca="1">'Analysis backend'!Q47</f>
        <v>0</v>
      </c>
      <c r="C116" s="14">
        <f ca="1">'Analysis backend'!S47</f>
        <v>0</v>
      </c>
      <c r="D116" s="18">
        <f ca="1">'Analysis backend'!N47</f>
        <v>0</v>
      </c>
      <c r="E116" s="14">
        <f ca="1">'Analysis backend'!P47</f>
        <v>0</v>
      </c>
    </row>
    <row r="117" spans="1:5" x14ac:dyDescent="0.3">
      <c r="A117" s="15" t="str">
        <f>'Analysis backend'!M48</f>
        <v>Death Prophet</v>
      </c>
      <c r="B117" s="18">
        <f ca="1">'Analysis backend'!Q48</f>
        <v>0</v>
      </c>
      <c r="C117" s="14">
        <f ca="1">'Analysis backend'!S48</f>
        <v>0</v>
      </c>
      <c r="D117" s="18">
        <f ca="1">'Analysis backend'!N48</f>
        <v>0</v>
      </c>
      <c r="E117" s="14">
        <f ca="1">'Analysis backend'!P48</f>
        <v>0</v>
      </c>
    </row>
    <row r="118" spans="1:5" x14ac:dyDescent="0.3">
      <c r="A118" s="15" t="str">
        <f>'Analysis backend'!M52</f>
        <v>Viper</v>
      </c>
      <c r="B118" s="18">
        <f ca="1">'Analysis backend'!Q52</f>
        <v>0</v>
      </c>
      <c r="C118" s="14">
        <f ca="1">'Analysis backend'!S52</f>
        <v>0</v>
      </c>
      <c r="D118" s="18">
        <f ca="1">'Analysis backend'!N52</f>
        <v>1</v>
      </c>
      <c r="E118" s="14">
        <f ca="1">'Analysis backend'!P52</f>
        <v>0</v>
      </c>
    </row>
    <row r="119" spans="1:5" x14ac:dyDescent="0.3">
      <c r="A119" s="15" t="str">
        <f>'Analysis backend'!M57</f>
        <v>Leshrac</v>
      </c>
      <c r="B119" s="18">
        <f ca="1">'Analysis backend'!Q57</f>
        <v>0</v>
      </c>
      <c r="C119" s="14">
        <f ca="1">'Analysis backend'!S57</f>
        <v>0</v>
      </c>
      <c r="D119" s="18">
        <f ca="1">'Analysis backend'!N57</f>
        <v>0</v>
      </c>
      <c r="E119" s="14">
        <f ca="1">'Analysis backend'!P57</f>
        <v>0</v>
      </c>
    </row>
    <row r="120" spans="1:5" x14ac:dyDescent="0.3">
      <c r="A120" s="15" t="str">
        <f>'Analysis backend'!M63</f>
        <v>Enchantress</v>
      </c>
      <c r="B120" s="18">
        <f ca="1">'Analysis backend'!Q63</f>
        <v>0</v>
      </c>
      <c r="C120" s="14">
        <f ca="1">'Analysis backend'!S63</f>
        <v>0</v>
      </c>
      <c r="D120" s="18">
        <f ca="1">'Analysis backend'!N63</f>
        <v>0</v>
      </c>
      <c r="E120" s="14">
        <f ca="1">'Analysis backend'!P63</f>
        <v>0</v>
      </c>
    </row>
    <row r="121" spans="1:5" x14ac:dyDescent="0.3">
      <c r="A121" s="15" t="str">
        <f>'Analysis backend'!M75</f>
        <v>Ursa</v>
      </c>
      <c r="B121" s="18">
        <f ca="1">'Analysis backend'!Q75</f>
        <v>0</v>
      </c>
      <c r="C121" s="14">
        <f ca="1">'Analysis backend'!S75</f>
        <v>0</v>
      </c>
      <c r="D121" s="18">
        <f ca="1">'Analysis backend'!N75</f>
        <v>1</v>
      </c>
      <c r="E121" s="14">
        <f ca="1">'Analysis backend'!P75</f>
        <v>1</v>
      </c>
    </row>
    <row r="122" spans="1:5" x14ac:dyDescent="0.3">
      <c r="A122" s="15" t="str">
        <f>'Analysis backend'!M104</f>
        <v>Bristleback</v>
      </c>
      <c r="B122" s="18">
        <f ca="1">'Analysis backend'!Q104</f>
        <v>0</v>
      </c>
      <c r="C122" s="14">
        <f ca="1">'Analysis backend'!S104</f>
        <v>0</v>
      </c>
      <c r="D122" s="18">
        <f ca="1">'Analysis backend'!N104</f>
        <v>0</v>
      </c>
      <c r="E122" s="14">
        <f ca="1">'Analysis backend'!P104</f>
        <v>0</v>
      </c>
    </row>
    <row r="123" spans="1:5" x14ac:dyDescent="0.3">
      <c r="A123" s="15" t="e">
        <f>'Analysis backend'!M120</f>
        <v>#N/A</v>
      </c>
      <c r="B123" s="18">
        <f ca="1">'Analysis backend'!Q120</f>
        <v>0</v>
      </c>
      <c r="C123" s="14">
        <f ca="1">'Analysis backend'!S120</f>
        <v>0</v>
      </c>
      <c r="D123" s="18">
        <f ca="1">'Analysis backend'!N120</f>
        <v>0</v>
      </c>
      <c r="E123" s="14">
        <f ca="1">'Analysis backend'!P120</f>
        <v>0</v>
      </c>
    </row>
    <row r="124" spans="1:5" x14ac:dyDescent="0.3">
      <c r="A124" s="15" t="e">
        <f>'Analysis backend'!M121</f>
        <v>#N/A</v>
      </c>
      <c r="B124" s="18">
        <f ca="1">'Analysis backend'!Q121</f>
        <v>0</v>
      </c>
      <c r="C124" s="14">
        <f ca="1">'Analysis backend'!S121</f>
        <v>0</v>
      </c>
      <c r="D124" s="18">
        <f ca="1">'Analysis backend'!N121</f>
        <v>0</v>
      </c>
      <c r="E124" s="14">
        <f ca="1">'Analysis backend'!P121</f>
        <v>0</v>
      </c>
    </row>
    <row r="125" spans="1:5" x14ac:dyDescent="0.3">
      <c r="A125" s="15" t="e">
        <f>'Analysis backend'!M122</f>
        <v>#N/A</v>
      </c>
      <c r="B125" s="18">
        <f ca="1">'Analysis backend'!Q122</f>
        <v>0</v>
      </c>
      <c r="C125" s="14">
        <f ca="1">'Analysis backend'!S122</f>
        <v>0</v>
      </c>
      <c r="D125" s="18">
        <f ca="1">'Analysis backend'!N122</f>
        <v>0</v>
      </c>
      <c r="E125" s="14">
        <f ca="1">'Analysis backend'!P122</f>
        <v>0</v>
      </c>
    </row>
    <row r="126" spans="1:5" x14ac:dyDescent="0.3">
      <c r="A126" s="15" t="e">
        <f>'Analysis backend'!M123</f>
        <v>#N/A</v>
      </c>
      <c r="B126" s="18">
        <f ca="1">'Analysis backend'!Q123</f>
        <v>0</v>
      </c>
      <c r="C126" s="14">
        <f ca="1">'Analysis backend'!S123</f>
        <v>0</v>
      </c>
      <c r="D126" s="18">
        <f ca="1">'Analysis backend'!N123</f>
        <v>0</v>
      </c>
      <c r="E126" s="14">
        <f ca="1">'Analysis backend'!P123</f>
        <v>0</v>
      </c>
    </row>
    <row r="127" spans="1:5" x14ac:dyDescent="0.3">
      <c r="A127" s="15" t="e">
        <f>'Analysis backend'!M127</f>
        <v>#N/A</v>
      </c>
      <c r="B127" s="18">
        <f ca="1">'Analysis backend'!Q127</f>
        <v>0</v>
      </c>
      <c r="C127" s="14">
        <f ca="1">'Analysis backend'!S127</f>
        <v>0</v>
      </c>
      <c r="D127" s="18">
        <f ca="1">'Analysis backend'!N127</f>
        <v>0</v>
      </c>
      <c r="E127" s="14">
        <f ca="1">'Analysis backend'!P127</f>
        <v>0</v>
      </c>
    </row>
    <row r="128" spans="1:5" x14ac:dyDescent="0.3">
      <c r="A128" s="15" t="e">
        <f>'Analysis backend'!M128</f>
        <v>#N/A</v>
      </c>
      <c r="B128" s="18">
        <f ca="1">'Analysis backend'!Q128</f>
        <v>0</v>
      </c>
      <c r="C128" s="14">
        <f ca="1">'Analysis backend'!S128</f>
        <v>0</v>
      </c>
      <c r="D128" s="18">
        <f ca="1">'Analysis backend'!N128</f>
        <v>0</v>
      </c>
      <c r="E128" s="14">
        <f ca="1">'Analysis backend'!P128</f>
        <v>0</v>
      </c>
    </row>
    <row r="129" spans="1:5" x14ac:dyDescent="0.3">
      <c r="A129" s="15" t="e">
        <f>'Analysis backend'!M129</f>
        <v>#N/A</v>
      </c>
      <c r="B129" s="18">
        <f ca="1">'Analysis backend'!Q129</f>
        <v>0</v>
      </c>
      <c r="C129" s="14">
        <f ca="1">'Analysis backend'!S129</f>
        <v>0</v>
      </c>
      <c r="D129" s="18">
        <f ca="1">'Analysis backend'!N129</f>
        <v>0</v>
      </c>
      <c r="E129" s="14">
        <f ca="1">'Analysis backend'!P129</f>
        <v>0</v>
      </c>
    </row>
    <row r="130" spans="1:5" x14ac:dyDescent="0.3">
      <c r="A130" s="15" t="e">
        <f>'Analysis backend'!M130</f>
        <v>#N/A</v>
      </c>
      <c r="B130" s="18">
        <f ca="1">'Analysis backend'!Q130</f>
        <v>0</v>
      </c>
      <c r="C130" s="14">
        <f ca="1">'Analysis backend'!S130</f>
        <v>0</v>
      </c>
      <c r="D130" s="18">
        <f ca="1">'Analysis backend'!N130</f>
        <v>0</v>
      </c>
      <c r="E130" s="14">
        <f ca="1">'Analysis backend'!P130</f>
        <v>0</v>
      </c>
    </row>
    <row r="131" spans="1:5" x14ac:dyDescent="0.3">
      <c r="A131" s="15" t="e">
        <f>'Analysis backend'!M131</f>
        <v>#N/A</v>
      </c>
      <c r="B131" s="18">
        <f ca="1">'Analysis backend'!Q131</f>
        <v>0</v>
      </c>
      <c r="C131" s="14">
        <f ca="1">'Analysis backend'!S131</f>
        <v>0</v>
      </c>
      <c r="D131" s="18">
        <f ca="1">'Analysis backend'!N131</f>
        <v>0</v>
      </c>
      <c r="E131" s="14">
        <f ca="1">'Analysis backend'!P131</f>
        <v>0</v>
      </c>
    </row>
  </sheetData>
  <autoFilter ref="A5:E131">
    <sortState ref="A6:E131">
      <sortCondition descending="1" ref="B5:B131"/>
    </sortState>
  </autoFilter>
  <mergeCells count="2">
    <mergeCell ref="B1:C1"/>
    <mergeCell ref="B2:C2"/>
  </mergeCells>
  <conditionalFormatting sqref="C6:C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'Analysis backend'!$Z$5:$Z$120</xm:f>
          </x14:formula1>
          <xm:sqref>B1:C1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31"/>
  <sheetViews>
    <sheetView topLeftCell="A106" workbookViewId="0">
      <selection activeCell="A4" sqref="A4:E131"/>
    </sheetView>
  </sheetViews>
  <sheetFormatPr defaultRowHeight="14.4" x14ac:dyDescent="0.3"/>
  <cols>
    <col min="1" max="1" width="18.21875" bestFit="1" customWidth="1"/>
    <col min="2" max="2" width="10.21875" customWidth="1"/>
    <col min="3" max="3" width="12.6640625" customWidth="1"/>
    <col min="4" max="4" width="18.5546875" customWidth="1"/>
    <col min="5" max="5" width="9.44140625" customWidth="1"/>
  </cols>
  <sheetData>
    <row r="1" spans="1:5" x14ac:dyDescent="0.3">
      <c r="A1" t="s">
        <v>386</v>
      </c>
      <c r="B1">
        <f ca="1">'Analysis backend'!B2</f>
        <v>275</v>
      </c>
    </row>
    <row r="2" spans="1:5" x14ac:dyDescent="0.3">
      <c r="A2" t="s">
        <v>387</v>
      </c>
      <c r="B2">
        <f ca="1">'Analysis backend'!B3</f>
        <v>6913.9454545454546</v>
      </c>
    </row>
    <row r="4" spans="1:5" ht="19.8" customHeight="1" x14ac:dyDescent="0.3">
      <c r="A4" s="17" t="str">
        <f ca="1">"Stats for "&amp;TEXT(B1,"0")&amp;" games played on "&amp;TEXT(TODAY(),"mm/dd/yyyy")&amp;" with an average MMR of " &amp;TEXT(B2,"0")</f>
        <v>Stats for 275 games played on 12/05/2018 with an average MMR of 6914</v>
      </c>
      <c r="B4" s="16"/>
      <c r="C4" s="16"/>
      <c r="D4" s="16"/>
      <c r="E4" s="16"/>
    </row>
    <row r="5" spans="1:5" ht="15" customHeight="1" x14ac:dyDescent="0.3">
      <c r="A5" s="12" t="s">
        <v>20</v>
      </c>
      <c r="B5" s="13" t="s">
        <v>380</v>
      </c>
      <c r="C5" s="13" t="s">
        <v>381</v>
      </c>
      <c r="D5" s="13" t="s">
        <v>383</v>
      </c>
      <c r="E5" s="13" t="s">
        <v>382</v>
      </c>
    </row>
    <row r="6" spans="1:5" ht="15" customHeight="1" x14ac:dyDescent="0.3">
      <c r="A6" s="15" t="str">
        <f>'Analysis backend'!B48</f>
        <v>Phantom Assassin</v>
      </c>
      <c r="B6" s="14">
        <f ca="1">'Analysis backend'!C48/'Analysis backend'!$B$2</f>
        <v>0.49818181818181817</v>
      </c>
      <c r="C6" s="14">
        <f ca="1">'Analysis backend'!D48/'Analysis backend'!$B$2</f>
        <v>0.3927272727272727</v>
      </c>
      <c r="D6" s="14">
        <f ca="1">'Analysis backend'!E48/'Analysis backend'!$B$2</f>
        <v>0.89090909090909087</v>
      </c>
      <c r="E6" s="14">
        <f ca="1">IF(B6=0,0,'Analysis backend'!F48/'Analysis backend'!C48)</f>
        <v>0.56934306569343063</v>
      </c>
    </row>
    <row r="7" spans="1:5" ht="15" customHeight="1" x14ac:dyDescent="0.3">
      <c r="A7" s="15" t="str">
        <f>'Analysis backend'!B101</f>
        <v>Magnus</v>
      </c>
      <c r="B7" s="14">
        <f ca="1">'Analysis backend'!C101/'Analysis backend'!$B$2</f>
        <v>0.50181818181818183</v>
      </c>
      <c r="C7" s="14">
        <f ca="1">'Analysis backend'!D101/'Analysis backend'!$B$2</f>
        <v>0.35272727272727272</v>
      </c>
      <c r="D7" s="14">
        <f ca="1">'Analysis backend'!E101/'Analysis backend'!$B$2</f>
        <v>0.8545454545454545</v>
      </c>
      <c r="E7" s="14">
        <f ca="1">IF(B7=0,0,'Analysis backend'!F101/'Analysis backend'!C101)</f>
        <v>0.63043478260869568</v>
      </c>
    </row>
    <row r="8" spans="1:5" ht="15" customHeight="1" x14ac:dyDescent="0.3">
      <c r="A8" s="15" t="str">
        <f>'Analysis backend'!B54</f>
        <v>Dazzle</v>
      </c>
      <c r="B8" s="14">
        <f ca="1">'Analysis backend'!C54/'Analysis backend'!$B$2</f>
        <v>0.44727272727272727</v>
      </c>
      <c r="C8" s="14">
        <f ca="1">'Analysis backend'!D54/'Analysis backend'!$B$2</f>
        <v>6.9090909090909092E-2</v>
      </c>
      <c r="D8" s="14">
        <f ca="1">'Analysis backend'!E54/'Analysis backend'!$B$2</f>
        <v>0.51636363636363636</v>
      </c>
      <c r="E8" s="14">
        <f ca="1">IF(B8=0,0,'Analysis backend'!F54/'Analysis backend'!C54)</f>
        <v>0.49593495934959347</v>
      </c>
    </row>
    <row r="9" spans="1:5" ht="15" customHeight="1" x14ac:dyDescent="0.3">
      <c r="A9" s="15" t="str">
        <f>'Analysis backend'!B90</f>
        <v>Rubick</v>
      </c>
      <c r="B9" s="14">
        <f ca="1">'Analysis backend'!C90/'Analysis backend'!$B$2</f>
        <v>0.46909090909090911</v>
      </c>
      <c r="C9" s="14">
        <f ca="1">'Analysis backend'!D90/'Analysis backend'!$B$2</f>
        <v>1.8181818181818181E-2</v>
      </c>
      <c r="D9" s="14">
        <f ca="1">'Analysis backend'!E90/'Analysis backend'!$B$2</f>
        <v>0.48727272727272725</v>
      </c>
      <c r="E9" s="14">
        <f ca="1">IF(B9=0,0,'Analysis backend'!F90/'Analysis backend'!C90)</f>
        <v>0.43410852713178294</v>
      </c>
    </row>
    <row r="10" spans="1:5" ht="15" customHeight="1" x14ac:dyDescent="0.3">
      <c r="A10" s="15" t="str">
        <f>'Analysis backend'!B125</f>
        <v>Grimstroke</v>
      </c>
      <c r="B10" s="14">
        <f ca="1">'Analysis backend'!C125/'Analysis backend'!$B$2</f>
        <v>0.33090909090909093</v>
      </c>
      <c r="C10" s="14">
        <f ca="1">'Analysis backend'!D125/'Analysis backend'!$B$2</f>
        <v>4.7272727272727272E-2</v>
      </c>
      <c r="D10" s="14">
        <f ca="1">'Analysis backend'!E125/'Analysis backend'!$B$2</f>
        <v>0.37818181818181817</v>
      </c>
      <c r="E10" s="14">
        <f ca="1">IF(B10=0,0,'Analysis backend'!F125/'Analysis backend'!C125)</f>
        <v>0.5714285714285714</v>
      </c>
    </row>
    <row r="11" spans="1:5" ht="15" customHeight="1" x14ac:dyDescent="0.3">
      <c r="A11" s="15" t="str">
        <f>'Analysis backend'!B97</f>
        <v>Slark</v>
      </c>
      <c r="B11" s="14">
        <f ca="1">'Analysis backend'!C97/'Analysis backend'!$B$2</f>
        <v>0.26181818181818184</v>
      </c>
      <c r="C11" s="14">
        <f ca="1">'Analysis backend'!D97/'Analysis backend'!$B$2</f>
        <v>0.11272727272727273</v>
      </c>
      <c r="D11" s="14">
        <f ca="1">'Analysis backend'!E97/'Analysis backend'!$B$2</f>
        <v>0.37454545454545457</v>
      </c>
      <c r="E11" s="14">
        <f ca="1">IF(B11=0,0,'Analysis backend'!F97/'Analysis backend'!C97)</f>
        <v>0.45833333333333331</v>
      </c>
    </row>
    <row r="12" spans="1:5" ht="15" customHeight="1" x14ac:dyDescent="0.3">
      <c r="A12" s="15" t="str">
        <f>'Analysis backend'!B80</f>
        <v>Outworld Devourer</v>
      </c>
      <c r="B12" s="14">
        <f ca="1">'Analysis backend'!C80/'Analysis backend'!$B$2</f>
        <v>0.27636363636363637</v>
      </c>
      <c r="C12" s="14">
        <f ca="1">'Analysis backend'!D80/'Analysis backend'!$B$2</f>
        <v>5.8181818181818182E-2</v>
      </c>
      <c r="D12" s="14">
        <f ca="1">'Analysis backend'!E80/'Analysis backend'!$B$2</f>
        <v>0.33454545454545453</v>
      </c>
      <c r="E12" s="14">
        <f ca="1">IF(B12=0,0,'Analysis backend'!F80/'Analysis backend'!C80)</f>
        <v>0.5</v>
      </c>
    </row>
    <row r="13" spans="1:5" ht="15" customHeight="1" x14ac:dyDescent="0.3">
      <c r="A13" s="15" t="str">
        <f>'Analysis backend'!B5</f>
        <v>Anti-Mage</v>
      </c>
      <c r="B13" s="14">
        <f ca="1">'Analysis backend'!C5/'Analysis backend'!$B$2</f>
        <v>0.25818181818181818</v>
      </c>
      <c r="C13" s="14">
        <f ca="1">'Analysis backend'!D5/'Analysis backend'!$B$2</f>
        <v>5.0909090909090911E-2</v>
      </c>
      <c r="D13" s="14">
        <f ca="1">'Analysis backend'!E5/'Analysis backend'!$B$2</f>
        <v>0.30909090909090908</v>
      </c>
      <c r="E13" s="14">
        <f ca="1">IF(B13=0,0,'Analysis backend'!F5/'Analysis backend'!C5)</f>
        <v>0.59154929577464788</v>
      </c>
    </row>
    <row r="14" spans="1:5" ht="15" customHeight="1" x14ac:dyDescent="0.3">
      <c r="A14" s="15" t="str">
        <f>'Analysis backend'!B35</f>
        <v>Lich</v>
      </c>
      <c r="B14" s="14">
        <f ca="1">'Analysis backend'!C35/'Analysis backend'!$B$2</f>
        <v>0.28727272727272729</v>
      </c>
      <c r="C14" s="14">
        <f ca="1">'Analysis backend'!D35/'Analysis backend'!$B$2</f>
        <v>1.4545454545454545E-2</v>
      </c>
      <c r="D14" s="14">
        <f ca="1">'Analysis backend'!E35/'Analysis backend'!$B$2</f>
        <v>0.30181818181818182</v>
      </c>
      <c r="E14" s="14">
        <f ca="1">IF(B14=0,0,'Analysis backend'!F35/'Analysis backend'!C35)</f>
        <v>0.50632911392405067</v>
      </c>
    </row>
    <row r="15" spans="1:5" ht="15" customHeight="1" x14ac:dyDescent="0.3">
      <c r="A15" s="15" t="str">
        <f>'Analysis backend'!B118</f>
        <v>Monkey King</v>
      </c>
      <c r="B15" s="14">
        <f ca="1">'Analysis backend'!C118/'Analysis backend'!$B$2</f>
        <v>0.22181818181818183</v>
      </c>
      <c r="C15" s="14">
        <f ca="1">'Analysis backend'!D118/'Analysis backend'!$B$2</f>
        <v>5.4545454545454543E-2</v>
      </c>
      <c r="D15" s="14">
        <f ca="1">'Analysis backend'!E118/'Analysis backend'!$B$2</f>
        <v>0.27636363636363637</v>
      </c>
      <c r="E15" s="14">
        <f ca="1">IF(B15=0,0,'Analysis backend'!F118/'Analysis backend'!C118)</f>
        <v>0.50819672131147542</v>
      </c>
    </row>
    <row r="16" spans="1:5" ht="15" customHeight="1" x14ac:dyDescent="0.3">
      <c r="A16" s="15" t="str">
        <f>'Analysis backend'!B20</f>
        <v>Sand King</v>
      </c>
      <c r="B16" s="14">
        <f ca="1">'Analysis backend'!C20/'Analysis backend'!$B$2</f>
        <v>0.21090909090909091</v>
      </c>
      <c r="C16" s="14">
        <f ca="1">'Analysis backend'!D20/'Analysis backend'!$B$2</f>
        <v>2.9090909090909091E-2</v>
      </c>
      <c r="D16" s="14">
        <f ca="1">'Analysis backend'!E20/'Analysis backend'!$B$2</f>
        <v>0.24</v>
      </c>
      <c r="E16" s="14">
        <f ca="1">IF(B16=0,0,'Analysis backend'!F20/'Analysis backend'!C20)</f>
        <v>0.65517241379310343</v>
      </c>
    </row>
    <row r="17" spans="1:5" ht="15" customHeight="1" x14ac:dyDescent="0.3">
      <c r="A17" s="15" t="str">
        <f>'Analysis backend'!B6</f>
        <v>Axe</v>
      </c>
      <c r="B17" s="14">
        <f ca="1">'Analysis backend'!C6/'Analysis backend'!$B$2</f>
        <v>0.16727272727272727</v>
      </c>
      <c r="C17" s="14">
        <f ca="1">'Analysis backend'!D6/'Analysis backend'!$B$2</f>
        <v>7.636363636363637E-2</v>
      </c>
      <c r="D17" s="14">
        <f ca="1">'Analysis backend'!E6/'Analysis backend'!$B$2</f>
        <v>0.24363636363636362</v>
      </c>
      <c r="E17" s="14">
        <f ca="1">IF(B17=0,0,'Analysis backend'!F6/'Analysis backend'!C6)</f>
        <v>0.41304347826086957</v>
      </c>
    </row>
    <row r="18" spans="1:5" ht="15" customHeight="1" x14ac:dyDescent="0.3">
      <c r="A18" s="15" t="str">
        <f>'Analysis backend'!B45</f>
        <v>Faceless Void</v>
      </c>
      <c r="B18" s="14">
        <f ca="1">'Analysis backend'!C45/'Analysis backend'!$B$2</f>
        <v>0.2</v>
      </c>
      <c r="C18" s="14">
        <f ca="1">'Analysis backend'!D45/'Analysis backend'!$B$2</f>
        <v>0.04</v>
      </c>
      <c r="D18" s="14">
        <f ca="1">'Analysis backend'!E45/'Analysis backend'!$B$2</f>
        <v>0.24</v>
      </c>
      <c r="E18" s="14">
        <f ca="1">IF(B18=0,0,'Analysis backend'!F45/'Analysis backend'!C45)</f>
        <v>0.49090909090909091</v>
      </c>
    </row>
    <row r="19" spans="1:5" ht="15" customHeight="1" x14ac:dyDescent="0.3">
      <c r="A19" s="15" t="str">
        <f>'Analysis backend'!B104</f>
        <v>Tusk</v>
      </c>
      <c r="B19" s="14">
        <f ca="1">'Analysis backend'!C104/'Analysis backend'!$B$2</f>
        <v>0.21454545454545454</v>
      </c>
      <c r="C19" s="14">
        <f ca="1">'Analysis backend'!D104/'Analysis backend'!$B$2</f>
        <v>7.2727272727272727E-3</v>
      </c>
      <c r="D19" s="14">
        <f ca="1">'Analysis backend'!E104/'Analysis backend'!$B$2</f>
        <v>0.22181818181818183</v>
      </c>
      <c r="E19" s="14">
        <f ca="1">IF(B19=0,0,'Analysis backend'!F104/'Analysis backend'!C104)</f>
        <v>0.49152542372881358</v>
      </c>
    </row>
    <row r="20" spans="1:5" ht="15" customHeight="1" x14ac:dyDescent="0.3">
      <c r="A20" s="15" t="str">
        <f>'Analysis backend'!B105</f>
        <v>Skywrath Mage</v>
      </c>
      <c r="B20" s="14">
        <f ca="1">'Analysis backend'!C105/'Analysis backend'!$B$2</f>
        <v>0.20363636363636364</v>
      </c>
      <c r="C20" s="14">
        <f ca="1">'Analysis backend'!D105/'Analysis backend'!$B$2</f>
        <v>7.2727272727272727E-3</v>
      </c>
      <c r="D20" s="14">
        <f ca="1">'Analysis backend'!E105/'Analysis backend'!$B$2</f>
        <v>0.21090909090909091</v>
      </c>
      <c r="E20" s="14">
        <f ca="1">IF(B20=0,0,'Analysis backend'!F105/'Analysis backend'!C105)</f>
        <v>0.42857142857142855</v>
      </c>
    </row>
    <row r="21" spans="1:5" ht="15" customHeight="1" x14ac:dyDescent="0.3">
      <c r="A21" s="15" t="str">
        <f>'Analysis backend'!B49</f>
        <v>Pugna</v>
      </c>
      <c r="B21" s="14">
        <f ca="1">'Analysis backend'!C49/'Analysis backend'!$B$2</f>
        <v>0.21090909090909091</v>
      </c>
      <c r="C21" s="14">
        <f ca="1">'Analysis backend'!D49/'Analysis backend'!$B$2</f>
        <v>2.9090909090909091E-2</v>
      </c>
      <c r="D21" s="14">
        <f ca="1">'Analysis backend'!E49/'Analysis backend'!$B$2</f>
        <v>0.24</v>
      </c>
      <c r="E21" s="14">
        <f ca="1">IF(B21=0,0,'Analysis backend'!F49/'Analysis backend'!C49)</f>
        <v>0.56896551724137934</v>
      </c>
    </row>
    <row r="22" spans="1:5" ht="15" customHeight="1" x14ac:dyDescent="0.3">
      <c r="A22" s="15" t="str">
        <f>'Analysis backend'!B115</f>
        <v>Oracle</v>
      </c>
      <c r="B22" s="14">
        <f ca="1">'Analysis backend'!C115/'Analysis backend'!$B$2</f>
        <v>0.18909090909090909</v>
      </c>
      <c r="C22" s="14">
        <f ca="1">'Analysis backend'!D115/'Analysis backend'!$B$2</f>
        <v>1.090909090909091E-2</v>
      </c>
      <c r="D22" s="14">
        <f ca="1">'Analysis backend'!E115/'Analysis backend'!$B$2</f>
        <v>0.2</v>
      </c>
      <c r="E22" s="14">
        <f ca="1">IF(B22=0,0,'Analysis backend'!F115/'Analysis backend'!C115)</f>
        <v>0.57692307692307687</v>
      </c>
    </row>
    <row r="23" spans="1:5" ht="15" customHeight="1" x14ac:dyDescent="0.3">
      <c r="A23" s="15" t="str">
        <f>'Analysis backend'!B82</f>
        <v>Brewmaster</v>
      </c>
      <c r="B23" s="14">
        <f ca="1">'Analysis backend'!C82/'Analysis backend'!$B$2</f>
        <v>0.16727272727272727</v>
      </c>
      <c r="C23" s="14">
        <f ca="1">'Analysis backend'!D82/'Analysis backend'!$B$2</f>
        <v>3.272727272727273E-2</v>
      </c>
      <c r="D23" s="14">
        <f ca="1">'Analysis backend'!E82/'Analysis backend'!$B$2</f>
        <v>0.2</v>
      </c>
      <c r="E23" s="14">
        <f ca="1">IF(B23=0,0,'Analysis backend'!F82/'Analysis backend'!C82)</f>
        <v>0.41304347826086957</v>
      </c>
    </row>
    <row r="24" spans="1:5" ht="15" customHeight="1" x14ac:dyDescent="0.3">
      <c r="A24" s="15" t="str">
        <f>'Analysis backend'!B12</f>
        <v>Juggernaut</v>
      </c>
      <c r="B24" s="14">
        <f ca="1">'Analysis backend'!C12/'Analysis backend'!$B$2</f>
        <v>0.14909090909090908</v>
      </c>
      <c r="C24" s="14">
        <f ca="1">'Analysis backend'!D12/'Analysis backend'!$B$2</f>
        <v>2.181818181818182E-2</v>
      </c>
      <c r="D24" s="14">
        <f ca="1">'Analysis backend'!E12/'Analysis backend'!$B$2</f>
        <v>0.1709090909090909</v>
      </c>
      <c r="E24" s="14">
        <f ca="1">IF(B24=0,0,'Analysis backend'!F12/'Analysis backend'!C12)</f>
        <v>0.43902439024390244</v>
      </c>
    </row>
    <row r="25" spans="1:5" ht="15" customHeight="1" x14ac:dyDescent="0.3">
      <c r="A25" s="15" t="str">
        <f>'Analysis backend'!B86</f>
        <v>Meepo</v>
      </c>
      <c r="B25" s="14">
        <f ca="1">'Analysis backend'!C86/'Analysis backend'!$B$2</f>
        <v>0.04</v>
      </c>
      <c r="C25" s="14">
        <f ca="1">'Analysis backend'!D86/'Analysis backend'!$B$2</f>
        <v>0.12727272727272726</v>
      </c>
      <c r="D25" s="14">
        <f ca="1">'Analysis backend'!E86/'Analysis backend'!$B$2</f>
        <v>0.16727272727272727</v>
      </c>
      <c r="E25" s="14">
        <f ca="1">IF(B25=0,0,'Analysis backend'!F86/'Analysis backend'!C86)</f>
        <v>0.54545454545454541</v>
      </c>
    </row>
    <row r="26" spans="1:5" ht="15" customHeight="1" x14ac:dyDescent="0.3">
      <c r="A26" s="15" t="str">
        <f>'Analysis backend'!B89</f>
        <v>Undying</v>
      </c>
      <c r="B26" s="14">
        <f ca="1">'Analysis backend'!C89/'Analysis backend'!$B$2</f>
        <v>0.12363636363636364</v>
      </c>
      <c r="C26" s="14">
        <f ca="1">'Analysis backend'!D89/'Analysis backend'!$B$2</f>
        <v>1.8181818181818181E-2</v>
      </c>
      <c r="D26" s="14">
        <f ca="1">'Analysis backend'!E89/'Analysis backend'!$B$2</f>
        <v>0.14181818181818182</v>
      </c>
      <c r="E26" s="14">
        <f ca="1">IF(B26=0,0,'Analysis backend'!F89/'Analysis backend'!C89)</f>
        <v>0.55882352941176472</v>
      </c>
    </row>
    <row r="27" spans="1:5" ht="15" customHeight="1" x14ac:dyDescent="0.3">
      <c r="A27" s="15" t="str">
        <f>'Analysis backend'!B42</f>
        <v>Beastmaster</v>
      </c>
      <c r="B27" s="14">
        <f ca="1">'Analysis backend'!C42/'Analysis backend'!$B$2</f>
        <v>0.13818181818181818</v>
      </c>
      <c r="C27" s="14">
        <f ca="1">'Analysis backend'!D42/'Analysis backend'!$B$2</f>
        <v>2.181818181818182E-2</v>
      </c>
      <c r="D27" s="14">
        <f ca="1">'Analysis backend'!E42/'Analysis backend'!$B$2</f>
        <v>0.16</v>
      </c>
      <c r="E27" s="14">
        <f ca="1">IF(B27=0,0,'Analysis backend'!F42/'Analysis backend'!C42)</f>
        <v>0.5</v>
      </c>
    </row>
    <row r="28" spans="1:5" ht="15" customHeight="1" x14ac:dyDescent="0.3">
      <c r="A28" s="15" t="str">
        <f>'Analysis backend'!B30</f>
        <v>Lion</v>
      </c>
      <c r="B28" s="14">
        <f ca="1">'Analysis backend'!C30/'Analysis backend'!$B$2</f>
        <v>0.16727272727272727</v>
      </c>
      <c r="C28" s="14">
        <f ca="1">'Analysis backend'!D30/'Analysis backend'!$B$2</f>
        <v>0</v>
      </c>
      <c r="D28" s="14">
        <f ca="1">'Analysis backend'!E30/'Analysis backend'!$B$2</f>
        <v>0.16727272727272727</v>
      </c>
      <c r="E28" s="14">
        <f ca="1">IF(B28=0,0,'Analysis backend'!F30/'Analysis backend'!C30)</f>
        <v>0.5</v>
      </c>
    </row>
    <row r="29" spans="1:5" ht="15" customHeight="1" x14ac:dyDescent="0.3">
      <c r="A29" s="15" t="str">
        <f>'Analysis backend'!B114</f>
        <v>Phoenix</v>
      </c>
      <c r="B29" s="14">
        <f ca="1">'Analysis backend'!C114/'Analysis backend'!$B$2</f>
        <v>0.12363636363636364</v>
      </c>
      <c r="C29" s="14">
        <f ca="1">'Analysis backend'!D114/'Analysis backend'!$B$2</f>
        <v>1.4545454545454545E-2</v>
      </c>
      <c r="D29" s="14">
        <f ca="1">'Analysis backend'!E114/'Analysis backend'!$B$2</f>
        <v>0.13818181818181818</v>
      </c>
      <c r="E29" s="14">
        <f ca="1">IF(B29=0,0,'Analysis backend'!F114/'Analysis backend'!C114)</f>
        <v>0.35294117647058826</v>
      </c>
    </row>
    <row r="30" spans="1:5" ht="15" customHeight="1" x14ac:dyDescent="0.3">
      <c r="A30" s="15" t="str">
        <f>'Analysis backend'!B84</f>
        <v>Lone Druid</v>
      </c>
      <c r="B30" s="14">
        <f ca="1">'Analysis backend'!C84/'Analysis backend'!$B$2</f>
        <v>7.636363636363637E-2</v>
      </c>
      <c r="C30" s="14">
        <f ca="1">'Analysis backend'!D84/'Analysis backend'!$B$2</f>
        <v>5.4545454545454543E-2</v>
      </c>
      <c r="D30" s="14">
        <f ca="1">'Analysis backend'!E84/'Analysis backend'!$B$2</f>
        <v>0.13090909090909092</v>
      </c>
      <c r="E30" s="14">
        <f ca="1">IF(B30=0,0,'Analysis backend'!F84/'Analysis backend'!C84)</f>
        <v>0.2857142857142857</v>
      </c>
    </row>
    <row r="31" spans="1:5" ht="15" customHeight="1" x14ac:dyDescent="0.3">
      <c r="A31" s="15" t="str">
        <f>'Analysis backend'!B113</f>
        <v>Terrorblade</v>
      </c>
      <c r="B31" s="14">
        <f ca="1">'Analysis backend'!C113/'Analysis backend'!$B$2</f>
        <v>0.12363636363636364</v>
      </c>
      <c r="C31" s="14">
        <f ca="1">'Analysis backend'!D113/'Analysis backend'!$B$2</f>
        <v>1.090909090909091E-2</v>
      </c>
      <c r="D31" s="14">
        <f ca="1">'Analysis backend'!E113/'Analysis backend'!$B$2</f>
        <v>0.13454545454545455</v>
      </c>
      <c r="E31" s="14">
        <f ca="1">IF(B31=0,0,'Analysis backend'!F113/'Analysis backend'!C113)</f>
        <v>0.55882352941176472</v>
      </c>
    </row>
    <row r="32" spans="1:5" ht="15" customHeight="1" x14ac:dyDescent="0.3">
      <c r="A32" s="15" t="str">
        <f>'Analysis backend'!B38</f>
        <v>Tinker</v>
      </c>
      <c r="B32" s="14">
        <f ca="1">'Analysis backend'!C38/'Analysis backend'!$B$2</f>
        <v>6.9090909090909092E-2</v>
      </c>
      <c r="C32" s="14">
        <f ca="1">'Analysis backend'!D38/'Analysis backend'!$B$2</f>
        <v>0.08</v>
      </c>
      <c r="D32" s="14">
        <f ca="1">'Analysis backend'!E38/'Analysis backend'!$B$2</f>
        <v>0.14909090909090908</v>
      </c>
      <c r="E32" s="14">
        <f ca="1">IF(B32=0,0,'Analysis backend'!F38/'Analysis backend'!C38)</f>
        <v>0.31578947368421051</v>
      </c>
    </row>
    <row r="33" spans="1:5" ht="15" customHeight="1" x14ac:dyDescent="0.3">
      <c r="A33" s="15" t="str">
        <f>'Analysis backend'!B95</f>
        <v>Io</v>
      </c>
      <c r="B33" s="14">
        <f ca="1">'Analysis backend'!C95/'Analysis backend'!$B$2</f>
        <v>9.4545454545454544E-2</v>
      </c>
      <c r="C33" s="14">
        <f ca="1">'Analysis backend'!D95/'Analysis backend'!$B$2</f>
        <v>2.181818181818182E-2</v>
      </c>
      <c r="D33" s="14">
        <f ca="1">'Analysis backend'!E95/'Analysis backend'!$B$2</f>
        <v>0.11636363636363636</v>
      </c>
      <c r="E33" s="14">
        <f ca="1">IF(B33=0,0,'Analysis backend'!F95/'Analysis backend'!C95)</f>
        <v>0.34615384615384615</v>
      </c>
    </row>
    <row r="34" spans="1:5" ht="15" customHeight="1" x14ac:dyDescent="0.3">
      <c r="A34" s="15" t="str">
        <f>'Analysis backend'!B10</f>
        <v>Drow Ranger</v>
      </c>
      <c r="B34" s="14">
        <f ca="1">'Analysis backend'!C10/'Analysis backend'!$B$2</f>
        <v>0.11272727272727273</v>
      </c>
      <c r="C34" s="14">
        <f ca="1">'Analysis backend'!D10/'Analysis backend'!$B$2</f>
        <v>2.181818181818182E-2</v>
      </c>
      <c r="D34" s="14">
        <f ca="1">'Analysis backend'!E10/'Analysis backend'!$B$2</f>
        <v>0.13454545454545455</v>
      </c>
      <c r="E34" s="14">
        <f ca="1">IF(B34=0,0,'Analysis backend'!F10/'Analysis backend'!C10)</f>
        <v>0.25806451612903225</v>
      </c>
    </row>
    <row r="35" spans="1:5" ht="15" customHeight="1" x14ac:dyDescent="0.3">
      <c r="A35" s="15" t="str">
        <f>'Analysis backend'!B23</f>
        <v>Tiny</v>
      </c>
      <c r="B35" s="14">
        <f ca="1">'Analysis backend'!C23/'Analysis backend'!$B$2</f>
        <v>0.11636363636363636</v>
      </c>
      <c r="C35" s="14">
        <f ca="1">'Analysis backend'!D23/'Analysis backend'!$B$2</f>
        <v>3.6363636363636364E-3</v>
      </c>
      <c r="D35" s="14">
        <f ca="1">'Analysis backend'!E23/'Analysis backend'!$B$2</f>
        <v>0.12</v>
      </c>
      <c r="E35" s="14">
        <f ca="1">IF(B35=0,0,'Analysis backend'!F23/'Analysis backend'!C23)</f>
        <v>0.40625</v>
      </c>
    </row>
    <row r="36" spans="1:5" ht="15" customHeight="1" x14ac:dyDescent="0.3">
      <c r="A36" s="15" t="str">
        <f>'Analysis backend'!B111</f>
        <v>Earth Spirit</v>
      </c>
      <c r="B36" s="14">
        <f ca="1">'Analysis backend'!C111/'Analysis backend'!$B$2</f>
        <v>0.12</v>
      </c>
      <c r="C36" s="14">
        <f ca="1">'Analysis backend'!D111/'Analysis backend'!$B$2</f>
        <v>0</v>
      </c>
      <c r="D36" s="14">
        <f ca="1">'Analysis backend'!E111/'Analysis backend'!$B$2</f>
        <v>0.12</v>
      </c>
      <c r="E36" s="14">
        <f ca="1">IF(B36=0,0,'Analysis backend'!F111/'Analysis backend'!C111)</f>
        <v>0.51515151515151514</v>
      </c>
    </row>
    <row r="37" spans="1:5" ht="15" customHeight="1" x14ac:dyDescent="0.3">
      <c r="A37" s="15" t="str">
        <f>'Analysis backend'!B14</f>
        <v>Morphling</v>
      </c>
      <c r="B37" s="14">
        <f ca="1">'Analysis backend'!C14/'Analysis backend'!$B$2</f>
        <v>0.10545454545454545</v>
      </c>
      <c r="C37" s="14">
        <f ca="1">'Analysis backend'!D14/'Analysis backend'!$B$2</f>
        <v>2.181818181818182E-2</v>
      </c>
      <c r="D37" s="14">
        <f ca="1">'Analysis backend'!E14/'Analysis backend'!$B$2</f>
        <v>0.12727272727272726</v>
      </c>
      <c r="E37" s="14">
        <f ca="1">IF(B37=0,0,'Analysis backend'!F14/'Analysis backend'!C14)</f>
        <v>0.31034482758620691</v>
      </c>
    </row>
    <row r="38" spans="1:5" ht="15" customHeight="1" x14ac:dyDescent="0.3">
      <c r="A38" s="15" t="str">
        <f>'Analysis backend'!B31</f>
        <v>Shadow Shaman</v>
      </c>
      <c r="B38" s="14">
        <f ca="1">'Analysis backend'!C31/'Analysis backend'!$B$2</f>
        <v>0.11272727272727273</v>
      </c>
      <c r="C38" s="14">
        <f ca="1">'Analysis backend'!D31/'Analysis backend'!$B$2</f>
        <v>0</v>
      </c>
      <c r="D38" s="14">
        <f ca="1">'Analysis backend'!E31/'Analysis backend'!$B$2</f>
        <v>0.11272727272727273</v>
      </c>
      <c r="E38" s="14">
        <f ca="1">IF(B38=0,0,'Analysis backend'!F31/'Analysis backend'!C31)</f>
        <v>0.45161290322580644</v>
      </c>
    </row>
    <row r="39" spans="1:5" ht="15" customHeight="1" x14ac:dyDescent="0.3">
      <c r="A39" s="15" t="str">
        <f>'Analysis backend'!B63</f>
        <v>Huskar</v>
      </c>
      <c r="B39" s="14">
        <f ca="1">'Analysis backend'!C63/'Analysis backend'!$B$2</f>
        <v>6.545454545454546E-2</v>
      </c>
      <c r="C39" s="14">
        <f ca="1">'Analysis backend'!D63/'Analysis backend'!$B$2</f>
        <v>4.7272727272727272E-2</v>
      </c>
      <c r="D39" s="14">
        <f ca="1">'Analysis backend'!E63/'Analysis backend'!$B$2</f>
        <v>0.11272727272727273</v>
      </c>
      <c r="E39" s="14">
        <f ca="1">IF(B39=0,0,'Analysis backend'!F63/'Analysis backend'!C63)</f>
        <v>0.5</v>
      </c>
    </row>
    <row r="40" spans="1:5" ht="15" customHeight="1" x14ac:dyDescent="0.3">
      <c r="A40" s="15" t="str">
        <f>'Analysis backend'!B66</f>
        <v>Bounty Hunter</v>
      </c>
      <c r="B40" s="14">
        <f ca="1">'Analysis backend'!C66/'Analysis backend'!$B$2</f>
        <v>8.3636363636363634E-2</v>
      </c>
      <c r="C40" s="14">
        <f ca="1">'Analysis backend'!D66/'Analysis backend'!$B$2</f>
        <v>1.4545454545454545E-2</v>
      </c>
      <c r="D40" s="14">
        <f ca="1">'Analysis backend'!E66/'Analysis backend'!$B$2</f>
        <v>9.8181818181818176E-2</v>
      </c>
      <c r="E40" s="14">
        <f ca="1">IF(B40=0,0,'Analysis backend'!F66/'Analysis backend'!C66)</f>
        <v>0.65217391304347827</v>
      </c>
    </row>
    <row r="41" spans="1:5" ht="15" customHeight="1" x14ac:dyDescent="0.3">
      <c r="A41" s="15" t="str">
        <f>'Analysis backend'!B13</f>
        <v>Mirana</v>
      </c>
      <c r="B41" s="14">
        <f ca="1">'Analysis backend'!C13/'Analysis backend'!$B$2</f>
        <v>9.0909090909090912E-2</v>
      </c>
      <c r="C41" s="14">
        <f ca="1">'Analysis backend'!D13/'Analysis backend'!$B$2</f>
        <v>7.2727272727272727E-3</v>
      </c>
      <c r="D41" s="14">
        <f ca="1">'Analysis backend'!E13/'Analysis backend'!$B$2</f>
        <v>9.8181818181818176E-2</v>
      </c>
      <c r="E41" s="14">
        <f ca="1">IF(B41=0,0,'Analysis backend'!F13/'Analysis backend'!C13)</f>
        <v>0.52</v>
      </c>
    </row>
    <row r="42" spans="1:5" ht="15" customHeight="1" x14ac:dyDescent="0.3">
      <c r="A42" s="15" t="str">
        <f>'Analysis backend'!B29</f>
        <v>Lina</v>
      </c>
      <c r="B42" s="14">
        <f ca="1">'Analysis backend'!C29/'Analysis backend'!$B$2</f>
        <v>0.10545454545454545</v>
      </c>
      <c r="C42" s="14">
        <f ca="1">'Analysis backend'!D29/'Analysis backend'!$B$2</f>
        <v>0</v>
      </c>
      <c r="D42" s="14">
        <f ca="1">'Analysis backend'!E29/'Analysis backend'!$B$2</f>
        <v>0.10545454545454545</v>
      </c>
      <c r="E42" s="14">
        <f ca="1">IF(B42=0,0,'Analysis backend'!F29/'Analysis backend'!C29)</f>
        <v>0.48275862068965519</v>
      </c>
    </row>
    <row r="43" spans="1:5" ht="15" customHeight="1" x14ac:dyDescent="0.3">
      <c r="A43" s="15" t="str">
        <f>'Analysis backend'!B11</f>
        <v>Earthshaker</v>
      </c>
      <c r="B43" s="14">
        <f ca="1">'Analysis backend'!C11/'Analysis backend'!$B$2</f>
        <v>0.10545454545454545</v>
      </c>
      <c r="C43" s="14">
        <f ca="1">'Analysis backend'!D11/'Analysis backend'!$B$2</f>
        <v>0</v>
      </c>
      <c r="D43" s="14">
        <f ca="1">'Analysis backend'!E11/'Analysis backend'!$B$2</f>
        <v>0.10545454545454545</v>
      </c>
      <c r="E43" s="14">
        <f ca="1">IF(B43=0,0,'Analysis backend'!F11/'Analysis backend'!C11)</f>
        <v>0.48275862068965519</v>
      </c>
    </row>
    <row r="44" spans="1:5" ht="15" customHeight="1" x14ac:dyDescent="0.3">
      <c r="A44" s="15" t="str">
        <f>'Analysis backend'!B7</f>
        <v>Bane</v>
      </c>
      <c r="B44" s="14">
        <f ca="1">'Analysis backend'!C7/'Analysis backend'!$B$2</f>
        <v>0.10181818181818182</v>
      </c>
      <c r="C44" s="14">
        <f ca="1">'Analysis backend'!D7/'Analysis backend'!$B$2</f>
        <v>7.2727272727272727E-3</v>
      </c>
      <c r="D44" s="14">
        <f ca="1">'Analysis backend'!E7/'Analysis backend'!$B$2</f>
        <v>0.10909090909090909</v>
      </c>
      <c r="E44" s="14">
        <f ca="1">IF(B44=0,0,'Analysis backend'!F7/'Analysis backend'!C7)</f>
        <v>0.6785714285714286</v>
      </c>
    </row>
    <row r="45" spans="1:5" ht="15" customHeight="1" x14ac:dyDescent="0.3">
      <c r="A45" s="15" t="str">
        <f>'Analysis backend'!B78</f>
        <v>Invoker</v>
      </c>
      <c r="B45" s="14">
        <f ca="1">'Analysis backend'!C78/'Analysis backend'!$B$2</f>
        <v>8.727272727272728E-2</v>
      </c>
      <c r="C45" s="14">
        <f ca="1">'Analysis backend'!D78/'Analysis backend'!$B$2</f>
        <v>3.6363636363636364E-3</v>
      </c>
      <c r="D45" s="14">
        <f ca="1">'Analysis backend'!E78/'Analysis backend'!$B$2</f>
        <v>9.0909090909090912E-2</v>
      </c>
      <c r="E45" s="14">
        <f ca="1">IF(B45=0,0,'Analysis backend'!F78/'Analysis backend'!C78)</f>
        <v>0.45833333333333331</v>
      </c>
    </row>
    <row r="46" spans="1:5" ht="15" customHeight="1" x14ac:dyDescent="0.3">
      <c r="A46" s="15" t="str">
        <f>'Analysis backend'!B94</f>
        <v>Keeper of the Light</v>
      </c>
      <c r="B46" s="14">
        <f ca="1">'Analysis backend'!C94/'Analysis backend'!$B$2</f>
        <v>0.10181818181818182</v>
      </c>
      <c r="C46" s="14">
        <f ca="1">'Analysis backend'!D94/'Analysis backend'!$B$2</f>
        <v>0</v>
      </c>
      <c r="D46" s="14">
        <f ca="1">'Analysis backend'!E94/'Analysis backend'!$B$2</f>
        <v>0.10181818181818182</v>
      </c>
      <c r="E46" s="14">
        <f ca="1">IF(B46=0,0,'Analysis backend'!F94/'Analysis backend'!C94)</f>
        <v>0.39285714285714285</v>
      </c>
    </row>
    <row r="47" spans="1:5" ht="15" customHeight="1" x14ac:dyDescent="0.3">
      <c r="A47" s="15" t="str">
        <f>'Analysis backend'!B116</f>
        <v>Winter Wyvern</v>
      </c>
      <c r="B47" s="14">
        <f ca="1">'Analysis backend'!C116/'Analysis backend'!$B$2</f>
        <v>9.0909090909090912E-2</v>
      </c>
      <c r="C47" s="14">
        <f ca="1">'Analysis backend'!D116/'Analysis backend'!$B$2</f>
        <v>7.2727272727272727E-3</v>
      </c>
      <c r="D47" s="14">
        <f ca="1">'Analysis backend'!E116/'Analysis backend'!$B$2</f>
        <v>9.8181818181818176E-2</v>
      </c>
      <c r="E47" s="14">
        <f ca="1">IF(B47=0,0,'Analysis backend'!F116/'Analysis backend'!C116)</f>
        <v>0.6</v>
      </c>
    </row>
    <row r="48" spans="1:5" ht="15" customHeight="1" x14ac:dyDescent="0.3">
      <c r="A48" s="15" t="str">
        <f>'Analysis backend'!B27</f>
        <v>Kunkka</v>
      </c>
      <c r="B48" s="14">
        <f ca="1">'Analysis backend'!C27/'Analysis backend'!$B$2</f>
        <v>6.545454545454546E-2</v>
      </c>
      <c r="C48" s="14">
        <f ca="1">'Analysis backend'!D27/'Analysis backend'!$B$2</f>
        <v>7.2727272727272727E-3</v>
      </c>
      <c r="D48" s="14">
        <f ca="1">'Analysis backend'!E27/'Analysis backend'!$B$2</f>
        <v>7.2727272727272724E-2</v>
      </c>
      <c r="E48" s="14">
        <f ca="1">IF(B48=0,0,'Analysis backend'!F27/'Analysis backend'!C27)</f>
        <v>0.3888888888888889</v>
      </c>
    </row>
    <row r="49" spans="1:5" ht="15" customHeight="1" x14ac:dyDescent="0.3">
      <c r="A49" s="15" t="str">
        <f>'Analysis backend'!B99</f>
        <v>Troll Warlord</v>
      </c>
      <c r="B49" s="14">
        <f ca="1">'Analysis backend'!C99/'Analysis backend'!$B$2</f>
        <v>6.545454545454546E-2</v>
      </c>
      <c r="C49" s="14">
        <f ca="1">'Analysis backend'!D99/'Analysis backend'!$B$2</f>
        <v>7.2727272727272727E-3</v>
      </c>
      <c r="D49" s="14">
        <f ca="1">'Analysis backend'!E99/'Analysis backend'!$B$2</f>
        <v>7.2727272727272724E-2</v>
      </c>
      <c r="E49" s="14">
        <f ca="1">IF(B49=0,0,'Analysis backend'!F99/'Analysis backend'!C99)</f>
        <v>0.44444444444444442</v>
      </c>
    </row>
    <row r="50" spans="1:5" ht="15" customHeight="1" x14ac:dyDescent="0.3">
      <c r="A50" s="15" t="str">
        <f>'Analysis backend'!B79</f>
        <v>Silencer</v>
      </c>
      <c r="B50" s="14">
        <f ca="1">'Analysis backend'!C79/'Analysis backend'!$B$2</f>
        <v>6.1818181818181821E-2</v>
      </c>
      <c r="C50" s="14">
        <f ca="1">'Analysis backend'!D79/'Analysis backend'!$B$2</f>
        <v>1.090909090909091E-2</v>
      </c>
      <c r="D50" s="14">
        <f ca="1">'Analysis backend'!E79/'Analysis backend'!$B$2</f>
        <v>7.2727272727272724E-2</v>
      </c>
      <c r="E50" s="14">
        <f ca="1">IF(B50=0,0,'Analysis backend'!F79/'Analysis backend'!C79)</f>
        <v>0.52941176470588236</v>
      </c>
    </row>
    <row r="51" spans="1:5" ht="15" customHeight="1" x14ac:dyDescent="0.3">
      <c r="A51" s="15" t="str">
        <f>'Analysis backend'!B33</f>
        <v>Tidehunter</v>
      </c>
      <c r="B51" s="14">
        <f ca="1">'Analysis backend'!C33/'Analysis backend'!$B$2</f>
        <v>0.08</v>
      </c>
      <c r="C51" s="14">
        <f ca="1">'Analysis backend'!D33/'Analysis backend'!$B$2</f>
        <v>0</v>
      </c>
      <c r="D51" s="14">
        <f ca="1">'Analysis backend'!E33/'Analysis backend'!$B$2</f>
        <v>0.08</v>
      </c>
      <c r="E51" s="14">
        <f ca="1">IF(B51=0,0,'Analysis backend'!F33/'Analysis backend'!C33)</f>
        <v>0.36363636363636365</v>
      </c>
    </row>
    <row r="52" spans="1:5" ht="15" customHeight="1" x14ac:dyDescent="0.3">
      <c r="A52" s="15" t="str">
        <f>'Analysis backend'!B52</f>
        <v>Luna</v>
      </c>
      <c r="B52" s="14">
        <f ca="1">'Analysis backend'!C52/'Analysis backend'!$B$2</f>
        <v>6.1818181818181821E-2</v>
      </c>
      <c r="C52" s="14">
        <f ca="1">'Analysis backend'!D52/'Analysis backend'!$B$2</f>
        <v>1.090909090909091E-2</v>
      </c>
      <c r="D52" s="14">
        <f ca="1">'Analysis backend'!E52/'Analysis backend'!$B$2</f>
        <v>7.2727272727272724E-2</v>
      </c>
      <c r="E52" s="14">
        <f ca="1">IF(B52=0,0,'Analysis backend'!F52/'Analysis backend'!C52)</f>
        <v>0.41176470588235292</v>
      </c>
    </row>
    <row r="53" spans="1:5" ht="15" customHeight="1" x14ac:dyDescent="0.3">
      <c r="A53" s="15" t="str">
        <f>'Analysis backend'!B32</f>
        <v>Slardar</v>
      </c>
      <c r="B53" s="14">
        <f ca="1">'Analysis backend'!C32/'Analysis backend'!$B$2</f>
        <v>6.9090909090909092E-2</v>
      </c>
      <c r="C53" s="14">
        <f ca="1">'Analysis backend'!D32/'Analysis backend'!$B$2</f>
        <v>0</v>
      </c>
      <c r="D53" s="14">
        <f ca="1">'Analysis backend'!E32/'Analysis backend'!$B$2</f>
        <v>6.9090909090909092E-2</v>
      </c>
      <c r="E53" s="14">
        <f ca="1">IF(B53=0,0,'Analysis backend'!F32/'Analysis backend'!C32)</f>
        <v>0.31578947368421051</v>
      </c>
    </row>
    <row r="54" spans="1:5" ht="15" customHeight="1" x14ac:dyDescent="0.3">
      <c r="A54" s="15" t="str">
        <f>'Analysis backend'!B65</f>
        <v>Broodmother</v>
      </c>
      <c r="B54" s="14">
        <f ca="1">'Analysis backend'!C65/'Analysis backend'!$B$2</f>
        <v>1.8181818181818181E-2</v>
      </c>
      <c r="C54" s="14">
        <f ca="1">'Analysis backend'!D65/'Analysis backend'!$B$2</f>
        <v>5.0909090909090911E-2</v>
      </c>
      <c r="D54" s="14">
        <f ca="1">'Analysis backend'!E65/'Analysis backend'!$B$2</f>
        <v>6.9090909090909092E-2</v>
      </c>
      <c r="E54" s="14">
        <f ca="1">IF(B54=0,0,'Analysis backend'!F65/'Analysis backend'!C65)</f>
        <v>0.4</v>
      </c>
    </row>
    <row r="55" spans="1:5" ht="15" customHeight="1" x14ac:dyDescent="0.3">
      <c r="A55" s="15" t="str">
        <f>'Analysis backend'!B107</f>
        <v>Elder Titan</v>
      </c>
      <c r="B55" s="14">
        <f ca="1">'Analysis backend'!C107/'Analysis backend'!$B$2</f>
        <v>6.9090909090909092E-2</v>
      </c>
      <c r="C55" s="14">
        <f ca="1">'Analysis backend'!D107/'Analysis backend'!$B$2</f>
        <v>3.6363636363636364E-3</v>
      </c>
      <c r="D55" s="14">
        <f ca="1">'Analysis backend'!E107/'Analysis backend'!$B$2</f>
        <v>7.2727272727272724E-2</v>
      </c>
      <c r="E55" s="14">
        <f ca="1">IF(B55=0,0,'Analysis backend'!F107/'Analysis backend'!C107)</f>
        <v>0.47368421052631576</v>
      </c>
    </row>
    <row r="56" spans="1:5" ht="15" customHeight="1" x14ac:dyDescent="0.3">
      <c r="A56" s="15" t="str">
        <f>'Analysis backend'!B76</f>
        <v>Gyrocopter</v>
      </c>
      <c r="B56" s="14">
        <f ca="1">'Analysis backend'!C76/'Analysis backend'!$B$2</f>
        <v>5.8181818181818182E-2</v>
      </c>
      <c r="C56" s="14">
        <f ca="1">'Analysis backend'!D76/'Analysis backend'!$B$2</f>
        <v>7.2727272727272727E-3</v>
      </c>
      <c r="D56" s="14">
        <f ca="1">'Analysis backend'!E76/'Analysis backend'!$B$2</f>
        <v>6.545454545454546E-2</v>
      </c>
      <c r="E56" s="14">
        <f ca="1">IF(B56=0,0,'Analysis backend'!F76/'Analysis backend'!C76)</f>
        <v>0.375</v>
      </c>
    </row>
    <row r="57" spans="1:5" ht="15" customHeight="1" x14ac:dyDescent="0.3">
      <c r="A57" s="15" t="str">
        <f>'Analysis backend'!B83</f>
        <v>Shadow Demon</v>
      </c>
      <c r="B57" s="14">
        <f ca="1">'Analysis backend'!C83/'Analysis backend'!$B$2</f>
        <v>6.1818181818181821E-2</v>
      </c>
      <c r="C57" s="14">
        <f ca="1">'Analysis backend'!D83/'Analysis backend'!$B$2</f>
        <v>3.6363636363636364E-3</v>
      </c>
      <c r="D57" s="14">
        <f ca="1">'Analysis backend'!E83/'Analysis backend'!$B$2</f>
        <v>6.545454545454546E-2</v>
      </c>
      <c r="E57" s="14">
        <f ca="1">IF(B57=0,0,'Analysis backend'!F83/'Analysis backend'!C83)</f>
        <v>0.47058823529411764</v>
      </c>
    </row>
    <row r="58" spans="1:5" ht="15" customHeight="1" x14ac:dyDescent="0.3">
      <c r="A58" s="15" t="str">
        <f>'Analysis backend'!B110</f>
        <v>Ember Spirit</v>
      </c>
      <c r="B58" s="14">
        <f ca="1">'Analysis backend'!C110/'Analysis backend'!$B$2</f>
        <v>6.1818181818181821E-2</v>
      </c>
      <c r="C58" s="14">
        <f ca="1">'Analysis backend'!D110/'Analysis backend'!$B$2</f>
        <v>7.2727272727272727E-3</v>
      </c>
      <c r="D58" s="14">
        <f ca="1">'Analysis backend'!E110/'Analysis backend'!$B$2</f>
        <v>6.9090909090909092E-2</v>
      </c>
      <c r="E58" s="14">
        <f ca="1">IF(B58=0,0,'Analysis backend'!F110/'Analysis backend'!C110)</f>
        <v>0.47058823529411764</v>
      </c>
    </row>
    <row r="59" spans="1:5" ht="15" customHeight="1" x14ac:dyDescent="0.3">
      <c r="A59" s="15" t="str">
        <f>'Analysis backend'!B88</f>
        <v>Ogre Magi</v>
      </c>
      <c r="B59" s="14">
        <f ca="1">'Analysis backend'!C88/'Analysis backend'!$B$2</f>
        <v>6.9090909090909092E-2</v>
      </c>
      <c r="C59" s="14">
        <f ca="1">'Analysis backend'!D88/'Analysis backend'!$B$2</f>
        <v>0</v>
      </c>
      <c r="D59" s="14">
        <f ca="1">'Analysis backend'!E88/'Analysis backend'!$B$2</f>
        <v>6.9090909090909092E-2</v>
      </c>
      <c r="E59" s="14">
        <f ca="1">IF(B59=0,0,'Analysis backend'!F88/'Analysis backend'!C88)</f>
        <v>0.47368421052631576</v>
      </c>
    </row>
    <row r="60" spans="1:5" ht="15" customHeight="1" x14ac:dyDescent="0.3">
      <c r="A60" s="15" t="str">
        <f>'Analysis backend'!B75</f>
        <v>Spirit Breaker</v>
      </c>
      <c r="B60" s="14">
        <f ca="1">'Analysis backend'!C75/'Analysis backend'!$B$2</f>
        <v>6.9090909090909092E-2</v>
      </c>
      <c r="C60" s="14">
        <f ca="1">'Analysis backend'!D75/'Analysis backend'!$B$2</f>
        <v>0</v>
      </c>
      <c r="D60" s="14">
        <f ca="1">'Analysis backend'!E75/'Analysis backend'!$B$2</f>
        <v>6.9090909090909092E-2</v>
      </c>
      <c r="E60" s="14">
        <f ca="1">IF(B60=0,0,'Analysis backend'!F75/'Analysis backend'!C75)</f>
        <v>0.68421052631578949</v>
      </c>
    </row>
    <row r="61" spans="1:5" ht="15" customHeight="1" x14ac:dyDescent="0.3">
      <c r="A61" s="15" t="str">
        <f>'Analysis backend'!B59</f>
        <v>Dark Seer</v>
      </c>
      <c r="B61" s="14">
        <f ca="1">'Analysis backend'!C59/'Analysis backend'!$B$2</f>
        <v>4.7272727272727272E-2</v>
      </c>
      <c r="C61" s="14">
        <f ca="1">'Analysis backend'!D59/'Analysis backend'!$B$2</f>
        <v>7.2727272727272727E-3</v>
      </c>
      <c r="D61" s="14">
        <f ca="1">'Analysis backend'!E59/'Analysis backend'!$B$2</f>
        <v>5.4545454545454543E-2</v>
      </c>
      <c r="E61" s="14">
        <f ca="1">IF(B61=0,0,'Analysis backend'!F59/'Analysis backend'!C59)</f>
        <v>0.61538461538461542</v>
      </c>
    </row>
    <row r="62" spans="1:5" ht="15" customHeight="1" x14ac:dyDescent="0.3">
      <c r="A62" s="15" t="str">
        <f>'Analysis backend'!B91</f>
        <v>Disruptor</v>
      </c>
      <c r="B62" s="14">
        <f ca="1">'Analysis backend'!C91/'Analysis backend'!$B$2</f>
        <v>5.8181818181818182E-2</v>
      </c>
      <c r="C62" s="14">
        <f ca="1">'Analysis backend'!D91/'Analysis backend'!$B$2</f>
        <v>3.6363636363636364E-3</v>
      </c>
      <c r="D62" s="14">
        <f ca="1">'Analysis backend'!E91/'Analysis backend'!$B$2</f>
        <v>6.1818181818181821E-2</v>
      </c>
      <c r="E62" s="14">
        <f ca="1">IF(B62=0,0,'Analysis backend'!F91/'Analysis backend'!C91)</f>
        <v>0.5625</v>
      </c>
    </row>
    <row r="63" spans="1:5" ht="15" customHeight="1" x14ac:dyDescent="0.3">
      <c r="A63" s="15" t="str">
        <f>'Analysis backend'!B17</f>
        <v>Puck</v>
      </c>
      <c r="B63" s="14">
        <f ca="1">'Analysis backend'!C17/'Analysis backend'!$B$2</f>
        <v>5.8181818181818182E-2</v>
      </c>
      <c r="C63" s="14">
        <f ca="1">'Analysis backend'!D17/'Analysis backend'!$B$2</f>
        <v>7.2727272727272727E-3</v>
      </c>
      <c r="D63" s="14">
        <f ca="1">'Analysis backend'!E17/'Analysis backend'!$B$2</f>
        <v>6.545454545454546E-2</v>
      </c>
      <c r="E63" s="14">
        <f ca="1">IF(B63=0,0,'Analysis backend'!F17/'Analysis backend'!C17)</f>
        <v>0.75</v>
      </c>
    </row>
    <row r="64" spans="1:5" ht="15" customHeight="1" x14ac:dyDescent="0.3">
      <c r="A64" s="15" t="str">
        <f>'Analysis backend'!B100</f>
        <v>Centaur Warrunner</v>
      </c>
      <c r="B64" s="14">
        <f ca="1">'Analysis backend'!C100/'Analysis backend'!$B$2</f>
        <v>6.1818181818181821E-2</v>
      </c>
      <c r="C64" s="14">
        <f ca="1">'Analysis backend'!D100/'Analysis backend'!$B$2</f>
        <v>3.6363636363636364E-3</v>
      </c>
      <c r="D64" s="14">
        <f ca="1">'Analysis backend'!E100/'Analysis backend'!$B$2</f>
        <v>6.545454545454546E-2</v>
      </c>
      <c r="E64" s="14">
        <f ca="1">IF(B64=0,0,'Analysis backend'!F100/'Analysis backend'!C100)</f>
        <v>0.47058823529411764</v>
      </c>
    </row>
    <row r="65" spans="1:5" ht="15" customHeight="1" x14ac:dyDescent="0.3">
      <c r="A65" s="15" t="str">
        <f>'Analysis backend'!B26</f>
        <v>Zeus</v>
      </c>
      <c r="B65" s="14">
        <f ca="1">'Analysis backend'!C26/'Analysis backend'!$B$2</f>
        <v>5.8181818181818182E-2</v>
      </c>
      <c r="C65" s="14">
        <f ca="1">'Analysis backend'!D26/'Analysis backend'!$B$2</f>
        <v>0</v>
      </c>
      <c r="D65" s="14">
        <f ca="1">'Analysis backend'!E26/'Analysis backend'!$B$2</f>
        <v>5.8181818181818182E-2</v>
      </c>
      <c r="E65" s="14">
        <f ca="1">IF(B65=0,0,'Analysis backend'!F26/'Analysis backend'!C26)</f>
        <v>0.625</v>
      </c>
    </row>
    <row r="66" spans="1:5" ht="15" customHeight="1" x14ac:dyDescent="0.3">
      <c r="A66" s="15" t="str">
        <f>'Analysis backend'!B39</f>
        <v>Sniper</v>
      </c>
      <c r="B66" s="14">
        <f ca="1">'Analysis backend'!C39/'Analysis backend'!$B$2</f>
        <v>4.363636363636364E-2</v>
      </c>
      <c r="C66" s="14">
        <f ca="1">'Analysis backend'!D39/'Analysis backend'!$B$2</f>
        <v>3.6363636363636364E-3</v>
      </c>
      <c r="D66" s="14">
        <f ca="1">'Analysis backend'!E39/'Analysis backend'!$B$2</f>
        <v>4.7272727272727272E-2</v>
      </c>
      <c r="E66" s="14">
        <f ca="1">IF(B66=0,0,'Analysis backend'!F39/'Analysis backend'!C39)</f>
        <v>0.5</v>
      </c>
    </row>
    <row r="67" spans="1:5" ht="15" customHeight="1" x14ac:dyDescent="0.3">
      <c r="A67" s="15" t="str">
        <f>'Analysis backend'!B50</f>
        <v>Templar Assassin</v>
      </c>
      <c r="B67" s="14">
        <f ca="1">'Analysis backend'!C50/'Analysis backend'!$B$2</f>
        <v>3.6363636363636362E-2</v>
      </c>
      <c r="C67" s="14">
        <f ca="1">'Analysis backend'!D50/'Analysis backend'!$B$2</f>
        <v>3.272727272727273E-2</v>
      </c>
      <c r="D67" s="14">
        <f ca="1">'Analysis backend'!E50/'Analysis backend'!$B$2</f>
        <v>6.9090909090909092E-2</v>
      </c>
      <c r="E67" s="14">
        <f ca="1">IF(B67=0,0,'Analysis backend'!F50/'Analysis backend'!C50)</f>
        <v>0.4</v>
      </c>
    </row>
    <row r="68" spans="1:5" ht="15" customHeight="1" x14ac:dyDescent="0.3">
      <c r="A68" s="15" t="str">
        <f>'Analysis backend'!B18</f>
        <v>Pudge</v>
      </c>
      <c r="B68" s="14">
        <f ca="1">'Analysis backend'!C18/'Analysis backend'!$B$2</f>
        <v>5.0909090909090911E-2</v>
      </c>
      <c r="C68" s="14">
        <f ca="1">'Analysis backend'!D18/'Analysis backend'!$B$2</f>
        <v>3.6363636363636364E-3</v>
      </c>
      <c r="D68" s="14">
        <f ca="1">'Analysis backend'!E18/'Analysis backend'!$B$2</f>
        <v>5.4545454545454543E-2</v>
      </c>
      <c r="E68" s="14">
        <f ca="1">IF(B68=0,0,'Analysis backend'!F18/'Analysis backend'!C18)</f>
        <v>0.35714285714285715</v>
      </c>
    </row>
    <row r="69" spans="1:5" ht="15" customHeight="1" x14ac:dyDescent="0.3">
      <c r="A69" s="15" t="str">
        <f>'Analysis backend'!B98</f>
        <v>Medusa</v>
      </c>
      <c r="B69" s="14">
        <f ca="1">'Analysis backend'!C98/'Analysis backend'!$B$2</f>
        <v>6.1818181818181821E-2</v>
      </c>
      <c r="C69" s="14">
        <f ca="1">'Analysis backend'!D98/'Analysis backend'!$B$2</f>
        <v>1.090909090909091E-2</v>
      </c>
      <c r="D69" s="14">
        <f ca="1">'Analysis backend'!E98/'Analysis backend'!$B$2</f>
        <v>7.2727272727272724E-2</v>
      </c>
      <c r="E69" s="14">
        <f ca="1">IF(B69=0,0,'Analysis backend'!F98/'Analysis backend'!C98)</f>
        <v>0.52941176470588236</v>
      </c>
    </row>
    <row r="70" spans="1:5" ht="15" customHeight="1" x14ac:dyDescent="0.3">
      <c r="A70" s="15" t="str">
        <f>'Analysis backend'!B25</f>
        <v>Windranger</v>
      </c>
      <c r="B70" s="14">
        <f ca="1">'Analysis backend'!C25/'Analysis backend'!$B$2</f>
        <v>5.0909090909090911E-2</v>
      </c>
      <c r="C70" s="14">
        <f ca="1">'Analysis backend'!D25/'Analysis backend'!$B$2</f>
        <v>0</v>
      </c>
      <c r="D70" s="14">
        <f ca="1">'Analysis backend'!E25/'Analysis backend'!$B$2</f>
        <v>5.0909090909090911E-2</v>
      </c>
      <c r="E70" s="14">
        <f ca="1">IF(B70=0,0,'Analysis backend'!F25/'Analysis backend'!C25)</f>
        <v>0.5714285714285714</v>
      </c>
    </row>
    <row r="71" spans="1:5" ht="15" customHeight="1" x14ac:dyDescent="0.3">
      <c r="A71" s="15" t="str">
        <f>'Analysis backend'!B124</f>
        <v>Pangolier</v>
      </c>
      <c r="B71" s="14">
        <f ca="1">'Analysis backend'!C124/'Analysis backend'!$B$2</f>
        <v>3.272727272727273E-2</v>
      </c>
      <c r="C71" s="14">
        <f ca="1">'Analysis backend'!D124/'Analysis backend'!$B$2</f>
        <v>2.181818181818182E-2</v>
      </c>
      <c r="D71" s="14">
        <f ca="1">'Analysis backend'!E124/'Analysis backend'!$B$2</f>
        <v>5.4545454545454543E-2</v>
      </c>
      <c r="E71" s="14">
        <f ca="1">IF(B71=0,0,'Analysis backend'!F124/'Analysis backend'!C124)</f>
        <v>0.66666666666666663</v>
      </c>
    </row>
    <row r="72" spans="1:5" ht="15" customHeight="1" x14ac:dyDescent="0.3">
      <c r="A72" s="15" t="str">
        <f>'Analysis backend'!B93</f>
        <v>Naga Siren</v>
      </c>
      <c r="B72" s="14">
        <f ca="1">'Analysis backend'!C93/'Analysis backend'!$B$2</f>
        <v>3.272727272727273E-2</v>
      </c>
      <c r="C72" s="14">
        <f ca="1">'Analysis backend'!D93/'Analysis backend'!$B$2</f>
        <v>1.4545454545454545E-2</v>
      </c>
      <c r="D72" s="14">
        <f ca="1">'Analysis backend'!E93/'Analysis backend'!$B$2</f>
        <v>4.7272727272727272E-2</v>
      </c>
      <c r="E72" s="14">
        <f ca="1">IF(B72=0,0,'Analysis backend'!F93/'Analysis backend'!C93)</f>
        <v>0.55555555555555558</v>
      </c>
    </row>
    <row r="73" spans="1:5" ht="15" customHeight="1" x14ac:dyDescent="0.3">
      <c r="A73" s="15" t="str">
        <f>'Analysis backend'!B57</f>
        <v>Nature's Prophet</v>
      </c>
      <c r="B73" s="14">
        <f ca="1">'Analysis backend'!C57/'Analysis backend'!$B$2</f>
        <v>2.9090909090909091E-2</v>
      </c>
      <c r="C73" s="14">
        <f ca="1">'Analysis backend'!D57/'Analysis backend'!$B$2</f>
        <v>1.090909090909091E-2</v>
      </c>
      <c r="D73" s="14">
        <f ca="1">'Analysis backend'!E57/'Analysis backend'!$B$2</f>
        <v>0.04</v>
      </c>
      <c r="E73" s="14">
        <f ca="1">IF(B73=0,0,'Analysis backend'!F57/'Analysis backend'!C57)</f>
        <v>0.5</v>
      </c>
    </row>
    <row r="74" spans="1:5" ht="15" customHeight="1" x14ac:dyDescent="0.3">
      <c r="A74" s="15" t="str">
        <f>'Analysis backend'!B68</f>
        <v>Jakiro</v>
      </c>
      <c r="B74" s="14">
        <f ca="1">'Analysis backend'!C68/'Analysis backend'!$B$2</f>
        <v>4.7272727272727272E-2</v>
      </c>
      <c r="C74" s="14">
        <f ca="1">'Analysis backend'!D68/'Analysis backend'!$B$2</f>
        <v>7.2727272727272727E-3</v>
      </c>
      <c r="D74" s="14">
        <f ca="1">'Analysis backend'!E68/'Analysis backend'!$B$2</f>
        <v>5.4545454545454543E-2</v>
      </c>
      <c r="E74" s="14">
        <f ca="1">IF(B74=0,0,'Analysis backend'!F68/'Analysis backend'!C68)</f>
        <v>0.69230769230769229</v>
      </c>
    </row>
    <row r="75" spans="1:5" ht="15" customHeight="1" x14ac:dyDescent="0.3">
      <c r="A75" s="15" t="str">
        <f>'Analysis backend'!B44</f>
        <v>Venomancer</v>
      </c>
      <c r="B75" s="14">
        <f ca="1">'Analysis backend'!C44/'Analysis backend'!$B$2</f>
        <v>4.7272727272727272E-2</v>
      </c>
      <c r="C75" s="14">
        <f ca="1">'Analysis backend'!D44/'Analysis backend'!$B$2</f>
        <v>3.6363636363636364E-3</v>
      </c>
      <c r="D75" s="14">
        <f ca="1">'Analysis backend'!E44/'Analysis backend'!$B$2</f>
        <v>5.0909090909090911E-2</v>
      </c>
      <c r="E75" s="14">
        <f ca="1">IF(B75=0,0,'Analysis backend'!F44/'Analysis backend'!C44)</f>
        <v>0.53846153846153844</v>
      </c>
    </row>
    <row r="76" spans="1:5" ht="15" customHeight="1" x14ac:dyDescent="0.3">
      <c r="A76" s="15" t="str">
        <f>'Analysis backend'!B73</f>
        <v>Doom</v>
      </c>
      <c r="B76" s="14">
        <f ca="1">'Analysis backend'!C73/'Analysis backend'!$B$2</f>
        <v>0.04</v>
      </c>
      <c r="C76" s="14">
        <f ca="1">'Analysis backend'!D73/'Analysis backend'!$B$2</f>
        <v>7.2727272727272727E-3</v>
      </c>
      <c r="D76" s="14">
        <f ca="1">'Analysis backend'!E73/'Analysis backend'!$B$2</f>
        <v>4.7272727272727272E-2</v>
      </c>
      <c r="E76" s="14">
        <f ca="1">IF(B76=0,0,'Analysis backend'!F73/'Analysis backend'!C73)</f>
        <v>0.54545454545454541</v>
      </c>
    </row>
    <row r="77" spans="1:5" ht="15" customHeight="1" x14ac:dyDescent="0.3">
      <c r="A77" s="15" t="str">
        <f>'Analysis backend'!B102</f>
        <v>Timbersaw</v>
      </c>
      <c r="B77" s="14">
        <f ca="1">'Analysis backend'!C102/'Analysis backend'!$B$2</f>
        <v>5.8181818181818182E-2</v>
      </c>
      <c r="C77" s="14">
        <f ca="1">'Analysis backend'!D102/'Analysis backend'!$B$2</f>
        <v>0</v>
      </c>
      <c r="D77" s="14">
        <f ca="1">'Analysis backend'!E102/'Analysis backend'!$B$2</f>
        <v>5.8181818181818182E-2</v>
      </c>
      <c r="E77" s="14">
        <f ca="1">IF(B77=0,0,'Analysis backend'!F102/'Analysis backend'!C102)</f>
        <v>0.3125</v>
      </c>
    </row>
    <row r="78" spans="1:5" ht="15" customHeight="1" x14ac:dyDescent="0.3">
      <c r="A78" s="15" t="str">
        <f>'Analysis backend'!B16</f>
        <v>Phantom Lancer</v>
      </c>
      <c r="B78" s="14">
        <f ca="1">'Analysis backend'!C16/'Analysis backend'!$B$2</f>
        <v>4.363636363636364E-2</v>
      </c>
      <c r="C78" s="14">
        <f ca="1">'Analysis backend'!D16/'Analysis backend'!$B$2</f>
        <v>1.090909090909091E-2</v>
      </c>
      <c r="D78" s="14">
        <f ca="1">'Analysis backend'!E16/'Analysis backend'!$B$2</f>
        <v>5.4545454545454543E-2</v>
      </c>
      <c r="E78" s="14">
        <f ca="1">IF(B78=0,0,'Analysis backend'!F16/'Analysis backend'!C16)</f>
        <v>0.66666666666666663</v>
      </c>
    </row>
    <row r="79" spans="1:5" ht="15" customHeight="1" x14ac:dyDescent="0.3">
      <c r="A79" s="15" t="str">
        <f>'Analysis backend'!B53</f>
        <v>Dragon Knight</v>
      </c>
      <c r="B79" s="14">
        <f ca="1">'Analysis backend'!C53/'Analysis backend'!$B$2</f>
        <v>4.7272727272727272E-2</v>
      </c>
      <c r="C79" s="14">
        <f ca="1">'Analysis backend'!D53/'Analysis backend'!$B$2</f>
        <v>0</v>
      </c>
      <c r="D79" s="14">
        <f ca="1">'Analysis backend'!E53/'Analysis backend'!$B$2</f>
        <v>4.7272727272727272E-2</v>
      </c>
      <c r="E79" s="14">
        <f ca="1">IF(B79=0,0,'Analysis backend'!F53/'Analysis backend'!C53)</f>
        <v>0.46153846153846156</v>
      </c>
    </row>
    <row r="80" spans="1:5" ht="15" customHeight="1" x14ac:dyDescent="0.3">
      <c r="A80" s="15" t="str">
        <f>'Analysis backend'!B15</f>
        <v>Shadow Fiend</v>
      </c>
      <c r="B80" s="14">
        <f ca="1">'Analysis backend'!C15/'Analysis backend'!$B$2</f>
        <v>0.04</v>
      </c>
      <c r="C80" s="14">
        <f ca="1">'Analysis backend'!D15/'Analysis backend'!$B$2</f>
        <v>0</v>
      </c>
      <c r="D80" s="14">
        <f ca="1">'Analysis backend'!E15/'Analysis backend'!$B$2</f>
        <v>0.04</v>
      </c>
      <c r="E80" s="14">
        <f ca="1">IF(B80=0,0,'Analysis backend'!F15/'Analysis backend'!C15)</f>
        <v>0.27272727272727271</v>
      </c>
    </row>
    <row r="81" spans="1:5" ht="15" customHeight="1" x14ac:dyDescent="0.3">
      <c r="A81" s="15" t="str">
        <f>'Analysis backend'!B87</f>
        <v>Treant Protector</v>
      </c>
      <c r="B81" s="14">
        <f ca="1">'Analysis backend'!C87/'Analysis backend'!$B$2</f>
        <v>2.5454545454545455E-2</v>
      </c>
      <c r="C81" s="14">
        <f ca="1">'Analysis backend'!D87/'Analysis backend'!$B$2</f>
        <v>1.090909090909091E-2</v>
      </c>
      <c r="D81" s="14">
        <f ca="1">'Analysis backend'!E87/'Analysis backend'!$B$2</f>
        <v>3.6363636363636362E-2</v>
      </c>
      <c r="E81" s="14">
        <f ca="1">IF(B81=0,0,'Analysis backend'!F87/'Analysis backend'!C87)</f>
        <v>0.5714285714285714</v>
      </c>
    </row>
    <row r="82" spans="1:5" ht="15" customHeight="1" x14ac:dyDescent="0.3">
      <c r="A82" s="15" t="str">
        <f>'Analysis backend'!B70</f>
        <v>Chen</v>
      </c>
      <c r="B82" s="14">
        <f ca="1">'Analysis backend'!C70/'Analysis backend'!$B$2</f>
        <v>2.5454545454545455E-2</v>
      </c>
      <c r="C82" s="14">
        <f ca="1">'Analysis backend'!D70/'Analysis backend'!$B$2</f>
        <v>3.6363636363636364E-3</v>
      </c>
      <c r="D82" s="14">
        <f ca="1">'Analysis backend'!E70/'Analysis backend'!$B$2</f>
        <v>2.9090909090909091E-2</v>
      </c>
      <c r="E82" s="14">
        <f ca="1">IF(B82=0,0,'Analysis backend'!F70/'Analysis backend'!C70)</f>
        <v>0.5714285714285714</v>
      </c>
    </row>
    <row r="83" spans="1:5" ht="15" customHeight="1" x14ac:dyDescent="0.3">
      <c r="A83" s="15" t="str">
        <f>'Analysis backend'!B71</f>
        <v>Spectre</v>
      </c>
      <c r="B83" s="14">
        <f ca="1">'Analysis backend'!C71/'Analysis backend'!$B$2</f>
        <v>3.6363636363636362E-2</v>
      </c>
      <c r="C83" s="14">
        <f ca="1">'Analysis backend'!D71/'Analysis backend'!$B$2</f>
        <v>3.6363636363636364E-3</v>
      </c>
      <c r="D83" s="14">
        <f ca="1">'Analysis backend'!E71/'Analysis backend'!$B$2</f>
        <v>0.04</v>
      </c>
      <c r="E83" s="14">
        <f ca="1">IF(B83=0,0,'Analysis backend'!F71/'Analysis backend'!C71)</f>
        <v>0.2</v>
      </c>
    </row>
    <row r="84" spans="1:5" ht="15" customHeight="1" x14ac:dyDescent="0.3">
      <c r="A84" s="15" t="str">
        <f>'Analysis backend'!B72</f>
        <v>Ancient Apparition</v>
      </c>
      <c r="B84" s="14">
        <f ca="1">'Analysis backend'!C72/'Analysis backend'!$B$2</f>
        <v>3.272727272727273E-2</v>
      </c>
      <c r="C84" s="14">
        <f ca="1">'Analysis backend'!D72/'Analysis backend'!$B$2</f>
        <v>3.6363636363636364E-3</v>
      </c>
      <c r="D84" s="14">
        <f ca="1">'Analysis backend'!E72/'Analysis backend'!$B$2</f>
        <v>3.6363636363636362E-2</v>
      </c>
      <c r="E84" s="14">
        <f ca="1">IF(B84=0,0,'Analysis backend'!F72/'Analysis backend'!C72)</f>
        <v>0.66666666666666663</v>
      </c>
    </row>
    <row r="85" spans="1:5" ht="15" customHeight="1" x14ac:dyDescent="0.3">
      <c r="A85" s="15" t="str">
        <f>'Analysis backend'!B51</f>
        <v>Viper</v>
      </c>
      <c r="B85" s="14">
        <f ca="1">'Analysis backend'!C51/'Analysis backend'!$B$2</f>
        <v>1.4545454545454545E-2</v>
      </c>
      <c r="C85" s="14">
        <f ca="1">'Analysis backend'!D51/'Analysis backend'!$B$2</f>
        <v>1.090909090909091E-2</v>
      </c>
      <c r="D85" s="14">
        <f ca="1">'Analysis backend'!E51/'Analysis backend'!$B$2</f>
        <v>2.5454545454545455E-2</v>
      </c>
      <c r="E85" s="14">
        <f ca="1">IF(B85=0,0,'Analysis backend'!F51/'Analysis backend'!C51)</f>
        <v>0.5</v>
      </c>
    </row>
    <row r="86" spans="1:5" ht="15" customHeight="1" x14ac:dyDescent="0.3">
      <c r="A86" s="15" t="str">
        <f>'Analysis backend'!B109</f>
        <v>Techies</v>
      </c>
      <c r="B86" s="14">
        <f ca="1">'Analysis backend'!C109/'Analysis backend'!$B$2</f>
        <v>1.4545454545454545E-2</v>
      </c>
      <c r="C86" s="14">
        <f ca="1">'Analysis backend'!D109/'Analysis backend'!$B$2</f>
        <v>1.090909090909091E-2</v>
      </c>
      <c r="D86" s="14">
        <f ca="1">'Analysis backend'!E109/'Analysis backend'!$B$2</f>
        <v>2.5454545454545455E-2</v>
      </c>
      <c r="E86" s="14">
        <f ca="1">IF(B86=0,0,'Analysis backend'!F109/'Analysis backend'!C109)</f>
        <v>0.25</v>
      </c>
    </row>
    <row r="87" spans="1:5" ht="15" customHeight="1" x14ac:dyDescent="0.3">
      <c r="A87" s="15" t="str">
        <f>'Analysis backend'!B92</f>
        <v>Nyx Assassin</v>
      </c>
      <c r="B87" s="14">
        <f ca="1">'Analysis backend'!C92/'Analysis backend'!$B$2</f>
        <v>2.9090909090909091E-2</v>
      </c>
      <c r="C87" s="14">
        <f ca="1">'Analysis backend'!D92/'Analysis backend'!$B$2</f>
        <v>1.090909090909091E-2</v>
      </c>
      <c r="D87" s="14">
        <f ca="1">'Analysis backend'!E92/'Analysis backend'!$B$2</f>
        <v>0.04</v>
      </c>
      <c r="E87" s="14">
        <f ca="1">IF(B87=0,0,'Analysis backend'!F92/'Analysis backend'!C92)</f>
        <v>0.5</v>
      </c>
    </row>
    <row r="88" spans="1:5" ht="15" customHeight="1" x14ac:dyDescent="0.3">
      <c r="A88" s="15" t="str">
        <f>'Analysis backend'!B37</f>
        <v>Enigma</v>
      </c>
      <c r="B88" s="14">
        <f ca="1">'Analysis backend'!C37/'Analysis backend'!$B$2</f>
        <v>3.6363636363636362E-2</v>
      </c>
      <c r="C88" s="14">
        <f ca="1">'Analysis backend'!D37/'Analysis backend'!$B$2</f>
        <v>3.6363636363636364E-3</v>
      </c>
      <c r="D88" s="14">
        <f ca="1">'Analysis backend'!E37/'Analysis backend'!$B$2</f>
        <v>0.04</v>
      </c>
      <c r="E88" s="14">
        <f ca="1">IF(B88=0,0,'Analysis backend'!F37/'Analysis backend'!C37)</f>
        <v>0.5</v>
      </c>
    </row>
    <row r="89" spans="1:5" ht="15" customHeight="1" x14ac:dyDescent="0.3">
      <c r="A89" s="15" t="str">
        <f>'Analysis backend'!B81</f>
        <v>Lycan</v>
      </c>
      <c r="B89" s="14">
        <f ca="1">'Analysis backend'!C81/'Analysis backend'!$B$2</f>
        <v>1.8181818181818181E-2</v>
      </c>
      <c r="C89" s="14">
        <f ca="1">'Analysis backend'!D81/'Analysis backend'!$B$2</f>
        <v>1.4545454545454545E-2</v>
      </c>
      <c r="D89" s="14">
        <f ca="1">'Analysis backend'!E81/'Analysis backend'!$B$2</f>
        <v>3.272727272727273E-2</v>
      </c>
      <c r="E89" s="14">
        <f ca="1">IF(B89=0,0,'Analysis backend'!F81/'Analysis backend'!C81)</f>
        <v>0.8</v>
      </c>
    </row>
    <row r="90" spans="1:5" ht="15" customHeight="1" x14ac:dyDescent="0.3">
      <c r="A90" s="15" t="str">
        <f>'Analysis backend'!B123</f>
        <v>Dark Willow</v>
      </c>
      <c r="B90" s="14">
        <f ca="1">'Analysis backend'!C123/'Analysis backend'!$B$2</f>
        <v>2.181818181818182E-2</v>
      </c>
      <c r="C90" s="14">
        <f ca="1">'Analysis backend'!D123/'Analysis backend'!$B$2</f>
        <v>3.6363636363636364E-3</v>
      </c>
      <c r="D90" s="14">
        <f ca="1">'Analysis backend'!E123/'Analysis backend'!$B$2</f>
        <v>2.5454545454545455E-2</v>
      </c>
      <c r="E90" s="14">
        <f ca="1">IF(B90=0,0,'Analysis backend'!F123/'Analysis backend'!C123)</f>
        <v>0.5</v>
      </c>
    </row>
    <row r="91" spans="1:5" ht="15" customHeight="1" x14ac:dyDescent="0.3">
      <c r="A91" s="15" t="str">
        <f>'Analysis backend'!B43</f>
        <v>Queen of Pain</v>
      </c>
      <c r="B91" s="14">
        <f ca="1">'Analysis backend'!C43/'Analysis backend'!$B$2</f>
        <v>2.181818181818182E-2</v>
      </c>
      <c r="C91" s="14">
        <f ca="1">'Analysis backend'!D43/'Analysis backend'!$B$2</f>
        <v>0</v>
      </c>
      <c r="D91" s="14">
        <f ca="1">'Analysis backend'!E43/'Analysis backend'!$B$2</f>
        <v>2.181818181818182E-2</v>
      </c>
      <c r="E91" s="14">
        <f ca="1">IF(B91=0,0,'Analysis backend'!F43/'Analysis backend'!C43)</f>
        <v>0.5</v>
      </c>
    </row>
    <row r="92" spans="1:5" ht="15" customHeight="1" x14ac:dyDescent="0.3">
      <c r="A92" s="15" t="str">
        <f>'Analysis backend'!B19</f>
        <v>Razor</v>
      </c>
      <c r="B92" s="14">
        <f ca="1">'Analysis backend'!C19/'Analysis backend'!$B$2</f>
        <v>2.5454545454545455E-2</v>
      </c>
      <c r="C92" s="14">
        <f ca="1">'Analysis backend'!D19/'Analysis backend'!$B$2</f>
        <v>0</v>
      </c>
      <c r="D92" s="14">
        <f ca="1">'Analysis backend'!E19/'Analysis backend'!$B$2</f>
        <v>2.5454545454545455E-2</v>
      </c>
      <c r="E92" s="14">
        <f ca="1">IF(B92=0,0,'Analysis backend'!F19/'Analysis backend'!C19)</f>
        <v>0.42857142857142855</v>
      </c>
    </row>
    <row r="93" spans="1:5" ht="15" customHeight="1" x14ac:dyDescent="0.3">
      <c r="A93" s="15" t="str">
        <f>'Analysis backend'!B67</f>
        <v>Weaver</v>
      </c>
      <c r="B93" s="14">
        <f ca="1">'Analysis backend'!C67/'Analysis backend'!$B$2</f>
        <v>2.5454545454545455E-2</v>
      </c>
      <c r="C93" s="14">
        <f ca="1">'Analysis backend'!D67/'Analysis backend'!$B$2</f>
        <v>0</v>
      </c>
      <c r="D93" s="14">
        <f ca="1">'Analysis backend'!E67/'Analysis backend'!$B$2</f>
        <v>2.5454545454545455E-2</v>
      </c>
      <c r="E93" s="14">
        <f ca="1">IF(B93=0,0,'Analysis backend'!F67/'Analysis backend'!C67)</f>
        <v>0.14285714285714285</v>
      </c>
    </row>
    <row r="94" spans="1:5" ht="15" customHeight="1" x14ac:dyDescent="0.3">
      <c r="A94" s="15" t="str">
        <f>'Analysis backend'!B61</f>
        <v>Omniknight</v>
      </c>
      <c r="B94" s="14">
        <f ca="1">'Analysis backend'!C61/'Analysis backend'!$B$2</f>
        <v>1.8181818181818181E-2</v>
      </c>
      <c r="C94" s="14">
        <f ca="1">'Analysis backend'!D61/'Analysis backend'!$B$2</f>
        <v>3.6363636363636364E-3</v>
      </c>
      <c r="D94" s="14">
        <f ca="1">'Analysis backend'!E61/'Analysis backend'!$B$2</f>
        <v>2.181818181818182E-2</v>
      </c>
      <c r="E94" s="14">
        <f ca="1">IF(B94=0,0,'Analysis backend'!F61/'Analysis backend'!C61)</f>
        <v>0.6</v>
      </c>
    </row>
    <row r="95" spans="1:5" ht="15" customHeight="1" x14ac:dyDescent="0.3">
      <c r="A95" s="15" t="str">
        <f>'Analysis backend'!B8</f>
        <v>Bloodseeker</v>
      </c>
      <c r="B95" s="14">
        <f ca="1">'Analysis backend'!C8/'Analysis backend'!$B$2</f>
        <v>2.181818181818182E-2</v>
      </c>
      <c r="C95" s="14">
        <f ca="1">'Analysis backend'!D8/'Analysis backend'!$B$2</f>
        <v>0</v>
      </c>
      <c r="D95" s="14">
        <f ca="1">'Analysis backend'!E8/'Analysis backend'!$B$2</f>
        <v>2.181818181818182E-2</v>
      </c>
      <c r="E95" s="14">
        <f ca="1">IF(B95=0,0,'Analysis backend'!F8/'Analysis backend'!C8)</f>
        <v>0.5</v>
      </c>
    </row>
    <row r="96" spans="1:5" ht="15" customHeight="1" x14ac:dyDescent="0.3">
      <c r="A96" s="15" t="str">
        <f>'Analysis backend'!B21</f>
        <v>Storm Spirit</v>
      </c>
      <c r="B96" s="14">
        <f ca="1">'Analysis backend'!C21/'Analysis backend'!$B$2</f>
        <v>3.6363636363636364E-3</v>
      </c>
      <c r="C96" s="14">
        <f ca="1">'Analysis backend'!D21/'Analysis backend'!$B$2</f>
        <v>1.090909090909091E-2</v>
      </c>
      <c r="D96" s="14">
        <f ca="1">'Analysis backend'!E21/'Analysis backend'!$B$2</f>
        <v>1.4545454545454545E-2</v>
      </c>
      <c r="E96" s="14">
        <f ca="1">IF(B96=0,0,'Analysis backend'!F21/'Analysis backend'!C21)</f>
        <v>1</v>
      </c>
    </row>
    <row r="97" spans="1:5" ht="15" customHeight="1" x14ac:dyDescent="0.3">
      <c r="A97" s="15" t="str">
        <f>'Analysis backend'!B36</f>
        <v>Riki</v>
      </c>
      <c r="B97" s="14">
        <f ca="1">'Analysis backend'!C36/'Analysis backend'!$B$2</f>
        <v>7.2727272727272727E-3</v>
      </c>
      <c r="C97" s="14">
        <f ca="1">'Analysis backend'!D36/'Analysis backend'!$B$2</f>
        <v>7.2727272727272727E-3</v>
      </c>
      <c r="D97" s="14">
        <f ca="1">'Analysis backend'!E36/'Analysis backend'!$B$2</f>
        <v>1.4545454545454545E-2</v>
      </c>
      <c r="E97" s="14">
        <f ca="1">IF(B97=0,0,'Analysis backend'!F36/'Analysis backend'!C36)</f>
        <v>0</v>
      </c>
    </row>
    <row r="98" spans="1:5" ht="15" customHeight="1" x14ac:dyDescent="0.3">
      <c r="A98" s="15" t="str">
        <f>'Analysis backend'!B40</f>
        <v>Necrophos</v>
      </c>
      <c r="B98" s="14">
        <f ca="1">'Analysis backend'!C40/'Analysis backend'!$B$2</f>
        <v>1.090909090909091E-2</v>
      </c>
      <c r="C98" s="14">
        <f ca="1">'Analysis backend'!D40/'Analysis backend'!$B$2</f>
        <v>3.6363636363636364E-3</v>
      </c>
      <c r="D98" s="14">
        <f ca="1">'Analysis backend'!E40/'Analysis backend'!$B$2</f>
        <v>1.4545454545454545E-2</v>
      </c>
      <c r="E98" s="14">
        <f ca="1">IF(B98=0,0,'Analysis backend'!F40/'Analysis backend'!C40)</f>
        <v>0.66666666666666663</v>
      </c>
    </row>
    <row r="99" spans="1:5" ht="15" customHeight="1" x14ac:dyDescent="0.3">
      <c r="A99" s="15" t="str">
        <f>'Analysis backend'!B60</f>
        <v>Clinkz</v>
      </c>
      <c r="B99" s="14">
        <f ca="1">'Analysis backend'!C60/'Analysis backend'!$B$2</f>
        <v>2.181818181818182E-2</v>
      </c>
      <c r="C99" s="14">
        <f ca="1">'Analysis backend'!D60/'Analysis backend'!$B$2</f>
        <v>3.6363636363636364E-3</v>
      </c>
      <c r="D99" s="14">
        <f ca="1">'Analysis backend'!E60/'Analysis backend'!$B$2</f>
        <v>2.5454545454545455E-2</v>
      </c>
      <c r="E99" s="14">
        <f ca="1">IF(B99=0,0,'Analysis backend'!F60/'Analysis backend'!C60)</f>
        <v>0.5</v>
      </c>
    </row>
    <row r="100" spans="1:5" ht="15" customHeight="1" x14ac:dyDescent="0.3">
      <c r="A100" s="15" t="str">
        <f>'Analysis backend'!B117</f>
        <v>Arc Warden</v>
      </c>
      <c r="B100" s="14">
        <f ca="1">'Analysis backend'!C117/'Analysis backend'!$B$2</f>
        <v>1.4545454545454545E-2</v>
      </c>
      <c r="C100" s="14">
        <f ca="1">'Analysis backend'!D117/'Analysis backend'!$B$2</f>
        <v>7.2727272727272727E-3</v>
      </c>
      <c r="D100" s="14">
        <f ca="1">'Analysis backend'!E117/'Analysis backend'!$B$2</f>
        <v>2.181818181818182E-2</v>
      </c>
      <c r="E100" s="14">
        <f ca="1">IF(B100=0,0,'Analysis backend'!F117/'Analysis backend'!C117)</f>
        <v>0.5</v>
      </c>
    </row>
    <row r="101" spans="1:5" ht="15" customHeight="1" x14ac:dyDescent="0.3">
      <c r="A101" s="15" t="str">
        <f>'Analysis backend'!B55</f>
        <v>Clockwerk</v>
      </c>
      <c r="B101" s="14">
        <f ca="1">'Analysis backend'!C55/'Analysis backend'!$B$2</f>
        <v>1.4545454545454545E-2</v>
      </c>
      <c r="C101" s="14">
        <f ca="1">'Analysis backend'!D55/'Analysis backend'!$B$2</f>
        <v>0</v>
      </c>
      <c r="D101" s="14">
        <f ca="1">'Analysis backend'!E55/'Analysis backend'!$B$2</f>
        <v>1.4545454545454545E-2</v>
      </c>
      <c r="E101" s="14">
        <f ca="1">IF(B101=0,0,'Analysis backend'!F55/'Analysis backend'!C55)</f>
        <v>0.75</v>
      </c>
    </row>
    <row r="102" spans="1:5" ht="15" customHeight="1" x14ac:dyDescent="0.3">
      <c r="A102" s="15" t="str">
        <f>'Analysis backend'!B9</f>
        <v>Crystal Maiden</v>
      </c>
      <c r="B102" s="14">
        <f ca="1">'Analysis backend'!C9/'Analysis backend'!$B$2</f>
        <v>1.4545454545454545E-2</v>
      </c>
      <c r="C102" s="14">
        <f ca="1">'Analysis backend'!D9/'Analysis backend'!$B$2</f>
        <v>0</v>
      </c>
      <c r="D102" s="14">
        <f ca="1">'Analysis backend'!E9/'Analysis backend'!$B$2</f>
        <v>1.4545454545454545E-2</v>
      </c>
      <c r="E102" s="14">
        <f ca="1">IF(B102=0,0,'Analysis backend'!F9/'Analysis backend'!C9)</f>
        <v>0.5</v>
      </c>
    </row>
    <row r="103" spans="1:5" ht="15" customHeight="1" x14ac:dyDescent="0.3">
      <c r="A103" s="15" t="str">
        <f>'Analysis backend'!B96</f>
        <v>Visage</v>
      </c>
      <c r="B103" s="14">
        <f ca="1">'Analysis backend'!C96/'Analysis backend'!$B$2</f>
        <v>1.4545454545454545E-2</v>
      </c>
      <c r="C103" s="14">
        <f ca="1">'Analysis backend'!D96/'Analysis backend'!$B$2</f>
        <v>0</v>
      </c>
      <c r="D103" s="14">
        <f ca="1">'Analysis backend'!E96/'Analysis backend'!$B$2</f>
        <v>1.4545454545454545E-2</v>
      </c>
      <c r="E103" s="14">
        <f ca="1">IF(B103=0,0,'Analysis backend'!F96/'Analysis backend'!C96)</f>
        <v>0.5</v>
      </c>
    </row>
    <row r="104" spans="1:5" ht="15" customHeight="1" x14ac:dyDescent="0.3">
      <c r="A104" s="15" t="str">
        <f>'Analysis backend'!B74</f>
        <v>Ursa</v>
      </c>
      <c r="B104" s="14">
        <f ca="1">'Analysis backend'!C74/'Analysis backend'!$B$2</f>
        <v>7.2727272727272727E-3</v>
      </c>
      <c r="C104" s="14">
        <f ca="1">'Analysis backend'!D74/'Analysis backend'!$B$2</f>
        <v>3.6363636363636364E-3</v>
      </c>
      <c r="D104" s="14">
        <f ca="1">'Analysis backend'!E74/'Analysis backend'!$B$2</f>
        <v>1.090909090909091E-2</v>
      </c>
      <c r="E104" s="14">
        <f ca="1">IF(B104=0,0,'Analysis backend'!F74/'Analysis backend'!C74)</f>
        <v>1</v>
      </c>
    </row>
    <row r="105" spans="1:5" ht="15" customHeight="1" x14ac:dyDescent="0.3">
      <c r="A105" s="15" t="str">
        <f>'Analysis backend'!B46</f>
        <v>Wraith King</v>
      </c>
      <c r="B105" s="14">
        <f ca="1">'Analysis backend'!C46/'Analysis backend'!$B$2</f>
        <v>7.2727272727272727E-3</v>
      </c>
      <c r="C105" s="14">
        <f ca="1">'Analysis backend'!D46/'Analysis backend'!$B$2</f>
        <v>3.6363636363636364E-3</v>
      </c>
      <c r="D105" s="14">
        <f ca="1">'Analysis backend'!E46/'Analysis backend'!$B$2</f>
        <v>1.090909090909091E-2</v>
      </c>
      <c r="E105" s="14">
        <f ca="1">IF(B105=0,0,'Analysis backend'!F46/'Analysis backend'!C46)</f>
        <v>0.5</v>
      </c>
    </row>
    <row r="106" spans="1:5" ht="15" customHeight="1" x14ac:dyDescent="0.3">
      <c r="A106" s="15" t="str">
        <f>'Analysis backend'!B69</f>
        <v>Batrider</v>
      </c>
      <c r="B106" s="14">
        <f ca="1">'Analysis backend'!C69/'Analysis backend'!$B$2</f>
        <v>1.4545454545454545E-2</v>
      </c>
      <c r="C106" s="14">
        <f ca="1">'Analysis backend'!D69/'Analysis backend'!$B$2</f>
        <v>3.6363636363636364E-3</v>
      </c>
      <c r="D106" s="14">
        <f ca="1">'Analysis backend'!E69/'Analysis backend'!$B$2</f>
        <v>1.8181818181818181E-2</v>
      </c>
      <c r="E106" s="14">
        <f ca="1">IF(B106=0,0,'Analysis backend'!F69/'Analysis backend'!C69)</f>
        <v>0.25</v>
      </c>
    </row>
    <row r="107" spans="1:5" ht="15" customHeight="1" x14ac:dyDescent="0.3">
      <c r="A107" s="15" t="str">
        <f>'Analysis backend'!B64</f>
        <v>Night Stalker</v>
      </c>
      <c r="B107" s="14">
        <f ca="1">'Analysis backend'!C64/'Analysis backend'!$B$2</f>
        <v>1.090909090909091E-2</v>
      </c>
      <c r="C107" s="14">
        <f ca="1">'Analysis backend'!D64/'Analysis backend'!$B$2</f>
        <v>0</v>
      </c>
      <c r="D107" s="14">
        <f ca="1">'Analysis backend'!E64/'Analysis backend'!$B$2</f>
        <v>1.090909090909091E-2</v>
      </c>
      <c r="E107" s="14">
        <f ca="1">IF(B107=0,0,'Analysis backend'!F64/'Analysis backend'!C64)</f>
        <v>0.33333333333333331</v>
      </c>
    </row>
    <row r="108" spans="1:5" ht="15" customHeight="1" x14ac:dyDescent="0.3">
      <c r="A108" s="15" t="str">
        <f>'Analysis backend'!B112</f>
        <v>Underlord</v>
      </c>
      <c r="B108" s="14">
        <f ca="1">'Analysis backend'!C112/'Analysis backend'!$B$2</f>
        <v>1.090909090909091E-2</v>
      </c>
      <c r="C108" s="14">
        <f ca="1">'Analysis backend'!D112/'Analysis backend'!$B$2</f>
        <v>0</v>
      </c>
      <c r="D108" s="14">
        <f ca="1">'Analysis backend'!E112/'Analysis backend'!$B$2</f>
        <v>1.090909090909091E-2</v>
      </c>
      <c r="E108" s="14">
        <f ca="1">IF(B108=0,0,'Analysis backend'!F112/'Analysis backend'!C112)</f>
        <v>0</v>
      </c>
    </row>
    <row r="109" spans="1:5" ht="15" customHeight="1" x14ac:dyDescent="0.3">
      <c r="A109" s="15" t="str">
        <f>'Analysis backend'!B41</f>
        <v>Warlock</v>
      </c>
      <c r="B109" s="14">
        <f ca="1">'Analysis backend'!C41/'Analysis backend'!$B$2</f>
        <v>1.4545454545454545E-2</v>
      </c>
      <c r="C109" s="14">
        <f ca="1">'Analysis backend'!D41/'Analysis backend'!$B$2</f>
        <v>0</v>
      </c>
      <c r="D109" s="14">
        <f ca="1">'Analysis backend'!E41/'Analysis backend'!$B$2</f>
        <v>1.4545454545454545E-2</v>
      </c>
      <c r="E109" s="14">
        <f ca="1">IF(B109=0,0,'Analysis backend'!F41/'Analysis backend'!C41)</f>
        <v>0.5</v>
      </c>
    </row>
    <row r="110" spans="1:5" ht="15" customHeight="1" x14ac:dyDescent="0.3">
      <c r="A110" s="15" t="str">
        <f>'Analysis backend'!B34</f>
        <v>Witch Doctor</v>
      </c>
      <c r="B110" s="14">
        <f ca="1">'Analysis backend'!C34/'Analysis backend'!$B$2</f>
        <v>1.4545454545454545E-2</v>
      </c>
      <c r="C110" s="14">
        <f ca="1">'Analysis backend'!D34/'Analysis backend'!$B$2</f>
        <v>0</v>
      </c>
      <c r="D110" s="14">
        <f ca="1">'Analysis backend'!E34/'Analysis backend'!$B$2</f>
        <v>1.4545454545454545E-2</v>
      </c>
      <c r="E110" s="14">
        <f ca="1">IF(B110=0,0,'Analysis backend'!F34/'Analysis backend'!C34)</f>
        <v>0.25</v>
      </c>
    </row>
    <row r="111" spans="1:5" ht="15" customHeight="1" x14ac:dyDescent="0.3">
      <c r="A111" s="15" t="str">
        <f>'Analysis backend'!B108</f>
        <v>Legion Commander</v>
      </c>
      <c r="B111" s="14">
        <f ca="1">'Analysis backend'!C108/'Analysis backend'!$B$2</f>
        <v>1.8181818181818181E-2</v>
      </c>
      <c r="C111" s="14">
        <f ca="1">'Analysis backend'!D108/'Analysis backend'!$B$2</f>
        <v>0</v>
      </c>
      <c r="D111" s="14">
        <f ca="1">'Analysis backend'!E108/'Analysis backend'!$B$2</f>
        <v>1.8181818181818181E-2</v>
      </c>
      <c r="E111" s="14">
        <f ca="1">IF(B111=0,0,'Analysis backend'!F108/'Analysis backend'!C108)</f>
        <v>0.4</v>
      </c>
    </row>
    <row r="112" spans="1:5" ht="15" customHeight="1" x14ac:dyDescent="0.3">
      <c r="A112" s="15" t="str">
        <f>'Analysis backend'!B85</f>
        <v>Chaos Knight</v>
      </c>
      <c r="B112" s="14">
        <f ca="1">'Analysis backend'!C85/'Analysis backend'!$B$2</f>
        <v>1.090909090909091E-2</v>
      </c>
      <c r="C112" s="14">
        <f ca="1">'Analysis backend'!D85/'Analysis backend'!$B$2</f>
        <v>0</v>
      </c>
      <c r="D112" s="14">
        <f ca="1">'Analysis backend'!E85/'Analysis backend'!$B$2</f>
        <v>1.090909090909091E-2</v>
      </c>
      <c r="E112" s="14">
        <f ca="1">IF(B112=0,0,'Analysis backend'!F85/'Analysis backend'!C85)</f>
        <v>1</v>
      </c>
    </row>
    <row r="113" spans="1:5" ht="15" customHeight="1" x14ac:dyDescent="0.3">
      <c r="A113" s="15" t="str">
        <f>'Analysis backend'!B24</f>
        <v>Vengeful Spirit</v>
      </c>
      <c r="B113" s="14">
        <f ca="1">'Analysis backend'!C24/'Analysis backend'!$B$2</f>
        <v>7.2727272727272727E-3</v>
      </c>
      <c r="C113" s="14">
        <f ca="1">'Analysis backend'!D24/'Analysis backend'!$B$2</f>
        <v>0</v>
      </c>
      <c r="D113" s="14">
        <f ca="1">'Analysis backend'!E24/'Analysis backend'!$B$2</f>
        <v>7.2727272727272727E-3</v>
      </c>
      <c r="E113" s="14">
        <f ca="1">IF(B113=0,0,'Analysis backend'!F24/'Analysis backend'!C24)</f>
        <v>1</v>
      </c>
    </row>
    <row r="114" spans="1:5" ht="15" customHeight="1" x14ac:dyDescent="0.3">
      <c r="A114" s="15" t="str">
        <f>'Analysis backend'!B58</f>
        <v>Lifestealer</v>
      </c>
      <c r="B114" s="14">
        <f ca="1">'Analysis backend'!C58/'Analysis backend'!$B$2</f>
        <v>7.2727272727272727E-3</v>
      </c>
      <c r="C114" s="14">
        <f ca="1">'Analysis backend'!D58/'Analysis backend'!$B$2</f>
        <v>0</v>
      </c>
      <c r="D114" s="14">
        <f ca="1">'Analysis backend'!E58/'Analysis backend'!$B$2</f>
        <v>7.2727272727272727E-3</v>
      </c>
      <c r="E114" s="14">
        <f ca="1">IF(B114=0,0,'Analysis backend'!F58/'Analysis backend'!C58)</f>
        <v>0.5</v>
      </c>
    </row>
    <row r="115" spans="1:5" ht="15" customHeight="1" x14ac:dyDescent="0.3">
      <c r="A115" s="15" t="str">
        <f>'Analysis backend'!B77</f>
        <v>Alchemist</v>
      </c>
      <c r="B115" s="14">
        <f ca="1">'Analysis backend'!C77/'Analysis backend'!$B$2</f>
        <v>3.6363636363636364E-3</v>
      </c>
      <c r="C115" s="14">
        <f ca="1">'Analysis backend'!D77/'Analysis backend'!$B$2</f>
        <v>0</v>
      </c>
      <c r="D115" s="14">
        <f ca="1">'Analysis backend'!E77/'Analysis backend'!$B$2</f>
        <v>3.6363636363636364E-3</v>
      </c>
      <c r="E115" s="14">
        <f ca="1">IF(B115=0,0,'Analysis backend'!F77/'Analysis backend'!C77)</f>
        <v>0</v>
      </c>
    </row>
    <row r="116" spans="1:5" ht="15" customHeight="1" x14ac:dyDescent="0.3">
      <c r="A116" s="15" t="str">
        <f>'Analysis backend'!B103</f>
        <v>Bristleback</v>
      </c>
      <c r="B116" s="14">
        <f ca="1">'Analysis backend'!C103/'Analysis backend'!$B$2</f>
        <v>1.090909090909091E-2</v>
      </c>
      <c r="C116" s="14">
        <f ca="1">'Analysis backend'!D103/'Analysis backend'!$B$2</f>
        <v>0</v>
      </c>
      <c r="D116" s="14">
        <f ca="1">'Analysis backend'!E103/'Analysis backend'!$B$2</f>
        <v>1.090909090909091E-2</v>
      </c>
      <c r="E116" s="14">
        <f ca="1">IF(B116=0,0,'Analysis backend'!F103/'Analysis backend'!C103)</f>
        <v>0.33333333333333331</v>
      </c>
    </row>
    <row r="117" spans="1:5" ht="15" customHeight="1" x14ac:dyDescent="0.3">
      <c r="A117" s="15" t="str">
        <f>'Analysis backend'!B106</f>
        <v>Abaddon</v>
      </c>
      <c r="B117" s="14">
        <f ca="1">'Analysis backend'!C106/'Analysis backend'!$B$2</f>
        <v>7.2727272727272727E-3</v>
      </c>
      <c r="C117" s="14">
        <f ca="1">'Analysis backend'!D106/'Analysis backend'!$B$2</f>
        <v>3.6363636363636364E-3</v>
      </c>
      <c r="D117" s="14">
        <f ca="1">'Analysis backend'!E106/'Analysis backend'!$B$2</f>
        <v>1.090909090909091E-2</v>
      </c>
      <c r="E117" s="14">
        <f ca="1">IF(B117=0,0,'Analysis backend'!F106/'Analysis backend'!C106)</f>
        <v>0.5</v>
      </c>
    </row>
    <row r="118" spans="1:5" ht="15" customHeight="1" x14ac:dyDescent="0.3">
      <c r="A118" s="15" t="str">
        <f>'Analysis backend'!B22</f>
        <v>Sven</v>
      </c>
      <c r="B118" s="14">
        <f ca="1">'Analysis backend'!C22/'Analysis backend'!$B$2</f>
        <v>7.2727272727272727E-3</v>
      </c>
      <c r="C118" s="14">
        <f ca="1">'Analysis backend'!D22/'Analysis backend'!$B$2</f>
        <v>0</v>
      </c>
      <c r="D118" s="14">
        <f ca="1">'Analysis backend'!E22/'Analysis backend'!$B$2</f>
        <v>7.2727272727272727E-3</v>
      </c>
      <c r="E118" s="14">
        <f ca="1">IF(B118=0,0,'Analysis backend'!F22/'Analysis backend'!C22)</f>
        <v>0</v>
      </c>
    </row>
    <row r="119" spans="1:5" ht="15" customHeight="1" x14ac:dyDescent="0.3">
      <c r="A119" s="15" t="e">
        <f>'Analysis backend'!B28</f>
        <v>#N/A</v>
      </c>
      <c r="B119" s="14">
        <f ca="1">'Analysis backend'!C28/'Analysis backend'!$B$2</f>
        <v>0</v>
      </c>
      <c r="C119" s="14">
        <f ca="1">'Analysis backend'!D28/'Analysis backend'!$B$2</f>
        <v>0</v>
      </c>
      <c r="D119" s="14">
        <f ca="1">'Analysis backend'!E28/'Analysis backend'!$B$2</f>
        <v>0</v>
      </c>
      <c r="E119" s="14">
        <f ca="1">IF(B119=0,0,'Analysis backend'!F28/'Analysis backend'!C28)</f>
        <v>0</v>
      </c>
    </row>
    <row r="120" spans="1:5" ht="15" customHeight="1" x14ac:dyDescent="0.3">
      <c r="A120" s="15" t="str">
        <f>'Analysis backend'!B47</f>
        <v>Death Prophet</v>
      </c>
      <c r="B120" s="14">
        <f ca="1">'Analysis backend'!C47/'Analysis backend'!$B$2</f>
        <v>0</v>
      </c>
      <c r="C120" s="14">
        <f ca="1">'Analysis backend'!D47/'Analysis backend'!$B$2</f>
        <v>0</v>
      </c>
      <c r="D120" s="14">
        <f ca="1">'Analysis backend'!E47/'Analysis backend'!$B$2</f>
        <v>0</v>
      </c>
      <c r="E120" s="14">
        <f ca="1">IF(B120=0,0,'Analysis backend'!F47/'Analysis backend'!C47)</f>
        <v>0</v>
      </c>
    </row>
    <row r="121" spans="1:5" ht="15" customHeight="1" x14ac:dyDescent="0.3">
      <c r="A121" s="15" t="str">
        <f>'Analysis backend'!B56</f>
        <v>Leshrac</v>
      </c>
      <c r="B121" s="14">
        <f ca="1">'Analysis backend'!C56/'Analysis backend'!$B$2</f>
        <v>0</v>
      </c>
      <c r="C121" s="14">
        <f ca="1">'Analysis backend'!D56/'Analysis backend'!$B$2</f>
        <v>0</v>
      </c>
      <c r="D121" s="14">
        <f ca="1">'Analysis backend'!E56/'Analysis backend'!$B$2</f>
        <v>0</v>
      </c>
      <c r="E121" s="14">
        <f ca="1">IF(B121=0,0,'Analysis backend'!F56/'Analysis backend'!C56)</f>
        <v>0</v>
      </c>
    </row>
    <row r="122" spans="1:5" ht="15" customHeight="1" x14ac:dyDescent="0.3">
      <c r="A122" s="15" t="str">
        <f>'Analysis backend'!B62</f>
        <v>Enchantress</v>
      </c>
      <c r="B122" s="14">
        <f ca="1">'Analysis backend'!C62/'Analysis backend'!$B$2</f>
        <v>0</v>
      </c>
      <c r="C122" s="14">
        <f ca="1">'Analysis backend'!D62/'Analysis backend'!$B$2</f>
        <v>0</v>
      </c>
      <c r="D122" s="14">
        <f ca="1">'Analysis backend'!E62/'Analysis backend'!$B$2</f>
        <v>0</v>
      </c>
      <c r="E122" s="14">
        <f ca="1">IF(B122=0,0,'Analysis backend'!F62/'Analysis backend'!C62)</f>
        <v>0</v>
      </c>
    </row>
    <row r="123" spans="1:5" ht="15" customHeight="1" x14ac:dyDescent="0.3">
      <c r="A123" s="15" t="e">
        <f>'Analysis backend'!B119</f>
        <v>#N/A</v>
      </c>
      <c r="B123" s="14">
        <f ca="1">'Analysis backend'!C119/'Analysis backend'!$B$2</f>
        <v>0</v>
      </c>
      <c r="C123" s="14">
        <f ca="1">'Analysis backend'!D119/'Analysis backend'!$B$2</f>
        <v>0</v>
      </c>
      <c r="D123" s="14">
        <f ca="1">'Analysis backend'!E119/'Analysis backend'!$B$2</f>
        <v>0</v>
      </c>
      <c r="E123" s="14">
        <f ca="1">IF(B123=0,0,'Analysis backend'!F119/'Analysis backend'!C119)</f>
        <v>0</v>
      </c>
    </row>
    <row r="124" spans="1:5" ht="15" customHeight="1" x14ac:dyDescent="0.3">
      <c r="A124" s="15" t="e">
        <f>'Analysis backend'!B120</f>
        <v>#N/A</v>
      </c>
      <c r="B124" s="14">
        <f ca="1">'Analysis backend'!C120/'Analysis backend'!$B$2</f>
        <v>0</v>
      </c>
      <c r="C124" s="14">
        <f ca="1">'Analysis backend'!D120/'Analysis backend'!$B$2</f>
        <v>0</v>
      </c>
      <c r="D124" s="14">
        <f ca="1">'Analysis backend'!E120/'Analysis backend'!$B$2</f>
        <v>0</v>
      </c>
      <c r="E124" s="14">
        <f ca="1">IF(B124=0,0,'Analysis backend'!F120/'Analysis backend'!C120)</f>
        <v>0</v>
      </c>
    </row>
    <row r="125" spans="1:5" ht="15" customHeight="1" x14ac:dyDescent="0.3">
      <c r="A125" s="15" t="e">
        <f>'Analysis backend'!B121</f>
        <v>#N/A</v>
      </c>
      <c r="B125" s="14">
        <f ca="1">'Analysis backend'!C121/'Analysis backend'!$B$2</f>
        <v>0</v>
      </c>
      <c r="C125" s="14">
        <f ca="1">'Analysis backend'!D121/'Analysis backend'!$B$2</f>
        <v>0</v>
      </c>
      <c r="D125" s="14">
        <f ca="1">'Analysis backend'!E121/'Analysis backend'!$B$2</f>
        <v>0</v>
      </c>
      <c r="E125" s="14">
        <f ca="1">IF(B125=0,0,'Analysis backend'!F121/'Analysis backend'!C121)</f>
        <v>0</v>
      </c>
    </row>
    <row r="126" spans="1:5" ht="15" customHeight="1" x14ac:dyDescent="0.3">
      <c r="A126" s="15" t="e">
        <f>'Analysis backend'!B122</f>
        <v>#N/A</v>
      </c>
      <c r="B126" s="14">
        <f ca="1">'Analysis backend'!C122/'Analysis backend'!$B$2</f>
        <v>0</v>
      </c>
      <c r="C126" s="14">
        <f ca="1">'Analysis backend'!D122/'Analysis backend'!$B$2</f>
        <v>0</v>
      </c>
      <c r="D126" s="14">
        <f ca="1">'Analysis backend'!E122/'Analysis backend'!$B$2</f>
        <v>0</v>
      </c>
      <c r="E126" s="14">
        <f ca="1">IF(B126=0,0,'Analysis backend'!F122/'Analysis backend'!C122)</f>
        <v>0</v>
      </c>
    </row>
    <row r="127" spans="1:5" ht="15" customHeight="1" x14ac:dyDescent="0.3">
      <c r="A127" s="15" t="e">
        <f>'Analysis backend'!B126</f>
        <v>#N/A</v>
      </c>
      <c r="B127" s="14">
        <f ca="1">'Analysis backend'!C126/'Analysis backend'!$B$2</f>
        <v>0</v>
      </c>
      <c r="C127" s="14">
        <f ca="1">'Analysis backend'!D126/'Analysis backend'!$B$2</f>
        <v>0</v>
      </c>
      <c r="D127" s="14">
        <f ca="1">'Analysis backend'!E126/'Analysis backend'!$B$2</f>
        <v>0</v>
      </c>
      <c r="E127" s="14">
        <f ca="1">IF(B127=0,0,'Analysis backend'!F126/'Analysis backend'!C126)</f>
        <v>0</v>
      </c>
    </row>
    <row r="128" spans="1:5" ht="15" customHeight="1" x14ac:dyDescent="0.3">
      <c r="A128" s="15" t="e">
        <f>'Analysis backend'!B127</f>
        <v>#N/A</v>
      </c>
      <c r="B128" s="14">
        <f ca="1">'Analysis backend'!C127/'Analysis backend'!$B$2</f>
        <v>0</v>
      </c>
      <c r="C128" s="14">
        <f ca="1">'Analysis backend'!D127/'Analysis backend'!$B$2</f>
        <v>0</v>
      </c>
      <c r="D128" s="14">
        <f ca="1">'Analysis backend'!E127/'Analysis backend'!$B$2</f>
        <v>0</v>
      </c>
      <c r="E128" s="14">
        <f ca="1">IF(B128=0,0,'Analysis backend'!F127/'Analysis backend'!C127)</f>
        <v>0</v>
      </c>
    </row>
    <row r="129" spans="1:5" ht="15" customHeight="1" x14ac:dyDescent="0.3">
      <c r="A129" s="15" t="e">
        <f>'Analysis backend'!B128</f>
        <v>#N/A</v>
      </c>
      <c r="B129" s="14">
        <f ca="1">'Analysis backend'!C128/'Analysis backend'!$B$2</f>
        <v>0</v>
      </c>
      <c r="C129" s="14">
        <f ca="1">'Analysis backend'!D128/'Analysis backend'!$B$2</f>
        <v>0</v>
      </c>
      <c r="D129" s="14">
        <f ca="1">'Analysis backend'!E128/'Analysis backend'!$B$2</f>
        <v>0</v>
      </c>
      <c r="E129" s="14">
        <f ca="1">IF(B129=0,0,'Analysis backend'!F128/'Analysis backend'!C128)</f>
        <v>0</v>
      </c>
    </row>
    <row r="130" spans="1:5" ht="15" customHeight="1" x14ac:dyDescent="0.3">
      <c r="A130" s="15" t="e">
        <f>'Analysis backend'!B129</f>
        <v>#N/A</v>
      </c>
      <c r="B130" s="14">
        <f ca="1">'Analysis backend'!C129/'Analysis backend'!$B$2</f>
        <v>0</v>
      </c>
      <c r="C130" s="14">
        <f ca="1">'Analysis backend'!D129/'Analysis backend'!$B$2</f>
        <v>0</v>
      </c>
      <c r="D130" s="14">
        <f ca="1">'Analysis backend'!E129/'Analysis backend'!$B$2</f>
        <v>0</v>
      </c>
      <c r="E130" s="14">
        <f ca="1">IF(B130=0,0,'Analysis backend'!F129/'Analysis backend'!C129)</f>
        <v>0</v>
      </c>
    </row>
    <row r="131" spans="1:5" ht="15" customHeight="1" x14ac:dyDescent="0.3">
      <c r="A131" s="15" t="e">
        <f>'Analysis backend'!B130</f>
        <v>#N/A</v>
      </c>
      <c r="B131" s="14">
        <f ca="1">'Analysis backend'!C130/'Analysis backend'!$B$2</f>
        <v>0</v>
      </c>
      <c r="C131" s="14">
        <f ca="1">'Analysis backend'!D130/'Analysis backend'!$B$2</f>
        <v>0</v>
      </c>
      <c r="D131" s="14">
        <f ca="1">'Analysis backend'!E130/'Analysis backend'!$B$2</f>
        <v>0</v>
      </c>
      <c r="E131" s="14">
        <f ca="1">IF(B131=0,0,'Analysis backend'!F130/'Analysis backend'!C130)</f>
        <v>0</v>
      </c>
    </row>
  </sheetData>
  <autoFilter ref="A5:E131">
    <sortState ref="A6:E131">
      <sortCondition descending="1" ref="D5:D131"/>
    </sortState>
  </autoFilter>
  <conditionalFormatting sqref="E6:E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37"/>
  <sheetViews>
    <sheetView workbookViewId="0">
      <selection activeCell="L4" sqref="L4"/>
    </sheetView>
  </sheetViews>
  <sheetFormatPr defaultRowHeight="14.4" x14ac:dyDescent="0.3"/>
  <cols>
    <col min="12" max="12" width="12.77734375" bestFit="1" customWidth="1"/>
    <col min="13" max="13" width="12.77734375" customWidth="1"/>
  </cols>
  <sheetData>
    <row r="1" spans="1:26" x14ac:dyDescent="0.3">
      <c r="A1" t="s">
        <v>384</v>
      </c>
      <c r="B1">
        <f>COUNT(output_parsed!A:A)</f>
        <v>287</v>
      </c>
      <c r="L1" t="str">
        <f>'Hero analysis'!B1</f>
        <v>Phantom Assassin</v>
      </c>
      <c r="M1">
        <f>INDEX($A$5:$A$136,MATCH(L1,$B$5:$B$136,0))</f>
        <v>44</v>
      </c>
    </row>
    <row r="2" spans="1:26" x14ac:dyDescent="0.3">
      <c r="A2" t="s">
        <v>385</v>
      </c>
      <c r="B2">
        <f t="array" aca="1" ref="B2" ca="1">COUNT(INDIRECT("output_parsed!E1:E"&amp;$B$1))</f>
        <v>275</v>
      </c>
      <c r="L2" t="s">
        <v>393</v>
      </c>
      <c r="N2" t="s">
        <v>394</v>
      </c>
    </row>
    <row r="3" spans="1:26" x14ac:dyDescent="0.3">
      <c r="A3" t="s">
        <v>388</v>
      </c>
      <c r="B3">
        <f t="array" aca="1" ref="B3" ca="1">AVERAGE(IF(ISNUMBER(INDIRECT("output_parsed!E1:E"&amp;$B$1)),INDIRECT("output_parsed!C1:C"&amp;$B$1)))</f>
        <v>6913.9454545454546</v>
      </c>
      <c r="L3">
        <f t="array" aca="1" ref="L3" ca="1">COUNT(IF(INDIRECT("output_parsed_hero!E1:i"&amp;$B$1)=$L$4,INDIRECT("output_parsed_hero!E1:i"&amp;$B$1)))</f>
        <v>74</v>
      </c>
      <c r="N3">
        <f t="array" aca="1" ref="N3" ca="1">COUNT(IF(INDIRECT("output_parsed_hero!j1:n"&amp;$B$1)=$L$4,INDIRECT("output_parsed_hero!j1:n"&amp;$B$1)))</f>
        <v>63</v>
      </c>
      <c r="O3">
        <f ca="1">SUM(L3:N3)</f>
        <v>137</v>
      </c>
    </row>
    <row r="4" spans="1:26" x14ac:dyDescent="0.3">
      <c r="A4" t="s">
        <v>20</v>
      </c>
      <c r="B4" t="s">
        <v>20</v>
      </c>
      <c r="C4" t="s">
        <v>380</v>
      </c>
      <c r="D4" t="s">
        <v>381</v>
      </c>
      <c r="E4" t="s">
        <v>383</v>
      </c>
      <c r="F4" t="s">
        <v>382</v>
      </c>
      <c r="L4">
        <f>M1</f>
        <v>44</v>
      </c>
    </row>
    <row r="5" spans="1:26" x14ac:dyDescent="0.3">
      <c r="A5">
        <v>1</v>
      </c>
      <c r="B5" t="str">
        <f>VLOOKUP(A5,'hero names'!$S$7:$T$209,2,0)</f>
        <v>Anti-Mage</v>
      </c>
      <c r="C5">
        <f t="array" aca="1" ref="C5" ca="1">COUNT(IF(INDIRECT("output_parsed!E1:N"&amp;$B$1)='Analysis backend'!$A5,INDIRECT("output_parsed!E1:N"&amp;$B$1)))</f>
        <v>71</v>
      </c>
      <c r="D5">
        <f t="array" aca="1" ref="D5" ca="1">COUNT(IF(INDIRECT("output_parsed!o1:s"&amp;$B$1)='Analysis backend'!$A5,INDIRECT("output_parsed!o1:s"&amp;$B$1)))</f>
        <v>14</v>
      </c>
      <c r="E5">
        <f t="shared" ref="E5:E36" ca="1" si="0">D5+C5</f>
        <v>85</v>
      </c>
      <c r="F5">
        <f t="array" aca="1" ref="F5" ca="1">COUNT(IF(INDIRECT("output_parsed!D1:D"&amp;$B$1)=TRUE,IF(INDIRECT("output_parsed!E1:I"&amp;$B$1)='Analysis backend'!$A5,INDIRECT("output_parsed!E1:I"&amp;$B$1))))+COUNT(IF(INDIRECT("output_parsed!D1:D"&amp;$B$1)=FALSE,IF(INDIRECT("output_parsed!J1:N"&amp;$B$1)='Analysis backend'!$A5,INDIRECT("output_parsed!J1:N"&amp;$B$1))))</f>
        <v>42</v>
      </c>
      <c r="L5" t="s">
        <v>389</v>
      </c>
      <c r="N5" t="s">
        <v>390</v>
      </c>
      <c r="O5" t="s">
        <v>392</v>
      </c>
      <c r="P5" t="s">
        <v>395</v>
      </c>
      <c r="Q5" t="s">
        <v>391</v>
      </c>
      <c r="R5" t="s">
        <v>392</v>
      </c>
      <c r="S5" t="s">
        <v>396</v>
      </c>
      <c r="Z5" t="s">
        <v>499</v>
      </c>
    </row>
    <row r="6" spans="1:26" x14ac:dyDescent="0.3">
      <c r="A6">
        <f t="shared" ref="A6:A37" si="1">A5+1</f>
        <v>2</v>
      </c>
      <c r="B6" t="str">
        <f>VLOOKUP(A6,'hero names'!$S$7:$T$209,2,0)</f>
        <v>Axe</v>
      </c>
      <c r="C6">
        <f t="array" aca="1" ref="C6" ca="1">COUNT(IF(INDIRECT("output_parsed!E1:N"&amp;$B$1)='Analysis backend'!$A6,INDIRECT("output_parsed!E1:N"&amp;$B$1)))</f>
        <v>46</v>
      </c>
      <c r="D6">
        <f t="array" aca="1" ref="D6" ca="1">COUNT(IF(INDIRECT("output_parsed!o1:s"&amp;$B$1)='Analysis backend'!$A6,INDIRECT("output_parsed!o1:s"&amp;$B$1)))</f>
        <v>21</v>
      </c>
      <c r="E6">
        <f t="shared" ca="1" si="0"/>
        <v>67</v>
      </c>
      <c r="F6">
        <f t="array" aca="1" ref="F6" ca="1">COUNT(IF(INDIRECT("output_parsed!D1:D"&amp;$B$1)=TRUE,IF(INDIRECT("output_parsed!E1:I"&amp;$B$1)='Analysis backend'!$A6,INDIRECT("output_parsed!E1:I"&amp;$B$1))))+COUNT(IF(INDIRECT("output_parsed!D1:D"&amp;$B$1)=FALSE,IF(INDIRECT("output_parsed!J1:N"&amp;$B$1)='Analysis backend'!$A6,INDIRECT("output_parsed!J1:N"&amp;$B$1))))</f>
        <v>19</v>
      </c>
      <c r="L6">
        <v>1</v>
      </c>
      <c r="M6" t="str">
        <f t="shared" ref="M6:M37" si="2">B5</f>
        <v>Anti-Mage</v>
      </c>
      <c r="N6">
        <f t="array" aca="1" ref="N6" ca="1">SUM(IF(INDIRECT("output_parsed_hero!t1:t"&amp;$B$1)=$L$1,IF(INDIRECT("output_parsed_hero!u1:u"&amp;$B$1)="Radiant",IF(INDIRECT("output_parsed_hero!E1:I"&amp;$B$1)=$L6,1))))+SUM(IF(INDIRECT("output_parsed_hero!t1:t"&amp;$B$1)=$L$1,IF(INDIRECT("output_parsed_hero!u1:u"&amp;$B$1)="Dire",IF(INDIRECT("output_parsed_hero!j1:n"&amp;$B$1)=$L6,1))))</f>
        <v>3</v>
      </c>
      <c r="O6">
        <f t="array" aca="1" ref="O6" ca="1">SUM(IF(INDIRECT("output_parsed_hero!t1:t"&amp;$B$1)=$L$1,IF(INDIRECT("output_parsed_hero!u1:u"&amp;$B$1)="Radiant",IF(INDIRECT("output_parsed_hero!E1:I"&amp;$B$1)=$L6,IF(INDIRECT("output_parsed_hero!D1:D"&amp;$B$1)=TRUE,1)))))+SUM(IF(INDIRECT("output_parsed_hero!t1:t"&amp;$B$1)=$L$1,IF(INDIRECT("output_parsed_hero!u1:u"&amp;$B$1)="Dire",IF(INDIRECT("output_parsed_hero!j1:N"&amp;$B$1)=$L6,IF(INDIRECT("output_parsed_hero!D1:D"&amp;$B$1)=FALSE,1)))))</f>
        <v>1</v>
      </c>
      <c r="P6">
        <f t="shared" ref="P6:P37" ca="1" si="3">IF(ISERROR(O6/N6),0,O6/N6)</f>
        <v>0.33333333333333331</v>
      </c>
      <c r="Q6">
        <f t="array" aca="1" ref="Q6" ca="1">SUM(IF(INDIRECT("output_parsed_hero!t1:t"&amp;$B$1)=$L$1,IF(INDIRECT("output_parsed_hero!u1:u"&amp;$B$1)="Radiant",IF(INDIRECT("output_parsed_hero!j1:n"&amp;$B$1)=$L6,1))))+SUM(IF(INDIRECT("output_parsed_hero!t1:t"&amp;$B$1)=$L$1,IF(INDIRECT("output_parsed_hero!u1:u"&amp;$B$1)="Dire",IF(INDIRECT("output_parsed_hero!e1:i"&amp;$B$1)=$L6,1))))</f>
        <v>20</v>
      </c>
      <c r="R6">
        <f t="array" aca="1" ref="R6" ca="1">SUM(IF(INDIRECT("output_parsed_hero!t1:t"&amp;$B$1)=$L$1,IF(INDIRECT("output_parsed_hero!u1:u"&amp;$B$1)="Radiant",IF(INDIRECT("output_parsed_hero!j1:n"&amp;$B$1)=$L6,IF(INDIRECT("output_parsed_hero!D1:D"&amp;$B$1)=TRUE,1)))))+SUM(IF(INDIRECT("output_parsed_hero!t1:t"&amp;$B$1)=$L$1,IF(INDIRECT("output_parsed_hero!u1:u"&amp;$B$1)="Dire",IF(INDIRECT("output_parsed_hero!e1:i"&amp;$B$1)=$L6,IF(INDIRECT("output_parsed_hero!D1:D"&amp;$B$1)=FALSE,1)))))</f>
        <v>11</v>
      </c>
      <c r="S6">
        <f t="shared" ref="S6:S69" ca="1" si="4">IF(ISERROR(R6/Q6),0,R6/Q6)</f>
        <v>0.55000000000000004</v>
      </c>
      <c r="Z6" t="s">
        <v>470</v>
      </c>
    </row>
    <row r="7" spans="1:26" x14ac:dyDescent="0.3">
      <c r="A7">
        <f t="shared" si="1"/>
        <v>3</v>
      </c>
      <c r="B7" t="str">
        <f>VLOOKUP(A7,'hero names'!$S$7:$T$209,2,0)</f>
        <v>Bane</v>
      </c>
      <c r="C7">
        <f t="array" aca="1" ref="C7" ca="1">COUNT(IF(INDIRECT("output_parsed!E1:N"&amp;$B$1)='Analysis backend'!$A7,INDIRECT("output_parsed!E1:N"&amp;$B$1)))</f>
        <v>28</v>
      </c>
      <c r="D7">
        <f t="array" aca="1" ref="D7" ca="1">COUNT(IF(INDIRECT("output_parsed!o1:s"&amp;$B$1)='Analysis backend'!$A7,INDIRECT("output_parsed!o1:s"&amp;$B$1)))</f>
        <v>2</v>
      </c>
      <c r="E7">
        <f t="shared" ca="1" si="0"/>
        <v>30</v>
      </c>
      <c r="F7">
        <f t="array" aca="1" ref="F7" ca="1">COUNT(IF(INDIRECT("output_parsed!D1:D"&amp;$B$1)=TRUE,IF(INDIRECT("output_parsed!E1:I"&amp;$B$1)='Analysis backend'!$A7,INDIRECT("output_parsed!E1:I"&amp;$B$1))))+COUNT(IF(INDIRECT("output_parsed!D1:D"&amp;$B$1)=FALSE,IF(INDIRECT("output_parsed!J1:N"&amp;$B$1)='Analysis backend'!$A7,INDIRECT("output_parsed!J1:N"&amp;$B$1))))</f>
        <v>19</v>
      </c>
      <c r="L7">
        <v>2</v>
      </c>
      <c r="M7" t="str">
        <f t="shared" si="2"/>
        <v>Axe</v>
      </c>
      <c r="N7">
        <f t="array" aca="1" ref="N7" ca="1">SUM(IF(INDIRECT("output_parsed_hero!t1:t"&amp;$B$1)=$L$1,IF(INDIRECT("output_parsed_hero!u1:u"&amp;$B$1)="Radiant",IF(INDIRECT("output_parsed_hero!E1:I"&amp;$B$1)=$L7,1))))+SUM(IF(INDIRECT("output_parsed_hero!t1:t"&amp;$B$1)=$L$1,IF(INDIRECT("output_parsed_hero!u1:u"&amp;$B$1)="Dire",IF(INDIRECT("output_parsed_hero!j1:n"&amp;$B$1)=$L7,1))))</f>
        <v>12</v>
      </c>
      <c r="O7">
        <f t="array" aca="1" ref="O7" ca="1">SUM(IF(INDIRECT("output_parsed_hero!t1:t"&amp;$B$1)=$L$1,IF(INDIRECT("output_parsed_hero!u1:u"&amp;$B$1)="Radiant",IF(INDIRECT("output_parsed_hero!E1:I"&amp;$B$1)=$L7,IF(INDIRECT("output_parsed_hero!D1:D"&amp;$B$1)=TRUE,1)))))+SUM(IF(INDIRECT("output_parsed_hero!t1:t"&amp;$B$1)=$L$1,IF(INDIRECT("output_parsed_hero!u1:u"&amp;$B$1)="Dire",IF(INDIRECT("output_parsed_hero!j1:N"&amp;$B$1)=$L7,IF(INDIRECT("output_parsed_hero!D1:D"&amp;$B$1)=FALSE,1)))))</f>
        <v>6</v>
      </c>
      <c r="P7">
        <f t="shared" ca="1" si="3"/>
        <v>0.5</v>
      </c>
      <c r="Q7">
        <f t="array" aca="1" ref="Q7" ca="1">SUM(IF(INDIRECT("output_parsed_hero!t1:t"&amp;$B$1)=$L$1,IF(INDIRECT("output_parsed_hero!u1:u"&amp;$B$1)="Radiant",IF(INDIRECT("output_parsed_hero!j1:n"&amp;$B$1)=$L7,1))))+SUM(IF(INDIRECT("output_parsed_hero!t1:t"&amp;$B$1)=$L$1,IF(INDIRECT("output_parsed_hero!u1:u"&amp;$B$1)="Dire",IF(INDIRECT("output_parsed_hero!e1:i"&amp;$B$1)=$L7,1))))</f>
        <v>8</v>
      </c>
      <c r="R7">
        <f t="array" aca="1" ref="R7" ca="1">SUM(IF(INDIRECT("output_parsed_hero!t1:t"&amp;$B$1)=$L$1,IF(INDIRECT("output_parsed_hero!u1:u"&amp;$B$1)="Radiant",IF(INDIRECT("output_parsed_hero!j1:n"&amp;$B$1)=$L7,IF(INDIRECT("output_parsed_hero!D1:D"&amp;$B$1)=TRUE,1)))))+SUM(IF(INDIRECT("output_parsed_hero!t1:t"&amp;$B$1)=$L$1,IF(INDIRECT("output_parsed_hero!u1:u"&amp;$B$1)="Dire",IF(INDIRECT("output_parsed_hero!e1:i"&amp;$B$1)=$L7,IF(INDIRECT("output_parsed_hero!D1:D"&amp;$B$1)=FALSE,1)))))</f>
        <v>8</v>
      </c>
      <c r="S7">
        <f t="shared" ca="1" si="4"/>
        <v>1</v>
      </c>
      <c r="Z7" t="s">
        <v>465</v>
      </c>
    </row>
    <row r="8" spans="1:26" x14ac:dyDescent="0.3">
      <c r="A8">
        <f t="shared" si="1"/>
        <v>4</v>
      </c>
      <c r="B8" t="str">
        <f>VLOOKUP(A8,'hero names'!$S$7:$T$209,2,0)</f>
        <v>Bloodseeker</v>
      </c>
      <c r="C8">
        <f t="array" aca="1" ref="C8" ca="1">COUNT(IF(INDIRECT("output_parsed!E1:N"&amp;$B$1)='Analysis backend'!$A8,INDIRECT("output_parsed!E1:N"&amp;$B$1)))</f>
        <v>6</v>
      </c>
      <c r="D8">
        <f t="array" aca="1" ref="D8" ca="1">COUNT(IF(INDIRECT("output_parsed!o1:s"&amp;$B$1)='Analysis backend'!$A8,INDIRECT("output_parsed!o1:s"&amp;$B$1)))</f>
        <v>0</v>
      </c>
      <c r="E8">
        <f t="shared" ca="1" si="0"/>
        <v>6</v>
      </c>
      <c r="F8">
        <f t="array" aca="1" ref="F8" ca="1">COUNT(IF(INDIRECT("output_parsed!D1:D"&amp;$B$1)=TRUE,IF(INDIRECT("output_parsed!E1:I"&amp;$B$1)='Analysis backend'!$A8,INDIRECT("output_parsed!E1:I"&amp;$B$1))))+COUNT(IF(INDIRECT("output_parsed!D1:D"&amp;$B$1)=FALSE,IF(INDIRECT("output_parsed!J1:N"&amp;$B$1)='Analysis backend'!$A8,INDIRECT("output_parsed!J1:N"&amp;$B$1))))</f>
        <v>3</v>
      </c>
      <c r="L8">
        <v>3</v>
      </c>
      <c r="M8" t="str">
        <f t="shared" si="2"/>
        <v>Bane</v>
      </c>
      <c r="N8">
        <f t="array" aca="1" ref="N8" ca="1">SUM(IF(INDIRECT("output_parsed_hero!t1:t"&amp;$B$1)=$L$1,IF(INDIRECT("output_parsed_hero!u1:u"&amp;$B$1)="Radiant",IF(INDIRECT("output_parsed_hero!E1:I"&amp;$B$1)=$L8,1))))+SUM(IF(INDIRECT("output_parsed_hero!t1:t"&amp;$B$1)=$L$1,IF(INDIRECT("output_parsed_hero!u1:u"&amp;$B$1)="Dire",IF(INDIRECT("output_parsed_hero!j1:n"&amp;$B$1)=$L8,1))))</f>
        <v>7</v>
      </c>
      <c r="O8">
        <f t="array" aca="1" ref="O8" ca="1">SUM(IF(INDIRECT("output_parsed_hero!t1:t"&amp;$B$1)=$L$1,IF(INDIRECT("output_parsed_hero!u1:u"&amp;$B$1)="Radiant",IF(INDIRECT("output_parsed_hero!E1:I"&amp;$B$1)=$L8,IF(INDIRECT("output_parsed_hero!D1:D"&amp;$B$1)=TRUE,1)))))+SUM(IF(INDIRECT("output_parsed_hero!t1:t"&amp;$B$1)=$L$1,IF(INDIRECT("output_parsed_hero!u1:u"&amp;$B$1)="Dire",IF(INDIRECT("output_parsed_hero!j1:N"&amp;$B$1)=$L8,IF(INDIRECT("output_parsed_hero!D1:D"&amp;$B$1)=FALSE,1)))))</f>
        <v>5</v>
      </c>
      <c r="P8">
        <f t="shared" ca="1" si="3"/>
        <v>0.7142857142857143</v>
      </c>
      <c r="Q8">
        <f t="array" aca="1" ref="Q8" ca="1">SUM(IF(INDIRECT("output_parsed_hero!t1:t"&amp;$B$1)=$L$1,IF(INDIRECT("output_parsed_hero!u1:u"&amp;$B$1)="Radiant",IF(INDIRECT("output_parsed_hero!j1:n"&amp;$B$1)=$L8,1))))+SUM(IF(INDIRECT("output_parsed_hero!t1:t"&amp;$B$1)=$L$1,IF(INDIRECT("output_parsed_hero!u1:u"&amp;$B$1)="Dire",IF(INDIRECT("output_parsed_hero!e1:i"&amp;$B$1)=$L8,1))))</f>
        <v>9</v>
      </c>
      <c r="R8">
        <f t="array" aca="1" ref="R8" ca="1">SUM(IF(INDIRECT("output_parsed_hero!t1:t"&amp;$B$1)=$L$1,IF(INDIRECT("output_parsed_hero!u1:u"&amp;$B$1)="Radiant",IF(INDIRECT("output_parsed_hero!j1:n"&amp;$B$1)=$L8,IF(INDIRECT("output_parsed_hero!D1:D"&amp;$B$1)=TRUE,1)))))+SUM(IF(INDIRECT("output_parsed_hero!t1:t"&amp;$B$1)=$L$1,IF(INDIRECT("output_parsed_hero!u1:u"&amp;$B$1)="Dire",IF(INDIRECT("output_parsed_hero!e1:i"&amp;$B$1)=$L8,IF(INDIRECT("output_parsed_hero!D1:D"&amp;$B$1)=FALSE,1)))))</f>
        <v>4</v>
      </c>
      <c r="S8">
        <f t="shared" ca="1" si="4"/>
        <v>0.44444444444444442</v>
      </c>
      <c r="Z8" t="s">
        <v>399</v>
      </c>
    </row>
    <row r="9" spans="1:26" x14ac:dyDescent="0.3">
      <c r="A9">
        <f t="shared" si="1"/>
        <v>5</v>
      </c>
      <c r="B9" t="str">
        <f>VLOOKUP(A9,'hero names'!$S$7:$T$209,2,0)</f>
        <v>Crystal Maiden</v>
      </c>
      <c r="C9">
        <f t="array" aca="1" ref="C9" ca="1">COUNT(IF(INDIRECT("output_parsed!E1:N"&amp;$B$1)='Analysis backend'!$A9,INDIRECT("output_parsed!E1:N"&amp;$B$1)))</f>
        <v>4</v>
      </c>
      <c r="D9">
        <f t="array" aca="1" ref="D9" ca="1">COUNT(IF(INDIRECT("output_parsed!o1:s"&amp;$B$1)='Analysis backend'!$A9,INDIRECT("output_parsed!o1:s"&amp;$B$1)))</f>
        <v>0</v>
      </c>
      <c r="E9">
        <f t="shared" ca="1" si="0"/>
        <v>4</v>
      </c>
      <c r="F9">
        <f t="array" aca="1" ref="F9" ca="1">COUNT(IF(INDIRECT("output_parsed!D1:D"&amp;$B$1)=TRUE,IF(INDIRECT("output_parsed!E1:I"&amp;$B$1)='Analysis backend'!$A9,INDIRECT("output_parsed!E1:I"&amp;$B$1))))+COUNT(IF(INDIRECT("output_parsed!D1:D"&amp;$B$1)=FALSE,IF(INDIRECT("output_parsed!J1:N"&amp;$B$1)='Analysis backend'!$A9,INDIRECT("output_parsed!J1:N"&amp;$B$1))))</f>
        <v>2</v>
      </c>
      <c r="L9">
        <f t="shared" ref="L9:L40" si="5">L8+1</f>
        <v>4</v>
      </c>
      <c r="M9" t="str">
        <f t="shared" si="2"/>
        <v>Bloodseeker</v>
      </c>
      <c r="N9">
        <f t="array" aca="1" ref="N9" ca="1">SUM(IF(INDIRECT("output_parsed_hero!t1:t"&amp;$B$1)=$L$1,IF(INDIRECT("output_parsed_hero!u1:u"&amp;$B$1)="Radiant",IF(INDIRECT("output_parsed_hero!E1:I"&amp;$B$1)=$L9,1))))+SUM(IF(INDIRECT("output_parsed_hero!t1:t"&amp;$B$1)=$L$1,IF(INDIRECT("output_parsed_hero!u1:u"&amp;$B$1)="Dire",IF(INDIRECT("output_parsed_hero!j1:n"&amp;$B$1)=$L9,1))))</f>
        <v>0</v>
      </c>
      <c r="O9">
        <f t="array" aca="1" ref="O9" ca="1">SUM(IF(INDIRECT("output_parsed_hero!t1:t"&amp;$B$1)=$L$1,IF(INDIRECT("output_parsed_hero!u1:u"&amp;$B$1)="Radiant",IF(INDIRECT("output_parsed_hero!E1:I"&amp;$B$1)=$L9,IF(INDIRECT("output_parsed_hero!D1:D"&amp;$B$1)=TRUE,1)))))+SUM(IF(INDIRECT("output_parsed_hero!t1:t"&amp;$B$1)=$L$1,IF(INDIRECT("output_parsed_hero!u1:u"&amp;$B$1)="Dire",IF(INDIRECT("output_parsed_hero!j1:N"&amp;$B$1)=$L9,IF(INDIRECT("output_parsed_hero!D1:D"&amp;$B$1)=FALSE,1)))))</f>
        <v>0</v>
      </c>
      <c r="P9">
        <f t="shared" ca="1" si="3"/>
        <v>0</v>
      </c>
      <c r="Q9">
        <f t="array" aca="1" ref="Q9" ca="1">SUM(IF(INDIRECT("output_parsed_hero!t1:t"&amp;$B$1)=$L$1,IF(INDIRECT("output_parsed_hero!u1:u"&amp;$B$1)="Radiant",IF(INDIRECT("output_parsed_hero!j1:n"&amp;$B$1)=$L9,1))))+SUM(IF(INDIRECT("output_parsed_hero!t1:t"&amp;$B$1)=$L$1,IF(INDIRECT("output_parsed_hero!u1:u"&amp;$B$1)="Dire",IF(INDIRECT("output_parsed_hero!e1:i"&amp;$B$1)=$L9,1))))</f>
        <v>3</v>
      </c>
      <c r="R9">
        <f t="array" aca="1" ref="R9" ca="1">SUM(IF(INDIRECT("output_parsed_hero!t1:t"&amp;$B$1)=$L$1,IF(INDIRECT("output_parsed_hero!u1:u"&amp;$B$1)="Radiant",IF(INDIRECT("output_parsed_hero!j1:n"&amp;$B$1)=$L9,IF(INDIRECT("output_parsed_hero!D1:D"&amp;$B$1)=TRUE,1)))))+SUM(IF(INDIRECT("output_parsed_hero!t1:t"&amp;$B$1)=$L$1,IF(INDIRECT("output_parsed_hero!u1:u"&amp;$B$1)="Dire",IF(INDIRECT("output_parsed_hero!e1:i"&amp;$B$1)=$L9,IF(INDIRECT("output_parsed_hero!D1:D"&amp;$B$1)=FALSE,1)))))</f>
        <v>1</v>
      </c>
      <c r="S9">
        <f t="shared" ca="1" si="4"/>
        <v>0.33333333333333331</v>
      </c>
      <c r="Z9" t="s">
        <v>510</v>
      </c>
    </row>
    <row r="10" spans="1:26" x14ac:dyDescent="0.3">
      <c r="A10">
        <f t="shared" si="1"/>
        <v>6</v>
      </c>
      <c r="B10" t="str">
        <f>VLOOKUP(A10,'hero names'!$S$7:$T$209,2,0)</f>
        <v>Drow Ranger</v>
      </c>
      <c r="C10">
        <f t="array" aca="1" ref="C10" ca="1">COUNT(IF(INDIRECT("output_parsed!E1:N"&amp;$B$1)='Analysis backend'!$A10,INDIRECT("output_parsed!E1:N"&amp;$B$1)))</f>
        <v>31</v>
      </c>
      <c r="D10">
        <f t="array" aca="1" ref="D10" ca="1">COUNT(IF(INDIRECT("output_parsed!o1:s"&amp;$B$1)='Analysis backend'!$A10,INDIRECT("output_parsed!o1:s"&amp;$B$1)))</f>
        <v>6</v>
      </c>
      <c r="E10">
        <f t="shared" ca="1" si="0"/>
        <v>37</v>
      </c>
      <c r="F10">
        <f t="array" aca="1" ref="F10" ca="1">COUNT(IF(INDIRECT("output_parsed!D1:D"&amp;$B$1)=TRUE,IF(INDIRECT("output_parsed!E1:I"&amp;$B$1)='Analysis backend'!$A10,INDIRECT("output_parsed!E1:I"&amp;$B$1))))+COUNT(IF(INDIRECT("output_parsed!D1:D"&amp;$B$1)=FALSE,IF(INDIRECT("output_parsed!J1:N"&amp;$B$1)='Analysis backend'!$A10,INDIRECT("output_parsed!J1:N"&amp;$B$1))))</f>
        <v>8</v>
      </c>
      <c r="L10">
        <f t="shared" si="5"/>
        <v>5</v>
      </c>
      <c r="M10" t="str">
        <f t="shared" si="2"/>
        <v>Crystal Maiden</v>
      </c>
      <c r="N10">
        <f t="array" aca="1" ref="N10" ca="1">SUM(IF(INDIRECT("output_parsed_hero!t1:t"&amp;$B$1)=$L$1,IF(INDIRECT("output_parsed_hero!u1:u"&amp;$B$1)="Radiant",IF(INDIRECT("output_parsed_hero!E1:I"&amp;$B$1)=$L10,1))))+SUM(IF(INDIRECT("output_parsed_hero!t1:t"&amp;$B$1)=$L$1,IF(INDIRECT("output_parsed_hero!u1:u"&amp;$B$1)="Dire",IF(INDIRECT("output_parsed_hero!j1:n"&amp;$B$1)=$L10,1))))</f>
        <v>1</v>
      </c>
      <c r="O10">
        <f t="array" aca="1" ref="O10" ca="1">SUM(IF(INDIRECT("output_parsed_hero!t1:t"&amp;$B$1)=$L$1,IF(INDIRECT("output_parsed_hero!u1:u"&amp;$B$1)="Radiant",IF(INDIRECT("output_parsed_hero!E1:I"&amp;$B$1)=$L10,IF(INDIRECT("output_parsed_hero!D1:D"&amp;$B$1)=TRUE,1)))))+SUM(IF(INDIRECT("output_parsed_hero!t1:t"&amp;$B$1)=$L$1,IF(INDIRECT("output_parsed_hero!u1:u"&amp;$B$1)="Dire",IF(INDIRECT("output_parsed_hero!j1:N"&amp;$B$1)=$L10,IF(INDIRECT("output_parsed_hero!D1:D"&amp;$B$1)=FALSE,1)))))</f>
        <v>1</v>
      </c>
      <c r="P10">
        <f t="shared" ca="1" si="3"/>
        <v>1</v>
      </c>
      <c r="Q10">
        <f t="array" aca="1" ref="Q10" ca="1">SUM(IF(INDIRECT("output_parsed_hero!t1:t"&amp;$B$1)=$L$1,IF(INDIRECT("output_parsed_hero!u1:u"&amp;$B$1)="Radiant",IF(INDIRECT("output_parsed_hero!j1:n"&amp;$B$1)=$L10,1))))+SUM(IF(INDIRECT("output_parsed_hero!t1:t"&amp;$B$1)=$L$1,IF(INDIRECT("output_parsed_hero!u1:u"&amp;$B$1)="Dire",IF(INDIRECT("output_parsed_hero!e1:i"&amp;$B$1)=$L10,1))))</f>
        <v>0</v>
      </c>
      <c r="R10">
        <f t="array" aca="1" ref="R10" ca="1">SUM(IF(INDIRECT("output_parsed_hero!t1:t"&amp;$B$1)=$L$1,IF(INDIRECT("output_parsed_hero!u1:u"&amp;$B$1)="Radiant",IF(INDIRECT("output_parsed_hero!j1:n"&amp;$B$1)=$L10,IF(INDIRECT("output_parsed_hero!D1:D"&amp;$B$1)=TRUE,1)))))+SUM(IF(INDIRECT("output_parsed_hero!t1:t"&amp;$B$1)=$L$1,IF(INDIRECT("output_parsed_hero!u1:u"&amp;$B$1)="Dire",IF(INDIRECT("output_parsed_hero!e1:i"&amp;$B$1)=$L10,IF(INDIRECT("output_parsed_hero!D1:D"&amp;$B$1)=FALSE,1)))))</f>
        <v>0</v>
      </c>
      <c r="S10">
        <f t="shared" ca="1" si="4"/>
        <v>0</v>
      </c>
      <c r="Z10" t="s">
        <v>400</v>
      </c>
    </row>
    <row r="11" spans="1:26" x14ac:dyDescent="0.3">
      <c r="A11">
        <f t="shared" si="1"/>
        <v>7</v>
      </c>
      <c r="B11" t="str">
        <f>VLOOKUP(A11,'hero names'!$S$7:$T$209,2,0)</f>
        <v>Earthshaker</v>
      </c>
      <c r="C11">
        <f t="array" aca="1" ref="C11" ca="1">COUNT(IF(INDIRECT("output_parsed!E1:N"&amp;$B$1)='Analysis backend'!$A11,INDIRECT("output_parsed!E1:N"&amp;$B$1)))</f>
        <v>29</v>
      </c>
      <c r="D11">
        <f t="array" aca="1" ref="D11" ca="1">COUNT(IF(INDIRECT("output_parsed!o1:s"&amp;$B$1)='Analysis backend'!$A11,INDIRECT("output_parsed!o1:s"&amp;$B$1)))</f>
        <v>0</v>
      </c>
      <c r="E11">
        <f t="shared" ca="1" si="0"/>
        <v>29</v>
      </c>
      <c r="F11">
        <f t="array" aca="1" ref="F11" ca="1">COUNT(IF(INDIRECT("output_parsed!D1:D"&amp;$B$1)=TRUE,IF(INDIRECT("output_parsed!E1:I"&amp;$B$1)='Analysis backend'!$A11,INDIRECT("output_parsed!E1:I"&amp;$B$1))))+COUNT(IF(INDIRECT("output_parsed!D1:D"&amp;$B$1)=FALSE,IF(INDIRECT("output_parsed!J1:N"&amp;$B$1)='Analysis backend'!$A11,INDIRECT("output_parsed!J1:N"&amp;$B$1))))</f>
        <v>14</v>
      </c>
      <c r="L11">
        <f t="shared" si="5"/>
        <v>6</v>
      </c>
      <c r="M11" t="str">
        <f t="shared" si="2"/>
        <v>Drow Ranger</v>
      </c>
      <c r="N11">
        <f t="array" aca="1" ref="N11" ca="1">SUM(IF(INDIRECT("output_parsed_hero!t1:t"&amp;$B$1)=$L$1,IF(INDIRECT("output_parsed_hero!u1:u"&amp;$B$1)="Radiant",IF(INDIRECT("output_parsed_hero!E1:I"&amp;$B$1)=$L11,1))))+SUM(IF(INDIRECT("output_parsed_hero!t1:t"&amp;$B$1)=$L$1,IF(INDIRECT("output_parsed_hero!u1:u"&amp;$B$1)="Dire",IF(INDIRECT("output_parsed_hero!j1:n"&amp;$B$1)=$L11,1))))</f>
        <v>2</v>
      </c>
      <c r="O11">
        <f t="array" aca="1" ref="O11" ca="1">SUM(IF(INDIRECT("output_parsed_hero!t1:t"&amp;$B$1)=$L$1,IF(INDIRECT("output_parsed_hero!u1:u"&amp;$B$1)="Radiant",IF(INDIRECT("output_parsed_hero!E1:I"&amp;$B$1)=$L11,IF(INDIRECT("output_parsed_hero!D1:D"&amp;$B$1)=TRUE,1)))))+SUM(IF(INDIRECT("output_parsed_hero!t1:t"&amp;$B$1)=$L$1,IF(INDIRECT("output_parsed_hero!u1:u"&amp;$B$1)="Dire",IF(INDIRECT("output_parsed_hero!j1:N"&amp;$B$1)=$L11,IF(INDIRECT("output_parsed_hero!D1:D"&amp;$B$1)=FALSE,1)))))</f>
        <v>0</v>
      </c>
      <c r="P11">
        <f t="shared" ca="1" si="3"/>
        <v>0</v>
      </c>
      <c r="Q11">
        <f t="array" aca="1" ref="Q11" ca="1">SUM(IF(INDIRECT("output_parsed_hero!t1:t"&amp;$B$1)=$L$1,IF(INDIRECT("output_parsed_hero!u1:u"&amp;$B$1)="Radiant",IF(INDIRECT("output_parsed_hero!j1:n"&amp;$B$1)=$L11,1))))+SUM(IF(INDIRECT("output_parsed_hero!t1:t"&amp;$B$1)=$L$1,IF(INDIRECT("output_parsed_hero!u1:u"&amp;$B$1)="Dire",IF(INDIRECT("output_parsed_hero!e1:i"&amp;$B$1)=$L11,1))))</f>
        <v>10</v>
      </c>
      <c r="R11">
        <f t="array" aca="1" ref="R11" ca="1">SUM(IF(INDIRECT("output_parsed_hero!t1:t"&amp;$B$1)=$L$1,IF(INDIRECT("output_parsed_hero!u1:u"&amp;$B$1)="Radiant",IF(INDIRECT("output_parsed_hero!j1:n"&amp;$B$1)=$L11,IF(INDIRECT("output_parsed_hero!D1:D"&amp;$B$1)=TRUE,1)))))+SUM(IF(INDIRECT("output_parsed_hero!t1:t"&amp;$B$1)=$L$1,IF(INDIRECT("output_parsed_hero!u1:u"&amp;$B$1)="Dire",IF(INDIRECT("output_parsed_hero!e1:i"&amp;$B$1)=$L11,IF(INDIRECT("output_parsed_hero!D1:D"&amp;$B$1)=FALSE,1)))))</f>
        <v>7</v>
      </c>
      <c r="S11">
        <f t="shared" ca="1" si="4"/>
        <v>0.7</v>
      </c>
      <c r="Z11" t="s">
        <v>401</v>
      </c>
    </row>
    <row r="12" spans="1:26" x14ac:dyDescent="0.3">
      <c r="A12">
        <f t="shared" si="1"/>
        <v>8</v>
      </c>
      <c r="B12" t="str">
        <f>VLOOKUP(A12,'hero names'!$S$7:$T$209,2,0)</f>
        <v>Juggernaut</v>
      </c>
      <c r="C12">
        <f t="array" aca="1" ref="C12" ca="1">COUNT(IF(INDIRECT("output_parsed!E1:N"&amp;$B$1)='Analysis backend'!$A12,INDIRECT("output_parsed!E1:N"&amp;$B$1)))</f>
        <v>41</v>
      </c>
      <c r="D12">
        <f t="array" aca="1" ref="D12" ca="1">COUNT(IF(INDIRECT("output_parsed!o1:s"&amp;$B$1)='Analysis backend'!$A12,INDIRECT("output_parsed!o1:s"&amp;$B$1)))</f>
        <v>6</v>
      </c>
      <c r="E12">
        <f t="shared" ca="1" si="0"/>
        <v>47</v>
      </c>
      <c r="F12">
        <f t="array" aca="1" ref="F12" ca="1">COUNT(IF(INDIRECT("output_parsed!D1:D"&amp;$B$1)=TRUE,IF(INDIRECT("output_parsed!E1:I"&amp;$B$1)='Analysis backend'!$A12,INDIRECT("output_parsed!E1:I"&amp;$B$1))))+COUNT(IF(INDIRECT("output_parsed!D1:D"&amp;$B$1)=FALSE,IF(INDIRECT("output_parsed!J1:N"&amp;$B$1)='Analysis backend'!$A12,INDIRECT("output_parsed!J1:N"&amp;$B$1))))</f>
        <v>18</v>
      </c>
      <c r="L12">
        <f t="shared" si="5"/>
        <v>7</v>
      </c>
      <c r="M12" t="str">
        <f t="shared" si="2"/>
        <v>Earthshaker</v>
      </c>
      <c r="N12">
        <f t="array" aca="1" ref="N12" ca="1">SUM(IF(INDIRECT("output_parsed_hero!t1:t"&amp;$B$1)=$L$1,IF(INDIRECT("output_parsed_hero!u1:u"&amp;$B$1)="Radiant",IF(INDIRECT("output_parsed_hero!E1:I"&amp;$B$1)=$L12,1))))+SUM(IF(INDIRECT("output_parsed_hero!t1:t"&amp;$B$1)=$L$1,IF(INDIRECT("output_parsed_hero!u1:u"&amp;$B$1)="Dire",IF(INDIRECT("output_parsed_hero!j1:n"&amp;$B$1)=$L12,1))))</f>
        <v>6</v>
      </c>
      <c r="O12">
        <f t="array" aca="1" ref="O12" ca="1">SUM(IF(INDIRECT("output_parsed_hero!t1:t"&amp;$B$1)=$L$1,IF(INDIRECT("output_parsed_hero!u1:u"&amp;$B$1)="Radiant",IF(INDIRECT("output_parsed_hero!E1:I"&amp;$B$1)=$L12,IF(INDIRECT("output_parsed_hero!D1:D"&amp;$B$1)=TRUE,1)))))+SUM(IF(INDIRECT("output_parsed_hero!t1:t"&amp;$B$1)=$L$1,IF(INDIRECT("output_parsed_hero!u1:u"&amp;$B$1)="Dire",IF(INDIRECT("output_parsed_hero!j1:N"&amp;$B$1)=$L12,IF(INDIRECT("output_parsed_hero!D1:D"&amp;$B$1)=FALSE,1)))))</f>
        <v>5</v>
      </c>
      <c r="P12">
        <f t="shared" ca="1" si="3"/>
        <v>0.83333333333333337</v>
      </c>
      <c r="Q12">
        <f t="array" aca="1" ref="Q12" ca="1">SUM(IF(INDIRECT("output_parsed_hero!t1:t"&amp;$B$1)=$L$1,IF(INDIRECT("output_parsed_hero!u1:u"&amp;$B$1)="Radiant",IF(INDIRECT("output_parsed_hero!j1:n"&amp;$B$1)=$L12,1))))+SUM(IF(INDIRECT("output_parsed_hero!t1:t"&amp;$B$1)=$L$1,IF(INDIRECT("output_parsed_hero!u1:u"&amp;$B$1)="Dire",IF(INDIRECT("output_parsed_hero!e1:i"&amp;$B$1)=$L12,1))))</f>
        <v>10</v>
      </c>
      <c r="R12">
        <f t="array" aca="1" ref="R12" ca="1">SUM(IF(INDIRECT("output_parsed_hero!t1:t"&amp;$B$1)=$L$1,IF(INDIRECT("output_parsed_hero!u1:u"&amp;$B$1)="Radiant",IF(INDIRECT("output_parsed_hero!j1:n"&amp;$B$1)=$L12,IF(INDIRECT("output_parsed_hero!D1:D"&amp;$B$1)=TRUE,1)))))+SUM(IF(INDIRECT("output_parsed_hero!t1:t"&amp;$B$1)=$L$1,IF(INDIRECT("output_parsed_hero!u1:u"&amp;$B$1)="Dire",IF(INDIRECT("output_parsed_hero!e1:i"&amp;$B$1)=$L12,IF(INDIRECT("output_parsed_hero!D1:D"&amp;$B$1)=FALSE,1)))))</f>
        <v>8</v>
      </c>
      <c r="S12">
        <f t="shared" ca="1" si="4"/>
        <v>0.8</v>
      </c>
      <c r="Z12" t="s">
        <v>462</v>
      </c>
    </row>
    <row r="13" spans="1:26" x14ac:dyDescent="0.3">
      <c r="A13">
        <f t="shared" si="1"/>
        <v>9</v>
      </c>
      <c r="B13" t="str">
        <f>VLOOKUP(A13,'hero names'!$S$7:$T$209,2,0)</f>
        <v>Mirana</v>
      </c>
      <c r="C13">
        <f t="array" aca="1" ref="C13" ca="1">COUNT(IF(INDIRECT("output_parsed!E1:N"&amp;$B$1)='Analysis backend'!$A13,INDIRECT("output_parsed!E1:N"&amp;$B$1)))</f>
        <v>25</v>
      </c>
      <c r="D13">
        <f t="array" aca="1" ref="D13" ca="1">COUNT(IF(INDIRECT("output_parsed!o1:s"&amp;$B$1)='Analysis backend'!$A13,INDIRECT("output_parsed!o1:s"&amp;$B$1)))</f>
        <v>2</v>
      </c>
      <c r="E13">
        <f t="shared" ca="1" si="0"/>
        <v>27</v>
      </c>
      <c r="F13">
        <f t="array" aca="1" ref="F13" ca="1">COUNT(IF(INDIRECT("output_parsed!D1:D"&amp;$B$1)=TRUE,IF(INDIRECT("output_parsed!E1:I"&amp;$B$1)='Analysis backend'!$A13,INDIRECT("output_parsed!E1:I"&amp;$B$1))))+COUNT(IF(INDIRECT("output_parsed!D1:D"&amp;$B$1)=FALSE,IF(INDIRECT("output_parsed!J1:N"&amp;$B$1)='Analysis backend'!$A13,INDIRECT("output_parsed!J1:N"&amp;$B$1))))</f>
        <v>13</v>
      </c>
      <c r="L13">
        <f t="shared" si="5"/>
        <v>8</v>
      </c>
      <c r="M13" t="str">
        <f t="shared" si="2"/>
        <v>Juggernaut</v>
      </c>
      <c r="N13">
        <f t="array" aca="1" ref="N13" ca="1">SUM(IF(INDIRECT("output_parsed_hero!t1:t"&amp;$B$1)=$L$1,IF(INDIRECT("output_parsed_hero!u1:u"&amp;$B$1)="Radiant",IF(INDIRECT("output_parsed_hero!E1:I"&amp;$B$1)=$L13,1))))+SUM(IF(INDIRECT("output_parsed_hero!t1:t"&amp;$B$1)=$L$1,IF(INDIRECT("output_parsed_hero!u1:u"&amp;$B$1)="Dire",IF(INDIRECT("output_parsed_hero!j1:n"&amp;$B$1)=$L13,1))))</f>
        <v>0</v>
      </c>
      <c r="O13">
        <f t="array" aca="1" ref="O13" ca="1">SUM(IF(INDIRECT("output_parsed_hero!t1:t"&amp;$B$1)=$L$1,IF(INDIRECT("output_parsed_hero!u1:u"&amp;$B$1)="Radiant",IF(INDIRECT("output_parsed_hero!E1:I"&amp;$B$1)=$L13,IF(INDIRECT("output_parsed_hero!D1:D"&amp;$B$1)=TRUE,1)))))+SUM(IF(INDIRECT("output_parsed_hero!t1:t"&amp;$B$1)=$L$1,IF(INDIRECT("output_parsed_hero!u1:u"&amp;$B$1)="Dire",IF(INDIRECT("output_parsed_hero!j1:N"&amp;$B$1)=$L13,IF(INDIRECT("output_parsed_hero!D1:D"&amp;$B$1)=FALSE,1)))))</f>
        <v>0</v>
      </c>
      <c r="P13">
        <f t="shared" ca="1" si="3"/>
        <v>0</v>
      </c>
      <c r="Q13">
        <f t="array" aca="1" ref="Q13" ca="1">SUM(IF(INDIRECT("output_parsed_hero!t1:t"&amp;$B$1)=$L$1,IF(INDIRECT("output_parsed_hero!u1:u"&amp;$B$1)="Radiant",IF(INDIRECT("output_parsed_hero!j1:n"&amp;$B$1)=$L13,1))))+SUM(IF(INDIRECT("output_parsed_hero!t1:t"&amp;$B$1)=$L$1,IF(INDIRECT("output_parsed_hero!u1:u"&amp;$B$1)="Dire",IF(INDIRECT("output_parsed_hero!e1:i"&amp;$B$1)=$L13,1))))</f>
        <v>15</v>
      </c>
      <c r="R13">
        <f t="array" aca="1" ref="R13" ca="1">SUM(IF(INDIRECT("output_parsed_hero!t1:t"&amp;$B$1)=$L$1,IF(INDIRECT("output_parsed_hero!u1:u"&amp;$B$1)="Radiant",IF(INDIRECT("output_parsed_hero!j1:n"&amp;$B$1)=$L13,IF(INDIRECT("output_parsed_hero!D1:D"&amp;$B$1)=TRUE,1)))))+SUM(IF(INDIRECT("output_parsed_hero!t1:t"&amp;$B$1)=$L$1,IF(INDIRECT("output_parsed_hero!u1:u"&amp;$B$1)="Dire",IF(INDIRECT("output_parsed_hero!e1:i"&amp;$B$1)=$L13,IF(INDIRECT("output_parsed_hero!D1:D"&amp;$B$1)=FALSE,1)))))</f>
        <v>9</v>
      </c>
      <c r="S13">
        <f t="shared" ca="1" si="4"/>
        <v>0.6</v>
      </c>
      <c r="Z13" t="s">
        <v>435</v>
      </c>
    </row>
    <row r="14" spans="1:26" x14ac:dyDescent="0.3">
      <c r="A14">
        <f t="shared" si="1"/>
        <v>10</v>
      </c>
      <c r="B14" t="str">
        <f>VLOOKUP(A14,'hero names'!$S$7:$T$209,2,0)</f>
        <v>Morphling</v>
      </c>
      <c r="C14">
        <f t="array" aca="1" ref="C14" ca="1">COUNT(IF(INDIRECT("output_parsed!E1:N"&amp;$B$1)='Analysis backend'!$A14,INDIRECT("output_parsed!E1:N"&amp;$B$1)))</f>
        <v>29</v>
      </c>
      <c r="D14">
        <f t="array" aca="1" ref="D14" ca="1">COUNT(IF(INDIRECT("output_parsed!o1:s"&amp;$B$1)='Analysis backend'!$A14,INDIRECT("output_parsed!o1:s"&amp;$B$1)))</f>
        <v>6</v>
      </c>
      <c r="E14">
        <f t="shared" ca="1" si="0"/>
        <v>35</v>
      </c>
      <c r="F14">
        <f t="array" aca="1" ref="F14" ca="1">COUNT(IF(INDIRECT("output_parsed!D1:D"&amp;$B$1)=TRUE,IF(INDIRECT("output_parsed!E1:I"&amp;$B$1)='Analysis backend'!$A14,INDIRECT("output_parsed!E1:I"&amp;$B$1))))+COUNT(IF(INDIRECT("output_parsed!D1:D"&amp;$B$1)=FALSE,IF(INDIRECT("output_parsed!J1:N"&amp;$B$1)='Analysis backend'!$A14,INDIRECT("output_parsed!J1:N"&amp;$B$1))))</f>
        <v>9</v>
      </c>
      <c r="L14">
        <f t="shared" si="5"/>
        <v>9</v>
      </c>
      <c r="M14" t="str">
        <f t="shared" si="2"/>
        <v>Mirana</v>
      </c>
      <c r="N14">
        <f t="array" aca="1" ref="N14" ca="1">SUM(IF(INDIRECT("output_parsed_hero!t1:t"&amp;$B$1)=$L$1,IF(INDIRECT("output_parsed_hero!u1:u"&amp;$B$1)="Radiant",IF(INDIRECT("output_parsed_hero!E1:I"&amp;$B$1)=$L14,1))))+SUM(IF(INDIRECT("output_parsed_hero!t1:t"&amp;$B$1)=$L$1,IF(INDIRECT("output_parsed_hero!u1:u"&amp;$B$1)="Dire",IF(INDIRECT("output_parsed_hero!j1:n"&amp;$B$1)=$L14,1))))</f>
        <v>4</v>
      </c>
      <c r="O14">
        <f t="array" aca="1" ref="O14" ca="1">SUM(IF(INDIRECT("output_parsed_hero!t1:t"&amp;$B$1)=$L$1,IF(INDIRECT("output_parsed_hero!u1:u"&amp;$B$1)="Radiant",IF(INDIRECT("output_parsed_hero!E1:I"&amp;$B$1)=$L14,IF(INDIRECT("output_parsed_hero!D1:D"&amp;$B$1)=TRUE,1)))))+SUM(IF(INDIRECT("output_parsed_hero!t1:t"&amp;$B$1)=$L$1,IF(INDIRECT("output_parsed_hero!u1:u"&amp;$B$1)="Dire",IF(INDIRECT("output_parsed_hero!j1:N"&amp;$B$1)=$L14,IF(INDIRECT("output_parsed_hero!D1:D"&amp;$B$1)=FALSE,1)))))</f>
        <v>3</v>
      </c>
      <c r="P14">
        <f t="shared" ca="1" si="3"/>
        <v>0.75</v>
      </c>
      <c r="Q14">
        <f t="array" aca="1" ref="Q14" ca="1">SUM(IF(INDIRECT("output_parsed_hero!t1:t"&amp;$B$1)=$L$1,IF(INDIRECT("output_parsed_hero!u1:u"&amp;$B$1)="Radiant",IF(INDIRECT("output_parsed_hero!j1:n"&amp;$B$1)=$L14,1))))+SUM(IF(INDIRECT("output_parsed_hero!t1:t"&amp;$B$1)=$L$1,IF(INDIRECT("output_parsed_hero!u1:u"&amp;$B$1)="Dire",IF(INDIRECT("output_parsed_hero!e1:i"&amp;$B$1)=$L14,1))))</f>
        <v>4</v>
      </c>
      <c r="R14">
        <f t="array" aca="1" ref="R14" ca="1">SUM(IF(INDIRECT("output_parsed_hero!t1:t"&amp;$B$1)=$L$1,IF(INDIRECT("output_parsed_hero!u1:u"&amp;$B$1)="Radiant",IF(INDIRECT("output_parsed_hero!j1:n"&amp;$B$1)=$L14,IF(INDIRECT("output_parsed_hero!D1:D"&amp;$B$1)=TRUE,1)))))+SUM(IF(INDIRECT("output_parsed_hero!t1:t"&amp;$B$1)=$L$1,IF(INDIRECT("output_parsed_hero!u1:u"&amp;$B$1)="Dire",IF(INDIRECT("output_parsed_hero!e1:i"&amp;$B$1)=$L14,IF(INDIRECT("output_parsed_hero!D1:D"&amp;$B$1)=FALSE,1)))))</f>
        <v>3</v>
      </c>
      <c r="S14">
        <f t="shared" ca="1" si="4"/>
        <v>0.75</v>
      </c>
      <c r="Z14" t="s">
        <v>402</v>
      </c>
    </row>
    <row r="15" spans="1:26" x14ac:dyDescent="0.3">
      <c r="A15">
        <f t="shared" si="1"/>
        <v>11</v>
      </c>
      <c r="B15" t="str">
        <f>VLOOKUP(A15,'hero names'!$S$7:$T$209,2,0)</f>
        <v>Shadow Fiend</v>
      </c>
      <c r="C15">
        <f t="array" aca="1" ref="C15" ca="1">COUNT(IF(INDIRECT("output_parsed!E1:N"&amp;$B$1)='Analysis backend'!$A15,INDIRECT("output_parsed!E1:N"&amp;$B$1)))</f>
        <v>11</v>
      </c>
      <c r="D15">
        <f t="array" aca="1" ref="D15" ca="1">COUNT(IF(INDIRECT("output_parsed!o1:s"&amp;$B$1)='Analysis backend'!$A15,INDIRECT("output_parsed!o1:s"&amp;$B$1)))</f>
        <v>0</v>
      </c>
      <c r="E15">
        <f t="shared" ca="1" si="0"/>
        <v>11</v>
      </c>
      <c r="F15">
        <f t="array" aca="1" ref="F15" ca="1">COUNT(IF(INDIRECT("output_parsed!D1:D"&amp;$B$1)=TRUE,IF(INDIRECT("output_parsed!E1:I"&amp;$B$1)='Analysis backend'!$A15,INDIRECT("output_parsed!E1:I"&amp;$B$1))))+COUNT(IF(INDIRECT("output_parsed!D1:D"&amp;$B$1)=FALSE,IF(INDIRECT("output_parsed!J1:N"&amp;$B$1)='Analysis backend'!$A15,INDIRECT("output_parsed!J1:N"&amp;$B$1))))</f>
        <v>3</v>
      </c>
      <c r="L15">
        <f t="shared" si="5"/>
        <v>10</v>
      </c>
      <c r="M15" t="str">
        <f t="shared" si="2"/>
        <v>Morphling</v>
      </c>
      <c r="N15">
        <f t="array" aca="1" ref="N15" ca="1">SUM(IF(INDIRECT("output_parsed_hero!t1:t"&amp;$B$1)=$L$1,IF(INDIRECT("output_parsed_hero!u1:u"&amp;$B$1)="Radiant",IF(INDIRECT("output_parsed_hero!E1:I"&amp;$B$1)=$L15,1))))+SUM(IF(INDIRECT("output_parsed_hero!t1:t"&amp;$B$1)=$L$1,IF(INDIRECT("output_parsed_hero!u1:u"&amp;$B$1)="Dire",IF(INDIRECT("output_parsed_hero!j1:n"&amp;$B$1)=$L15,1))))</f>
        <v>2</v>
      </c>
      <c r="O15">
        <f t="array" aca="1" ref="O15" ca="1">SUM(IF(INDIRECT("output_parsed_hero!t1:t"&amp;$B$1)=$L$1,IF(INDIRECT("output_parsed_hero!u1:u"&amp;$B$1)="Radiant",IF(INDIRECT("output_parsed_hero!E1:I"&amp;$B$1)=$L15,IF(INDIRECT("output_parsed_hero!D1:D"&amp;$B$1)=TRUE,1)))))+SUM(IF(INDIRECT("output_parsed_hero!t1:t"&amp;$B$1)=$L$1,IF(INDIRECT("output_parsed_hero!u1:u"&amp;$B$1)="Dire",IF(INDIRECT("output_parsed_hero!j1:N"&amp;$B$1)=$L15,IF(INDIRECT("output_parsed_hero!D1:D"&amp;$B$1)=FALSE,1)))))</f>
        <v>1</v>
      </c>
      <c r="P15">
        <f t="shared" ca="1" si="3"/>
        <v>0.5</v>
      </c>
      <c r="Q15">
        <f t="array" aca="1" ref="Q15" ca="1">SUM(IF(INDIRECT("output_parsed_hero!t1:t"&amp;$B$1)=$L$1,IF(INDIRECT("output_parsed_hero!u1:u"&amp;$B$1)="Radiant",IF(INDIRECT("output_parsed_hero!j1:n"&amp;$B$1)=$L15,1))))+SUM(IF(INDIRECT("output_parsed_hero!t1:t"&amp;$B$1)=$L$1,IF(INDIRECT("output_parsed_hero!u1:u"&amp;$B$1)="Dire",IF(INDIRECT("output_parsed_hero!e1:i"&amp;$B$1)=$L15,1))))</f>
        <v>10</v>
      </c>
      <c r="R15">
        <f t="array" aca="1" ref="R15" ca="1">SUM(IF(INDIRECT("output_parsed_hero!t1:t"&amp;$B$1)=$L$1,IF(INDIRECT("output_parsed_hero!u1:u"&amp;$B$1)="Radiant",IF(INDIRECT("output_parsed_hero!j1:n"&amp;$B$1)=$L15,IF(INDIRECT("output_parsed_hero!D1:D"&amp;$B$1)=TRUE,1)))))+SUM(IF(INDIRECT("output_parsed_hero!t1:t"&amp;$B$1)=$L$1,IF(INDIRECT("output_parsed_hero!u1:u"&amp;$B$1)="Dire",IF(INDIRECT("output_parsed_hero!e1:i"&amp;$B$1)=$L15,IF(INDIRECT("output_parsed_hero!D1:D"&amp;$B$1)=FALSE,1)))))</f>
        <v>8</v>
      </c>
      <c r="S15">
        <f t="shared" ca="1" si="4"/>
        <v>0.8</v>
      </c>
      <c r="Z15" t="s">
        <v>459</v>
      </c>
    </row>
    <row r="16" spans="1:26" x14ac:dyDescent="0.3">
      <c r="A16">
        <f t="shared" si="1"/>
        <v>12</v>
      </c>
      <c r="B16" t="str">
        <f>VLOOKUP(A16,'hero names'!$S$7:$T$209,2,0)</f>
        <v>Phantom Lancer</v>
      </c>
      <c r="C16">
        <f t="array" aca="1" ref="C16" ca="1">COUNT(IF(INDIRECT("output_parsed!E1:N"&amp;$B$1)='Analysis backend'!$A16,INDIRECT("output_parsed!E1:N"&amp;$B$1)))</f>
        <v>12</v>
      </c>
      <c r="D16">
        <f t="array" aca="1" ref="D16" ca="1">COUNT(IF(INDIRECT("output_parsed!o1:s"&amp;$B$1)='Analysis backend'!$A16,INDIRECT("output_parsed!o1:s"&amp;$B$1)))</f>
        <v>3</v>
      </c>
      <c r="E16">
        <f t="shared" ca="1" si="0"/>
        <v>15</v>
      </c>
      <c r="F16">
        <f t="array" aca="1" ref="F16" ca="1">COUNT(IF(INDIRECT("output_parsed!D1:D"&amp;$B$1)=TRUE,IF(INDIRECT("output_parsed!E1:I"&amp;$B$1)='Analysis backend'!$A16,INDIRECT("output_parsed!E1:I"&amp;$B$1))))+COUNT(IF(INDIRECT("output_parsed!D1:D"&amp;$B$1)=FALSE,IF(INDIRECT("output_parsed!J1:N"&amp;$B$1)='Analysis backend'!$A16,INDIRECT("output_parsed!J1:N"&amp;$B$1))))</f>
        <v>8</v>
      </c>
      <c r="L16">
        <f t="shared" si="5"/>
        <v>11</v>
      </c>
      <c r="M16" t="str">
        <f t="shared" si="2"/>
        <v>Shadow Fiend</v>
      </c>
      <c r="N16">
        <f t="array" aca="1" ref="N16" ca="1">SUM(IF(INDIRECT("output_parsed_hero!t1:t"&amp;$B$1)=$L$1,IF(INDIRECT("output_parsed_hero!u1:u"&amp;$B$1)="Radiant",IF(INDIRECT("output_parsed_hero!E1:I"&amp;$B$1)=$L16,1))))+SUM(IF(INDIRECT("output_parsed_hero!t1:t"&amp;$B$1)=$L$1,IF(INDIRECT("output_parsed_hero!u1:u"&amp;$B$1)="Dire",IF(INDIRECT("output_parsed_hero!j1:n"&amp;$B$1)=$L16,1))))</f>
        <v>2</v>
      </c>
      <c r="O16">
        <f t="array" aca="1" ref="O16" ca="1">SUM(IF(INDIRECT("output_parsed_hero!t1:t"&amp;$B$1)=$L$1,IF(INDIRECT("output_parsed_hero!u1:u"&amp;$B$1)="Radiant",IF(INDIRECT("output_parsed_hero!E1:I"&amp;$B$1)=$L16,IF(INDIRECT("output_parsed_hero!D1:D"&amp;$B$1)=TRUE,1)))))+SUM(IF(INDIRECT("output_parsed_hero!t1:t"&amp;$B$1)=$L$1,IF(INDIRECT("output_parsed_hero!u1:u"&amp;$B$1)="Dire",IF(INDIRECT("output_parsed_hero!j1:N"&amp;$B$1)=$L16,IF(INDIRECT("output_parsed_hero!D1:D"&amp;$B$1)=FALSE,1)))))</f>
        <v>1</v>
      </c>
      <c r="P16">
        <f t="shared" ca="1" si="3"/>
        <v>0.5</v>
      </c>
      <c r="Q16">
        <f t="array" aca="1" ref="Q16" ca="1">SUM(IF(INDIRECT("output_parsed_hero!t1:t"&amp;$B$1)=$L$1,IF(INDIRECT("output_parsed_hero!u1:u"&amp;$B$1)="Radiant",IF(INDIRECT("output_parsed_hero!j1:n"&amp;$B$1)=$L16,1))))+SUM(IF(INDIRECT("output_parsed_hero!t1:t"&amp;$B$1)=$L$1,IF(INDIRECT("output_parsed_hero!u1:u"&amp;$B$1)="Dire",IF(INDIRECT("output_parsed_hero!e1:i"&amp;$B$1)=$L16,1))))</f>
        <v>3</v>
      </c>
      <c r="R16">
        <f t="array" aca="1" ref="R16" ca="1">SUM(IF(INDIRECT("output_parsed_hero!t1:t"&amp;$B$1)=$L$1,IF(INDIRECT("output_parsed_hero!u1:u"&amp;$B$1)="Radiant",IF(INDIRECT("output_parsed_hero!j1:n"&amp;$B$1)=$L16,IF(INDIRECT("output_parsed_hero!D1:D"&amp;$B$1)=TRUE,1)))))+SUM(IF(INDIRECT("output_parsed_hero!t1:t"&amp;$B$1)=$L$1,IF(INDIRECT("output_parsed_hero!u1:u"&amp;$B$1)="Dire",IF(INDIRECT("output_parsed_hero!e1:i"&amp;$B$1)=$L16,IF(INDIRECT("output_parsed_hero!D1:D"&amp;$B$1)=FALSE,1)))))</f>
        <v>3</v>
      </c>
      <c r="S16">
        <f t="shared" ca="1" si="4"/>
        <v>1</v>
      </c>
      <c r="Z16" t="s">
        <v>475</v>
      </c>
    </row>
    <row r="17" spans="1:26" x14ac:dyDescent="0.3">
      <c r="A17">
        <f t="shared" si="1"/>
        <v>13</v>
      </c>
      <c r="B17" t="str">
        <f>VLOOKUP(A17,'hero names'!$S$7:$T$209,2,0)</f>
        <v>Puck</v>
      </c>
      <c r="C17">
        <f t="array" aca="1" ref="C17" ca="1">COUNT(IF(INDIRECT("output_parsed!E1:N"&amp;$B$1)='Analysis backend'!$A17,INDIRECT("output_parsed!E1:N"&amp;$B$1)))</f>
        <v>16</v>
      </c>
      <c r="D17">
        <f t="array" aca="1" ref="D17" ca="1">COUNT(IF(INDIRECT("output_parsed!o1:s"&amp;$B$1)='Analysis backend'!$A17,INDIRECT("output_parsed!o1:s"&amp;$B$1)))</f>
        <v>2</v>
      </c>
      <c r="E17">
        <f t="shared" ca="1" si="0"/>
        <v>18</v>
      </c>
      <c r="F17">
        <f t="array" aca="1" ref="F17" ca="1">COUNT(IF(INDIRECT("output_parsed!D1:D"&amp;$B$1)=TRUE,IF(INDIRECT("output_parsed!E1:I"&amp;$B$1)='Analysis backend'!$A17,INDIRECT("output_parsed!E1:I"&amp;$B$1))))+COUNT(IF(INDIRECT("output_parsed!D1:D"&amp;$B$1)=FALSE,IF(INDIRECT("output_parsed!J1:N"&amp;$B$1)='Analysis backend'!$A17,INDIRECT("output_parsed!J1:N"&amp;$B$1))))</f>
        <v>12</v>
      </c>
      <c r="G17">
        <f>output_parsed_hero!G241</f>
        <v>50</v>
      </c>
      <c r="L17">
        <f t="shared" si="5"/>
        <v>12</v>
      </c>
      <c r="M17" t="str">
        <f t="shared" si="2"/>
        <v>Phantom Lancer</v>
      </c>
      <c r="N17">
        <f t="array" aca="1" ref="N17" ca="1">SUM(IF(INDIRECT("output_parsed_hero!t1:t"&amp;$B$1)=$L$1,IF(INDIRECT("output_parsed_hero!u1:u"&amp;$B$1)="Radiant",IF(INDIRECT("output_parsed_hero!E1:I"&amp;$B$1)=$L17,1))))+SUM(IF(INDIRECT("output_parsed_hero!t1:t"&amp;$B$1)=$L$1,IF(INDIRECT("output_parsed_hero!u1:u"&amp;$B$1)="Dire",IF(INDIRECT("output_parsed_hero!j1:n"&amp;$B$1)=$L17,1))))</f>
        <v>3</v>
      </c>
      <c r="O17">
        <f t="array" aca="1" ref="O17" ca="1">SUM(IF(INDIRECT("output_parsed_hero!t1:t"&amp;$B$1)=$L$1,IF(INDIRECT("output_parsed_hero!u1:u"&amp;$B$1)="Radiant",IF(INDIRECT("output_parsed_hero!E1:I"&amp;$B$1)=$L17,IF(INDIRECT("output_parsed_hero!D1:D"&amp;$B$1)=TRUE,1)))))+SUM(IF(INDIRECT("output_parsed_hero!t1:t"&amp;$B$1)=$L$1,IF(INDIRECT("output_parsed_hero!u1:u"&amp;$B$1)="Dire",IF(INDIRECT("output_parsed_hero!j1:N"&amp;$B$1)=$L17,IF(INDIRECT("output_parsed_hero!D1:D"&amp;$B$1)=FALSE,1)))))</f>
        <v>1</v>
      </c>
      <c r="P17">
        <f t="shared" ca="1" si="3"/>
        <v>0.33333333333333331</v>
      </c>
      <c r="Q17">
        <f t="array" aca="1" ref="Q17" ca="1">SUM(IF(INDIRECT("output_parsed_hero!t1:t"&amp;$B$1)=$L$1,IF(INDIRECT("output_parsed_hero!u1:u"&amp;$B$1)="Radiant",IF(INDIRECT("output_parsed_hero!j1:n"&amp;$B$1)=$L17,1))))+SUM(IF(INDIRECT("output_parsed_hero!t1:t"&amp;$B$1)=$L$1,IF(INDIRECT("output_parsed_hero!u1:u"&amp;$B$1)="Dire",IF(INDIRECT("output_parsed_hero!e1:i"&amp;$B$1)=$L17,1))))</f>
        <v>1</v>
      </c>
      <c r="R17">
        <f t="array" aca="1" ref="R17" ca="1">SUM(IF(INDIRECT("output_parsed_hero!t1:t"&amp;$B$1)=$L$1,IF(INDIRECT("output_parsed_hero!u1:u"&amp;$B$1)="Radiant",IF(INDIRECT("output_parsed_hero!j1:n"&amp;$B$1)=$L17,IF(INDIRECT("output_parsed_hero!D1:D"&amp;$B$1)=TRUE,1)))))+SUM(IF(INDIRECT("output_parsed_hero!t1:t"&amp;$B$1)=$L$1,IF(INDIRECT("output_parsed_hero!u1:u"&amp;$B$1)="Dire",IF(INDIRECT("output_parsed_hero!e1:i"&amp;$B$1)=$L17,IF(INDIRECT("output_parsed_hero!D1:D"&amp;$B$1)=FALSE,1)))))</f>
        <v>0</v>
      </c>
      <c r="S17">
        <f t="shared" ca="1" si="4"/>
        <v>0</v>
      </c>
      <c r="Z17" t="s">
        <v>496</v>
      </c>
    </row>
    <row r="18" spans="1:26" x14ac:dyDescent="0.3">
      <c r="A18">
        <f t="shared" si="1"/>
        <v>14</v>
      </c>
      <c r="B18" t="str">
        <f>VLOOKUP(A18,'hero names'!$S$7:$T$209,2,0)</f>
        <v>Pudge</v>
      </c>
      <c r="C18">
        <f t="array" aca="1" ref="C18" ca="1">COUNT(IF(INDIRECT("output_parsed!E1:N"&amp;$B$1)='Analysis backend'!$A18,INDIRECT("output_parsed!E1:N"&amp;$B$1)))</f>
        <v>14</v>
      </c>
      <c r="D18">
        <f t="array" aca="1" ref="D18" ca="1">COUNT(IF(INDIRECT("output_parsed!o1:s"&amp;$B$1)='Analysis backend'!$A18,INDIRECT("output_parsed!o1:s"&amp;$B$1)))</f>
        <v>1</v>
      </c>
      <c r="E18">
        <f t="shared" ca="1" si="0"/>
        <v>15</v>
      </c>
      <c r="F18">
        <f t="array" aca="1" ref="F18" ca="1">COUNT(IF(INDIRECT("output_parsed!D1:D"&amp;$B$1)=TRUE,IF(INDIRECT("output_parsed!E1:I"&amp;$B$1)='Analysis backend'!$A18,INDIRECT("output_parsed!E1:I"&amp;$B$1))))+COUNT(IF(INDIRECT("output_parsed!D1:D"&amp;$B$1)=FALSE,IF(INDIRECT("output_parsed!J1:N"&amp;$B$1)='Analysis backend'!$A18,INDIRECT("output_parsed!J1:N"&amp;$B$1))))</f>
        <v>5</v>
      </c>
      <c r="L18">
        <f t="shared" si="5"/>
        <v>13</v>
      </c>
      <c r="M18" t="str">
        <f t="shared" si="2"/>
        <v>Puck</v>
      </c>
      <c r="N18">
        <f t="array" aca="1" ref="N18" ca="1">SUM(IF(INDIRECT("output_parsed_hero!t1:t"&amp;$B$1)=$L$1,IF(INDIRECT("output_parsed_hero!u1:u"&amp;$B$1)="Radiant",IF(INDIRECT("output_parsed_hero!E1:I"&amp;$B$1)=$L18,1))))+SUM(IF(INDIRECT("output_parsed_hero!t1:t"&amp;$B$1)=$L$1,IF(INDIRECT("output_parsed_hero!u1:u"&amp;$B$1)="Dire",IF(INDIRECT("output_parsed_hero!j1:n"&amp;$B$1)=$L18,1))))</f>
        <v>5</v>
      </c>
      <c r="O18">
        <f t="array" aca="1" ref="O18" ca="1">SUM(IF(INDIRECT("output_parsed_hero!t1:t"&amp;$B$1)=$L$1,IF(INDIRECT("output_parsed_hero!u1:u"&amp;$B$1)="Radiant",IF(INDIRECT("output_parsed_hero!E1:I"&amp;$B$1)=$L18,IF(INDIRECT("output_parsed_hero!D1:D"&amp;$B$1)=TRUE,1)))))+SUM(IF(INDIRECT("output_parsed_hero!t1:t"&amp;$B$1)=$L$1,IF(INDIRECT("output_parsed_hero!u1:u"&amp;$B$1)="Dire",IF(INDIRECT("output_parsed_hero!j1:N"&amp;$B$1)=$L18,IF(INDIRECT("output_parsed_hero!D1:D"&amp;$B$1)=FALSE,1)))))</f>
        <v>5</v>
      </c>
      <c r="P18">
        <f t="shared" ca="1" si="3"/>
        <v>1</v>
      </c>
      <c r="Q18">
        <f t="array" aca="1" ref="Q18" ca="1">SUM(IF(INDIRECT("output_parsed_hero!t1:t"&amp;$B$1)=$L$1,IF(INDIRECT("output_parsed_hero!u1:u"&amp;$B$1)="Radiant",IF(INDIRECT("output_parsed_hero!j1:n"&amp;$B$1)=$L18,1))))+SUM(IF(INDIRECT("output_parsed_hero!t1:t"&amp;$B$1)=$L$1,IF(INDIRECT("output_parsed_hero!u1:u"&amp;$B$1)="Dire",IF(INDIRECT("output_parsed_hero!e1:i"&amp;$B$1)=$L18,1))))</f>
        <v>5</v>
      </c>
      <c r="R18">
        <f t="array" aca="1" ref="R18" ca="1">SUM(IF(INDIRECT("output_parsed_hero!t1:t"&amp;$B$1)=$L$1,IF(INDIRECT("output_parsed_hero!u1:u"&amp;$B$1)="Radiant",IF(INDIRECT("output_parsed_hero!j1:n"&amp;$B$1)=$L18,IF(INDIRECT("output_parsed_hero!D1:D"&amp;$B$1)=TRUE,1)))))+SUM(IF(INDIRECT("output_parsed_hero!t1:t"&amp;$B$1)=$L$1,IF(INDIRECT("output_parsed_hero!u1:u"&amp;$B$1)="Dire",IF(INDIRECT("output_parsed_hero!e1:i"&amp;$B$1)=$L18,IF(INDIRECT("output_parsed_hero!D1:D"&amp;$B$1)=FALSE,1)))))</f>
        <v>2</v>
      </c>
      <c r="S18">
        <f t="shared" ca="1" si="4"/>
        <v>0.4</v>
      </c>
      <c r="Z18" t="s">
        <v>458</v>
      </c>
    </row>
    <row r="19" spans="1:26" x14ac:dyDescent="0.3">
      <c r="A19">
        <f t="shared" si="1"/>
        <v>15</v>
      </c>
      <c r="B19" t="str">
        <f>VLOOKUP(A19,'hero names'!$S$7:$T$209,2,0)</f>
        <v>Razor</v>
      </c>
      <c r="C19">
        <f t="array" aca="1" ref="C19" ca="1">COUNT(IF(INDIRECT("output_parsed!E1:N"&amp;$B$1)='Analysis backend'!$A19,INDIRECT("output_parsed!E1:N"&amp;$B$1)))</f>
        <v>7</v>
      </c>
      <c r="D19">
        <f t="array" aca="1" ref="D19" ca="1">COUNT(IF(INDIRECT("output_parsed!o1:s"&amp;$B$1)='Analysis backend'!$A19,INDIRECT("output_parsed!o1:s"&amp;$B$1)))</f>
        <v>0</v>
      </c>
      <c r="E19">
        <f t="shared" ca="1" si="0"/>
        <v>7</v>
      </c>
      <c r="F19">
        <f t="array" aca="1" ref="F19" ca="1">COUNT(IF(INDIRECT("output_parsed!D1:D"&amp;$B$1)=TRUE,IF(INDIRECT("output_parsed!E1:I"&amp;$B$1)='Analysis backend'!$A19,INDIRECT("output_parsed!E1:I"&amp;$B$1))))+COUNT(IF(INDIRECT("output_parsed!D1:D"&amp;$B$1)=FALSE,IF(INDIRECT("output_parsed!J1:N"&amp;$B$1)='Analysis backend'!$A19,INDIRECT("output_parsed!J1:N"&amp;$B$1))))</f>
        <v>3</v>
      </c>
      <c r="L19">
        <f t="shared" si="5"/>
        <v>14</v>
      </c>
      <c r="M19" t="str">
        <f t="shared" si="2"/>
        <v>Pudge</v>
      </c>
      <c r="N19">
        <f t="array" aca="1" ref="N19" ca="1">SUM(IF(INDIRECT("output_parsed_hero!t1:t"&amp;$B$1)=$L$1,IF(INDIRECT("output_parsed_hero!u1:u"&amp;$B$1)="Radiant",IF(INDIRECT("output_parsed_hero!E1:I"&amp;$B$1)=$L19,1))))+SUM(IF(INDIRECT("output_parsed_hero!t1:t"&amp;$B$1)=$L$1,IF(INDIRECT("output_parsed_hero!u1:u"&amp;$B$1)="Dire",IF(INDIRECT("output_parsed_hero!j1:n"&amp;$B$1)=$L19,1))))</f>
        <v>6</v>
      </c>
      <c r="O19">
        <f t="array" aca="1" ref="O19" ca="1">SUM(IF(INDIRECT("output_parsed_hero!t1:t"&amp;$B$1)=$L$1,IF(INDIRECT("output_parsed_hero!u1:u"&amp;$B$1)="Radiant",IF(INDIRECT("output_parsed_hero!E1:I"&amp;$B$1)=$L19,IF(INDIRECT("output_parsed_hero!D1:D"&amp;$B$1)=TRUE,1)))))+SUM(IF(INDIRECT("output_parsed_hero!t1:t"&amp;$B$1)=$L$1,IF(INDIRECT("output_parsed_hero!u1:u"&amp;$B$1)="Dire",IF(INDIRECT("output_parsed_hero!j1:N"&amp;$B$1)=$L19,IF(INDIRECT("output_parsed_hero!D1:D"&amp;$B$1)=FALSE,1)))))</f>
        <v>2</v>
      </c>
      <c r="P19">
        <f t="shared" ca="1" si="3"/>
        <v>0.33333333333333331</v>
      </c>
      <c r="Q19">
        <f t="array" aca="1" ref="Q19" ca="1">SUM(IF(INDIRECT("output_parsed_hero!t1:t"&amp;$B$1)=$L$1,IF(INDIRECT("output_parsed_hero!u1:u"&amp;$B$1)="Radiant",IF(INDIRECT("output_parsed_hero!j1:n"&amp;$B$1)=$L19,1))))+SUM(IF(INDIRECT("output_parsed_hero!t1:t"&amp;$B$1)=$L$1,IF(INDIRECT("output_parsed_hero!u1:u"&amp;$B$1)="Dire",IF(INDIRECT("output_parsed_hero!e1:i"&amp;$B$1)=$L19,1))))</f>
        <v>2</v>
      </c>
      <c r="R19">
        <f t="array" aca="1" ref="R19" ca="1">SUM(IF(INDIRECT("output_parsed_hero!t1:t"&amp;$B$1)=$L$1,IF(INDIRECT("output_parsed_hero!u1:u"&amp;$B$1)="Radiant",IF(INDIRECT("output_parsed_hero!j1:n"&amp;$B$1)=$L19,IF(INDIRECT("output_parsed_hero!D1:D"&amp;$B$1)=TRUE,1)))))+SUM(IF(INDIRECT("output_parsed_hero!t1:t"&amp;$B$1)=$L$1,IF(INDIRECT("output_parsed_hero!u1:u"&amp;$B$1)="Dire",IF(INDIRECT("output_parsed_hero!e1:i"&amp;$B$1)=$L19,IF(INDIRECT("output_parsed_hero!D1:D"&amp;$B$1)=FALSE,1)))))</f>
        <v>1</v>
      </c>
      <c r="S19">
        <f t="shared" ca="1" si="4"/>
        <v>0.5</v>
      </c>
      <c r="Z19" t="s">
        <v>493</v>
      </c>
    </row>
    <row r="20" spans="1:26" x14ac:dyDescent="0.3">
      <c r="A20">
        <f t="shared" si="1"/>
        <v>16</v>
      </c>
      <c r="B20" t="str">
        <f>VLOOKUP(A20,'hero names'!$S$7:$T$209,2,0)</f>
        <v>Sand King</v>
      </c>
      <c r="C20">
        <f t="array" aca="1" ref="C20" ca="1">COUNT(IF(INDIRECT("output_parsed!E1:N"&amp;$B$1)='Analysis backend'!$A20,INDIRECT("output_parsed!E1:N"&amp;$B$1)))</f>
        <v>58</v>
      </c>
      <c r="D20">
        <f t="array" aca="1" ref="D20" ca="1">COUNT(IF(INDIRECT("output_parsed!o1:s"&amp;$B$1)='Analysis backend'!$A20,INDIRECT("output_parsed!o1:s"&amp;$B$1)))</f>
        <v>8</v>
      </c>
      <c r="E20">
        <f t="shared" ca="1" si="0"/>
        <v>66</v>
      </c>
      <c r="F20">
        <f t="array" aca="1" ref="F20" ca="1">COUNT(IF(INDIRECT("output_parsed!D1:D"&amp;$B$1)=TRUE,IF(INDIRECT("output_parsed!E1:I"&amp;$B$1)='Analysis backend'!$A20,INDIRECT("output_parsed!E1:I"&amp;$B$1))))+COUNT(IF(INDIRECT("output_parsed!D1:D"&amp;$B$1)=FALSE,IF(INDIRECT("output_parsed!J1:N"&amp;$B$1)='Analysis backend'!$A20,INDIRECT("output_parsed!J1:N"&amp;$B$1))))</f>
        <v>38</v>
      </c>
      <c r="L20">
        <f t="shared" si="5"/>
        <v>15</v>
      </c>
      <c r="M20" t="str">
        <f t="shared" si="2"/>
        <v>Razor</v>
      </c>
      <c r="N20">
        <f t="array" aca="1" ref="N20" ca="1">SUM(IF(INDIRECT("output_parsed_hero!t1:t"&amp;$B$1)=$L$1,IF(INDIRECT("output_parsed_hero!u1:u"&amp;$B$1)="Radiant",IF(INDIRECT("output_parsed_hero!E1:I"&amp;$B$1)=$L20,1))))+SUM(IF(INDIRECT("output_parsed_hero!t1:t"&amp;$B$1)=$L$1,IF(INDIRECT("output_parsed_hero!u1:u"&amp;$B$1)="Dire",IF(INDIRECT("output_parsed_hero!j1:n"&amp;$B$1)=$L20,1))))</f>
        <v>1</v>
      </c>
      <c r="O20">
        <f t="array" aca="1" ref="O20" ca="1">SUM(IF(INDIRECT("output_parsed_hero!t1:t"&amp;$B$1)=$L$1,IF(INDIRECT("output_parsed_hero!u1:u"&amp;$B$1)="Radiant",IF(INDIRECT("output_parsed_hero!E1:I"&amp;$B$1)=$L20,IF(INDIRECT("output_parsed_hero!D1:D"&amp;$B$1)=TRUE,1)))))+SUM(IF(INDIRECT("output_parsed_hero!t1:t"&amp;$B$1)=$L$1,IF(INDIRECT("output_parsed_hero!u1:u"&amp;$B$1)="Dire",IF(INDIRECT("output_parsed_hero!j1:N"&amp;$B$1)=$L20,IF(INDIRECT("output_parsed_hero!D1:D"&amp;$B$1)=FALSE,1)))))</f>
        <v>0</v>
      </c>
      <c r="P20">
        <f t="shared" ca="1" si="3"/>
        <v>0</v>
      </c>
      <c r="Q20">
        <f t="array" aca="1" ref="Q20" ca="1">SUM(IF(INDIRECT("output_parsed_hero!t1:t"&amp;$B$1)=$L$1,IF(INDIRECT("output_parsed_hero!u1:u"&amp;$B$1)="Radiant",IF(INDIRECT("output_parsed_hero!j1:n"&amp;$B$1)=$L20,1))))+SUM(IF(INDIRECT("output_parsed_hero!t1:t"&amp;$B$1)=$L$1,IF(INDIRECT("output_parsed_hero!u1:u"&amp;$B$1)="Dire",IF(INDIRECT("output_parsed_hero!e1:i"&amp;$B$1)=$L20,1))))</f>
        <v>0</v>
      </c>
      <c r="R20">
        <f t="array" aca="1" ref="R20" ca="1">SUM(IF(INDIRECT("output_parsed_hero!t1:t"&amp;$B$1)=$L$1,IF(INDIRECT("output_parsed_hero!u1:u"&amp;$B$1)="Radiant",IF(INDIRECT("output_parsed_hero!j1:n"&amp;$B$1)=$L20,IF(INDIRECT("output_parsed_hero!D1:D"&amp;$B$1)=TRUE,1)))))+SUM(IF(INDIRECT("output_parsed_hero!t1:t"&amp;$B$1)=$L$1,IF(INDIRECT("output_parsed_hero!u1:u"&amp;$B$1)="Dire",IF(INDIRECT("output_parsed_hero!e1:i"&amp;$B$1)=$L20,IF(INDIRECT("output_parsed_hero!D1:D"&amp;$B$1)=FALSE,1)))))</f>
        <v>0</v>
      </c>
      <c r="S20">
        <f t="shared" ca="1" si="4"/>
        <v>0</v>
      </c>
      <c r="Z20" t="s">
        <v>478</v>
      </c>
    </row>
    <row r="21" spans="1:26" x14ac:dyDescent="0.3">
      <c r="A21">
        <f t="shared" si="1"/>
        <v>17</v>
      </c>
      <c r="B21" t="str">
        <f>VLOOKUP(A21,'hero names'!$S$7:$T$209,2,0)</f>
        <v>Storm Spirit</v>
      </c>
      <c r="C21">
        <f t="array" aca="1" ref="C21" ca="1">COUNT(IF(INDIRECT("output_parsed!E1:N"&amp;$B$1)='Analysis backend'!$A21,INDIRECT("output_parsed!E1:N"&amp;$B$1)))</f>
        <v>1</v>
      </c>
      <c r="D21">
        <f t="array" aca="1" ref="D21" ca="1">COUNT(IF(INDIRECT("output_parsed!o1:s"&amp;$B$1)='Analysis backend'!$A21,INDIRECT("output_parsed!o1:s"&amp;$B$1)))</f>
        <v>3</v>
      </c>
      <c r="E21">
        <f t="shared" ca="1" si="0"/>
        <v>4</v>
      </c>
      <c r="F21">
        <f t="array" aca="1" ref="F21" ca="1">COUNT(IF(INDIRECT("output_parsed!D1:D"&amp;$B$1)=TRUE,IF(INDIRECT("output_parsed!E1:I"&amp;$B$1)='Analysis backend'!$A21,INDIRECT("output_parsed!E1:I"&amp;$B$1))))+COUNT(IF(INDIRECT("output_parsed!D1:D"&amp;$B$1)=FALSE,IF(INDIRECT("output_parsed!J1:N"&amp;$B$1)='Analysis backend'!$A21,INDIRECT("output_parsed!J1:N"&amp;$B$1))))</f>
        <v>1</v>
      </c>
      <c r="L21">
        <f t="shared" si="5"/>
        <v>16</v>
      </c>
      <c r="M21" t="str">
        <f t="shared" si="2"/>
        <v>Sand King</v>
      </c>
      <c r="N21">
        <f t="array" aca="1" ref="N21" ca="1">SUM(IF(INDIRECT("output_parsed_hero!t1:t"&amp;$B$1)=$L$1,IF(INDIRECT("output_parsed_hero!u1:u"&amp;$B$1)="Radiant",IF(INDIRECT("output_parsed_hero!E1:I"&amp;$B$1)=$L21,1))))+SUM(IF(INDIRECT("output_parsed_hero!t1:t"&amp;$B$1)=$L$1,IF(INDIRECT("output_parsed_hero!u1:u"&amp;$B$1)="Dire",IF(INDIRECT("output_parsed_hero!j1:n"&amp;$B$1)=$L21,1))))</f>
        <v>14</v>
      </c>
      <c r="O21">
        <f t="array" aca="1" ref="O21" ca="1">SUM(IF(INDIRECT("output_parsed_hero!t1:t"&amp;$B$1)=$L$1,IF(INDIRECT("output_parsed_hero!u1:u"&amp;$B$1)="Radiant",IF(INDIRECT("output_parsed_hero!E1:I"&amp;$B$1)=$L21,IF(INDIRECT("output_parsed_hero!D1:D"&amp;$B$1)=TRUE,1)))))+SUM(IF(INDIRECT("output_parsed_hero!t1:t"&amp;$B$1)=$L$1,IF(INDIRECT("output_parsed_hero!u1:u"&amp;$B$1)="Dire",IF(INDIRECT("output_parsed_hero!j1:N"&amp;$B$1)=$L21,IF(INDIRECT("output_parsed_hero!D1:D"&amp;$B$1)=FALSE,1)))))</f>
        <v>10</v>
      </c>
      <c r="P21">
        <f t="shared" ca="1" si="3"/>
        <v>0.7142857142857143</v>
      </c>
      <c r="Q21">
        <f t="array" aca="1" ref="Q21" ca="1">SUM(IF(INDIRECT("output_parsed_hero!t1:t"&amp;$B$1)=$L$1,IF(INDIRECT("output_parsed_hero!u1:u"&amp;$B$1)="Radiant",IF(INDIRECT("output_parsed_hero!j1:n"&amp;$B$1)=$L21,1))))+SUM(IF(INDIRECT("output_parsed_hero!t1:t"&amp;$B$1)=$L$1,IF(INDIRECT("output_parsed_hero!u1:u"&amp;$B$1)="Dire",IF(INDIRECT("output_parsed_hero!e1:i"&amp;$B$1)=$L21,1))))</f>
        <v>15</v>
      </c>
      <c r="R21">
        <f t="array" aca="1" ref="R21" ca="1">SUM(IF(INDIRECT("output_parsed_hero!t1:t"&amp;$B$1)=$L$1,IF(INDIRECT("output_parsed_hero!u1:u"&amp;$B$1)="Radiant",IF(INDIRECT("output_parsed_hero!j1:n"&amp;$B$1)=$L21,IF(INDIRECT("output_parsed_hero!D1:D"&amp;$B$1)=TRUE,1)))))+SUM(IF(INDIRECT("output_parsed_hero!t1:t"&amp;$B$1)=$L$1,IF(INDIRECT("output_parsed_hero!u1:u"&amp;$B$1)="Dire",IF(INDIRECT("output_parsed_hero!e1:i"&amp;$B$1)=$L21,IF(INDIRECT("output_parsed_hero!D1:D"&amp;$B$1)=FALSE,1)))))</f>
        <v>4</v>
      </c>
      <c r="S21">
        <f t="shared" ca="1" si="4"/>
        <v>0.26666666666666666</v>
      </c>
      <c r="Z21" t="s">
        <v>463</v>
      </c>
    </row>
    <row r="22" spans="1:26" x14ac:dyDescent="0.3">
      <c r="A22">
        <f t="shared" si="1"/>
        <v>18</v>
      </c>
      <c r="B22" t="str">
        <f>VLOOKUP(A22,'hero names'!$S$7:$T$209,2,0)</f>
        <v>Sven</v>
      </c>
      <c r="C22">
        <f t="array" aca="1" ref="C22" ca="1">COUNT(IF(INDIRECT("output_parsed!E1:N"&amp;$B$1)='Analysis backend'!$A22,INDIRECT("output_parsed!E1:N"&amp;$B$1)))</f>
        <v>2</v>
      </c>
      <c r="D22">
        <f t="array" aca="1" ref="D22" ca="1">COUNT(IF(INDIRECT("output_parsed!o1:s"&amp;$B$1)='Analysis backend'!$A22,INDIRECT("output_parsed!o1:s"&amp;$B$1)))</f>
        <v>0</v>
      </c>
      <c r="E22">
        <f t="shared" ca="1" si="0"/>
        <v>2</v>
      </c>
      <c r="F22">
        <f t="array" aca="1" ref="F22" ca="1">COUNT(IF(INDIRECT("output_parsed!D1:D"&amp;$B$1)=TRUE,IF(INDIRECT("output_parsed!E1:I"&amp;$B$1)='Analysis backend'!$A22,INDIRECT("output_parsed!E1:I"&amp;$B$1))))+COUNT(IF(INDIRECT("output_parsed!D1:D"&amp;$B$1)=FALSE,IF(INDIRECT("output_parsed!J1:N"&amp;$B$1)='Analysis backend'!$A22,INDIRECT("output_parsed!J1:N"&amp;$B$1))))</f>
        <v>0</v>
      </c>
      <c r="L22">
        <f t="shared" si="5"/>
        <v>17</v>
      </c>
      <c r="M22" t="str">
        <f t="shared" si="2"/>
        <v>Storm Spirit</v>
      </c>
      <c r="N22">
        <f t="array" aca="1" ref="N22" ca="1">SUM(IF(INDIRECT("output_parsed_hero!t1:t"&amp;$B$1)=$L$1,IF(INDIRECT("output_parsed_hero!u1:u"&amp;$B$1)="Radiant",IF(INDIRECT("output_parsed_hero!E1:I"&amp;$B$1)=$L22,1))))+SUM(IF(INDIRECT("output_parsed_hero!t1:t"&amp;$B$1)=$L$1,IF(INDIRECT("output_parsed_hero!u1:u"&amp;$B$1)="Dire",IF(INDIRECT("output_parsed_hero!j1:n"&amp;$B$1)=$L22,1))))</f>
        <v>0</v>
      </c>
      <c r="O22">
        <f t="array" aca="1" ref="O22" ca="1">SUM(IF(INDIRECT("output_parsed_hero!t1:t"&amp;$B$1)=$L$1,IF(INDIRECT("output_parsed_hero!u1:u"&amp;$B$1)="Radiant",IF(INDIRECT("output_parsed_hero!E1:I"&amp;$B$1)=$L22,IF(INDIRECT("output_parsed_hero!D1:D"&amp;$B$1)=TRUE,1)))))+SUM(IF(INDIRECT("output_parsed_hero!t1:t"&amp;$B$1)=$L$1,IF(INDIRECT("output_parsed_hero!u1:u"&amp;$B$1)="Dire",IF(INDIRECT("output_parsed_hero!j1:N"&amp;$B$1)=$L22,IF(INDIRECT("output_parsed_hero!D1:D"&amp;$B$1)=FALSE,1)))))</f>
        <v>0</v>
      </c>
      <c r="P22">
        <f t="shared" ca="1" si="3"/>
        <v>0</v>
      </c>
      <c r="Q22">
        <f t="array" aca="1" ref="Q22" ca="1">SUM(IF(INDIRECT("output_parsed_hero!t1:t"&amp;$B$1)=$L$1,IF(INDIRECT("output_parsed_hero!u1:u"&amp;$B$1)="Radiant",IF(INDIRECT("output_parsed_hero!j1:n"&amp;$B$1)=$L22,1))))+SUM(IF(INDIRECT("output_parsed_hero!t1:t"&amp;$B$1)=$L$1,IF(INDIRECT("output_parsed_hero!u1:u"&amp;$B$1)="Dire",IF(INDIRECT("output_parsed_hero!e1:i"&amp;$B$1)=$L22,1))))</f>
        <v>0</v>
      </c>
      <c r="R22">
        <f t="array" aca="1" ref="R22" ca="1">SUM(IF(INDIRECT("output_parsed_hero!t1:t"&amp;$B$1)=$L$1,IF(INDIRECT("output_parsed_hero!u1:u"&amp;$B$1)="Radiant",IF(INDIRECT("output_parsed_hero!j1:n"&amp;$B$1)=$L22,IF(INDIRECT("output_parsed_hero!D1:D"&amp;$B$1)=TRUE,1)))))+SUM(IF(INDIRECT("output_parsed_hero!t1:t"&amp;$B$1)=$L$1,IF(INDIRECT("output_parsed_hero!u1:u"&amp;$B$1)="Dire",IF(INDIRECT("output_parsed_hero!e1:i"&amp;$B$1)=$L22,IF(INDIRECT("output_parsed_hero!D1:D"&amp;$B$1)=FALSE,1)))))</f>
        <v>0</v>
      </c>
      <c r="S22">
        <f t="shared" ca="1" si="4"/>
        <v>0</v>
      </c>
      <c r="Z22" t="s">
        <v>453</v>
      </c>
    </row>
    <row r="23" spans="1:26" x14ac:dyDescent="0.3">
      <c r="A23">
        <f t="shared" si="1"/>
        <v>19</v>
      </c>
      <c r="B23" t="str">
        <f>VLOOKUP(A23,'hero names'!$S$7:$T$209,2,0)</f>
        <v>Tiny</v>
      </c>
      <c r="C23">
        <f t="array" aca="1" ref="C23" ca="1">COUNT(IF(INDIRECT("output_parsed!E1:N"&amp;$B$1)='Analysis backend'!$A23,INDIRECT("output_parsed!E1:N"&amp;$B$1)))</f>
        <v>32</v>
      </c>
      <c r="D23">
        <f t="array" aca="1" ref="D23" ca="1">COUNT(IF(INDIRECT("output_parsed!o1:s"&amp;$B$1)='Analysis backend'!$A23,INDIRECT("output_parsed!o1:s"&amp;$B$1)))</f>
        <v>1</v>
      </c>
      <c r="E23">
        <f t="shared" ca="1" si="0"/>
        <v>33</v>
      </c>
      <c r="F23">
        <f t="array" aca="1" ref="F23" ca="1">COUNT(IF(INDIRECT("output_parsed!D1:D"&amp;$B$1)=TRUE,IF(INDIRECT("output_parsed!E1:I"&amp;$B$1)='Analysis backend'!$A23,INDIRECT("output_parsed!E1:I"&amp;$B$1))))+COUNT(IF(INDIRECT("output_parsed!D1:D"&amp;$B$1)=FALSE,IF(INDIRECT("output_parsed!J1:N"&amp;$B$1)='Analysis backend'!$A23,INDIRECT("output_parsed!J1:N"&amp;$B$1))))</f>
        <v>13</v>
      </c>
      <c r="L23">
        <f t="shared" si="5"/>
        <v>18</v>
      </c>
      <c r="M23" t="str">
        <f t="shared" si="2"/>
        <v>Sven</v>
      </c>
      <c r="N23">
        <f t="array" aca="1" ref="N23" ca="1">SUM(IF(INDIRECT("output_parsed_hero!t1:t"&amp;$B$1)=$L$1,IF(INDIRECT("output_parsed_hero!u1:u"&amp;$B$1)="Radiant",IF(INDIRECT("output_parsed_hero!E1:I"&amp;$B$1)=$L23,1))))+SUM(IF(INDIRECT("output_parsed_hero!t1:t"&amp;$B$1)=$L$1,IF(INDIRECT("output_parsed_hero!u1:u"&amp;$B$1)="Dire",IF(INDIRECT("output_parsed_hero!j1:n"&amp;$B$1)=$L23,1))))</f>
        <v>0</v>
      </c>
      <c r="O23">
        <f t="array" aca="1" ref="O23" ca="1">SUM(IF(INDIRECT("output_parsed_hero!t1:t"&amp;$B$1)=$L$1,IF(INDIRECT("output_parsed_hero!u1:u"&amp;$B$1)="Radiant",IF(INDIRECT("output_parsed_hero!E1:I"&amp;$B$1)=$L23,IF(INDIRECT("output_parsed_hero!D1:D"&amp;$B$1)=TRUE,1)))))+SUM(IF(INDIRECT("output_parsed_hero!t1:t"&amp;$B$1)=$L$1,IF(INDIRECT("output_parsed_hero!u1:u"&amp;$B$1)="Dire",IF(INDIRECT("output_parsed_hero!j1:N"&amp;$B$1)=$L23,IF(INDIRECT("output_parsed_hero!D1:D"&amp;$B$1)=FALSE,1)))))</f>
        <v>0</v>
      </c>
      <c r="P23">
        <f t="shared" ca="1" si="3"/>
        <v>0</v>
      </c>
      <c r="Q23">
        <f t="array" aca="1" ref="Q23" ca="1">SUM(IF(INDIRECT("output_parsed_hero!t1:t"&amp;$B$1)=$L$1,IF(INDIRECT("output_parsed_hero!u1:u"&amp;$B$1)="Radiant",IF(INDIRECT("output_parsed_hero!j1:n"&amp;$B$1)=$L23,1))))+SUM(IF(INDIRECT("output_parsed_hero!t1:t"&amp;$B$1)=$L$1,IF(INDIRECT("output_parsed_hero!u1:u"&amp;$B$1)="Dire",IF(INDIRECT("output_parsed_hero!e1:i"&amp;$B$1)=$L23,1))))</f>
        <v>1</v>
      </c>
      <c r="R23">
        <f t="array" aca="1" ref="R23" ca="1">SUM(IF(INDIRECT("output_parsed_hero!t1:t"&amp;$B$1)=$L$1,IF(INDIRECT("output_parsed_hero!u1:u"&amp;$B$1)="Radiant",IF(INDIRECT("output_parsed_hero!j1:n"&amp;$B$1)=$L23,IF(INDIRECT("output_parsed_hero!D1:D"&amp;$B$1)=TRUE,1)))))+SUM(IF(INDIRECT("output_parsed_hero!t1:t"&amp;$B$1)=$L$1,IF(INDIRECT("output_parsed_hero!u1:u"&amp;$B$1)="Dire",IF(INDIRECT("output_parsed_hero!e1:i"&amp;$B$1)=$L23,IF(INDIRECT("output_parsed_hero!D1:D"&amp;$B$1)=FALSE,1)))))</f>
        <v>1</v>
      </c>
      <c r="S23">
        <f t="shared" ca="1" si="4"/>
        <v>1</v>
      </c>
      <c r="Z23" t="s">
        <v>448</v>
      </c>
    </row>
    <row r="24" spans="1:26" x14ac:dyDescent="0.3">
      <c r="A24">
        <f t="shared" si="1"/>
        <v>20</v>
      </c>
      <c r="B24" t="str">
        <f>VLOOKUP(A24,'hero names'!$S$7:$T$209,2,0)</f>
        <v>Vengeful Spirit</v>
      </c>
      <c r="C24">
        <f t="array" aca="1" ref="C24" ca="1">COUNT(IF(INDIRECT("output_parsed!E1:N"&amp;$B$1)='Analysis backend'!$A24,INDIRECT("output_parsed!E1:N"&amp;$B$1)))</f>
        <v>2</v>
      </c>
      <c r="D24">
        <f t="array" aca="1" ref="D24" ca="1">COUNT(IF(INDIRECT("output_parsed!o1:s"&amp;$B$1)='Analysis backend'!$A24,INDIRECT("output_parsed!o1:s"&amp;$B$1)))</f>
        <v>0</v>
      </c>
      <c r="E24">
        <f t="shared" ca="1" si="0"/>
        <v>2</v>
      </c>
      <c r="F24">
        <f t="array" aca="1" ref="F24" ca="1">COUNT(IF(INDIRECT("output_parsed!D1:D"&amp;$B$1)=TRUE,IF(INDIRECT("output_parsed!E1:I"&amp;$B$1)='Analysis backend'!$A24,INDIRECT("output_parsed!E1:I"&amp;$B$1))))+COUNT(IF(INDIRECT("output_parsed!D1:D"&amp;$B$1)=FALSE,IF(INDIRECT("output_parsed!J1:N"&amp;$B$1)='Analysis backend'!$A24,INDIRECT("output_parsed!J1:N"&amp;$B$1))))</f>
        <v>2</v>
      </c>
      <c r="L24">
        <f t="shared" si="5"/>
        <v>19</v>
      </c>
      <c r="M24" t="str">
        <f t="shared" si="2"/>
        <v>Tiny</v>
      </c>
      <c r="N24">
        <f t="array" aca="1" ref="N24" ca="1">SUM(IF(INDIRECT("output_parsed_hero!t1:t"&amp;$B$1)=$L$1,IF(INDIRECT("output_parsed_hero!u1:u"&amp;$B$1)="Radiant",IF(INDIRECT("output_parsed_hero!E1:I"&amp;$B$1)=$L24,1))))+SUM(IF(INDIRECT("output_parsed_hero!t1:t"&amp;$B$1)=$L$1,IF(INDIRECT("output_parsed_hero!u1:u"&amp;$B$1)="Dire",IF(INDIRECT("output_parsed_hero!j1:n"&amp;$B$1)=$L24,1))))</f>
        <v>8</v>
      </c>
      <c r="O24">
        <f t="array" aca="1" ref="O24" ca="1">SUM(IF(INDIRECT("output_parsed_hero!t1:t"&amp;$B$1)=$L$1,IF(INDIRECT("output_parsed_hero!u1:u"&amp;$B$1)="Radiant",IF(INDIRECT("output_parsed_hero!E1:I"&amp;$B$1)=$L24,IF(INDIRECT("output_parsed_hero!D1:D"&amp;$B$1)=TRUE,1)))))+SUM(IF(INDIRECT("output_parsed_hero!t1:t"&amp;$B$1)=$L$1,IF(INDIRECT("output_parsed_hero!u1:u"&amp;$B$1)="Dire",IF(INDIRECT("output_parsed_hero!j1:N"&amp;$B$1)=$L24,IF(INDIRECT("output_parsed_hero!D1:D"&amp;$B$1)=FALSE,1)))))</f>
        <v>3</v>
      </c>
      <c r="P24">
        <f t="shared" ca="1" si="3"/>
        <v>0.375</v>
      </c>
      <c r="Q24">
        <f t="array" aca="1" ref="Q24" ca="1">SUM(IF(INDIRECT("output_parsed_hero!t1:t"&amp;$B$1)=$L$1,IF(INDIRECT("output_parsed_hero!u1:u"&amp;$B$1)="Radiant",IF(INDIRECT("output_parsed_hero!j1:n"&amp;$B$1)=$L24,1))))+SUM(IF(INDIRECT("output_parsed_hero!t1:t"&amp;$B$1)=$L$1,IF(INDIRECT("output_parsed_hero!u1:u"&amp;$B$1)="Dire",IF(INDIRECT("output_parsed_hero!e1:i"&amp;$B$1)=$L24,1))))</f>
        <v>8</v>
      </c>
      <c r="R24">
        <f t="array" aca="1" ref="R24" ca="1">SUM(IF(INDIRECT("output_parsed_hero!t1:t"&amp;$B$1)=$L$1,IF(INDIRECT("output_parsed_hero!u1:u"&amp;$B$1)="Radiant",IF(INDIRECT("output_parsed_hero!j1:n"&amp;$B$1)=$L24,IF(INDIRECT("output_parsed_hero!D1:D"&amp;$B$1)=TRUE,1)))))+SUM(IF(INDIRECT("output_parsed_hero!t1:t"&amp;$B$1)=$L$1,IF(INDIRECT("output_parsed_hero!u1:u"&amp;$B$1)="Dire",IF(INDIRECT("output_parsed_hero!e1:i"&amp;$B$1)=$L24,IF(INDIRECT("output_parsed_hero!D1:D"&amp;$B$1)=FALSE,1)))))</f>
        <v>4</v>
      </c>
      <c r="S24">
        <f t="shared" ca="1" si="4"/>
        <v>0.5</v>
      </c>
      <c r="Z24" t="s">
        <v>403</v>
      </c>
    </row>
    <row r="25" spans="1:26" x14ac:dyDescent="0.3">
      <c r="A25">
        <f t="shared" si="1"/>
        <v>21</v>
      </c>
      <c r="B25" t="str">
        <f>VLOOKUP(A25,'hero names'!$S$7:$T$209,2,0)</f>
        <v>Windranger</v>
      </c>
      <c r="C25">
        <f t="array" aca="1" ref="C25" ca="1">COUNT(IF(INDIRECT("output_parsed!E1:N"&amp;$B$1)='Analysis backend'!$A25,INDIRECT("output_parsed!E1:N"&amp;$B$1)))</f>
        <v>14</v>
      </c>
      <c r="D25">
        <f t="array" aca="1" ref="D25" ca="1">COUNT(IF(INDIRECT("output_parsed!o1:s"&amp;$B$1)='Analysis backend'!$A25,INDIRECT("output_parsed!o1:s"&amp;$B$1)))</f>
        <v>0</v>
      </c>
      <c r="E25">
        <f t="shared" ca="1" si="0"/>
        <v>14</v>
      </c>
      <c r="F25">
        <f t="array" aca="1" ref="F25" ca="1">COUNT(IF(INDIRECT("output_parsed!D1:D"&amp;$B$1)=TRUE,IF(INDIRECT("output_parsed!E1:I"&amp;$B$1)='Analysis backend'!$A25,INDIRECT("output_parsed!E1:I"&amp;$B$1))))+COUNT(IF(INDIRECT("output_parsed!D1:D"&amp;$B$1)=FALSE,IF(INDIRECT("output_parsed!J1:N"&amp;$B$1)='Analysis backend'!$A25,INDIRECT("output_parsed!J1:N"&amp;$B$1))))</f>
        <v>8</v>
      </c>
      <c r="L25">
        <f t="shared" si="5"/>
        <v>20</v>
      </c>
      <c r="M25" t="str">
        <f t="shared" si="2"/>
        <v>Vengeful Spirit</v>
      </c>
      <c r="N25">
        <f t="array" aca="1" ref="N25" ca="1">SUM(IF(INDIRECT("output_parsed_hero!t1:t"&amp;$B$1)=$L$1,IF(INDIRECT("output_parsed_hero!u1:u"&amp;$B$1)="Radiant",IF(INDIRECT("output_parsed_hero!E1:I"&amp;$B$1)=$L25,1))))+SUM(IF(INDIRECT("output_parsed_hero!t1:t"&amp;$B$1)=$L$1,IF(INDIRECT("output_parsed_hero!u1:u"&amp;$B$1)="Dire",IF(INDIRECT("output_parsed_hero!j1:n"&amp;$B$1)=$L25,1))))</f>
        <v>0</v>
      </c>
      <c r="O25">
        <f t="array" aca="1" ref="O25" ca="1">SUM(IF(INDIRECT("output_parsed_hero!t1:t"&amp;$B$1)=$L$1,IF(INDIRECT("output_parsed_hero!u1:u"&amp;$B$1)="Radiant",IF(INDIRECT("output_parsed_hero!E1:I"&amp;$B$1)=$L25,IF(INDIRECT("output_parsed_hero!D1:D"&amp;$B$1)=TRUE,1)))))+SUM(IF(INDIRECT("output_parsed_hero!t1:t"&amp;$B$1)=$L$1,IF(INDIRECT("output_parsed_hero!u1:u"&amp;$B$1)="Dire",IF(INDIRECT("output_parsed_hero!j1:N"&amp;$B$1)=$L25,IF(INDIRECT("output_parsed_hero!D1:D"&amp;$B$1)=FALSE,1)))))</f>
        <v>0</v>
      </c>
      <c r="P25">
        <f t="shared" ca="1" si="3"/>
        <v>0</v>
      </c>
      <c r="Q25">
        <f t="array" aca="1" ref="Q25" ca="1">SUM(IF(INDIRECT("output_parsed_hero!t1:t"&amp;$B$1)=$L$1,IF(INDIRECT("output_parsed_hero!u1:u"&amp;$B$1)="Radiant",IF(INDIRECT("output_parsed_hero!j1:n"&amp;$B$1)=$L25,1))))+SUM(IF(INDIRECT("output_parsed_hero!t1:t"&amp;$B$1)=$L$1,IF(INDIRECT("output_parsed_hero!u1:u"&amp;$B$1)="Dire",IF(INDIRECT("output_parsed_hero!e1:i"&amp;$B$1)=$L25,1))))</f>
        <v>0</v>
      </c>
      <c r="R25">
        <f t="array" aca="1" ref="R25" ca="1">SUM(IF(INDIRECT("output_parsed_hero!t1:t"&amp;$B$1)=$L$1,IF(INDIRECT("output_parsed_hero!u1:u"&amp;$B$1)="Radiant",IF(INDIRECT("output_parsed_hero!j1:n"&amp;$B$1)=$L25,IF(INDIRECT("output_parsed_hero!D1:D"&amp;$B$1)=TRUE,1)))))+SUM(IF(INDIRECT("output_parsed_hero!t1:t"&amp;$B$1)=$L$1,IF(INDIRECT("output_parsed_hero!u1:u"&amp;$B$1)="Dire",IF(INDIRECT("output_parsed_hero!e1:i"&amp;$B$1)=$L25,IF(INDIRECT("output_parsed_hero!D1:D"&amp;$B$1)=FALSE,1)))))</f>
        <v>0</v>
      </c>
      <c r="S25">
        <f t="shared" ca="1" si="4"/>
        <v>0</v>
      </c>
      <c r="Z25" t="s">
        <v>452</v>
      </c>
    </row>
    <row r="26" spans="1:26" x14ac:dyDescent="0.3">
      <c r="A26">
        <f t="shared" si="1"/>
        <v>22</v>
      </c>
      <c r="B26" t="str">
        <f>VLOOKUP(A26,'hero names'!$S$7:$T$209,2,0)</f>
        <v>Zeus</v>
      </c>
      <c r="C26">
        <f t="array" aca="1" ref="C26" ca="1">COUNT(IF(INDIRECT("output_parsed!E1:N"&amp;$B$1)='Analysis backend'!$A26,INDIRECT("output_parsed!E1:N"&amp;$B$1)))</f>
        <v>16</v>
      </c>
      <c r="D26">
        <f t="array" aca="1" ref="D26" ca="1">COUNT(IF(INDIRECT("output_parsed!o1:s"&amp;$B$1)='Analysis backend'!$A26,INDIRECT("output_parsed!o1:s"&amp;$B$1)))</f>
        <v>0</v>
      </c>
      <c r="E26">
        <f t="shared" ca="1" si="0"/>
        <v>16</v>
      </c>
      <c r="F26">
        <f t="array" aca="1" ref="F26" ca="1">COUNT(IF(INDIRECT("output_parsed!D1:D"&amp;$B$1)=TRUE,IF(INDIRECT("output_parsed!E1:I"&amp;$B$1)='Analysis backend'!$A26,INDIRECT("output_parsed!E1:I"&amp;$B$1))))+COUNT(IF(INDIRECT("output_parsed!D1:D"&amp;$B$1)=FALSE,IF(INDIRECT("output_parsed!J1:N"&amp;$B$1)='Analysis backend'!$A26,INDIRECT("output_parsed!J1:N"&amp;$B$1))))</f>
        <v>10</v>
      </c>
      <c r="L26">
        <f t="shared" si="5"/>
        <v>21</v>
      </c>
      <c r="M26" t="str">
        <f t="shared" si="2"/>
        <v>Windranger</v>
      </c>
      <c r="N26">
        <f t="array" aca="1" ref="N26" ca="1">SUM(IF(INDIRECT("output_parsed_hero!t1:t"&amp;$B$1)=$L$1,IF(INDIRECT("output_parsed_hero!u1:u"&amp;$B$1)="Radiant",IF(INDIRECT("output_parsed_hero!E1:I"&amp;$B$1)=$L26,1))))+SUM(IF(INDIRECT("output_parsed_hero!t1:t"&amp;$B$1)=$L$1,IF(INDIRECT("output_parsed_hero!u1:u"&amp;$B$1)="Dire",IF(INDIRECT("output_parsed_hero!j1:n"&amp;$B$1)=$L26,1))))</f>
        <v>4</v>
      </c>
      <c r="O26">
        <f t="array" aca="1" ref="O26" ca="1">SUM(IF(INDIRECT("output_parsed_hero!t1:t"&amp;$B$1)=$L$1,IF(INDIRECT("output_parsed_hero!u1:u"&amp;$B$1)="Radiant",IF(INDIRECT("output_parsed_hero!E1:I"&amp;$B$1)=$L26,IF(INDIRECT("output_parsed_hero!D1:D"&amp;$B$1)=TRUE,1)))))+SUM(IF(INDIRECT("output_parsed_hero!t1:t"&amp;$B$1)=$L$1,IF(INDIRECT("output_parsed_hero!u1:u"&amp;$B$1)="Dire",IF(INDIRECT("output_parsed_hero!j1:N"&amp;$B$1)=$L26,IF(INDIRECT("output_parsed_hero!D1:D"&amp;$B$1)=FALSE,1)))))</f>
        <v>3</v>
      </c>
      <c r="P26">
        <f t="shared" ca="1" si="3"/>
        <v>0.75</v>
      </c>
      <c r="Q26">
        <f t="array" aca="1" ref="Q26" ca="1">SUM(IF(INDIRECT("output_parsed_hero!t1:t"&amp;$B$1)=$L$1,IF(INDIRECT("output_parsed_hero!u1:u"&amp;$B$1)="Radiant",IF(INDIRECT("output_parsed_hero!j1:n"&amp;$B$1)=$L26,1))))+SUM(IF(INDIRECT("output_parsed_hero!t1:t"&amp;$B$1)=$L$1,IF(INDIRECT("output_parsed_hero!u1:u"&amp;$B$1)="Dire",IF(INDIRECT("output_parsed_hero!e1:i"&amp;$B$1)=$L26,1))))</f>
        <v>2</v>
      </c>
      <c r="R26">
        <f t="array" aca="1" ref="R26" ca="1">SUM(IF(INDIRECT("output_parsed_hero!t1:t"&amp;$B$1)=$L$1,IF(INDIRECT("output_parsed_hero!u1:u"&amp;$B$1)="Radiant",IF(INDIRECT("output_parsed_hero!j1:n"&amp;$B$1)=$L26,IF(INDIRECT("output_parsed_hero!D1:D"&amp;$B$1)=TRUE,1)))))+SUM(IF(INDIRECT("output_parsed_hero!t1:t"&amp;$B$1)=$L$1,IF(INDIRECT("output_parsed_hero!u1:u"&amp;$B$1)="Dire",IF(INDIRECT("output_parsed_hero!e1:i"&amp;$B$1)=$L26,IF(INDIRECT("output_parsed_hero!D1:D"&amp;$B$1)=FALSE,1)))))</f>
        <v>1</v>
      </c>
      <c r="S26">
        <f t="shared" ca="1" si="4"/>
        <v>0.5</v>
      </c>
      <c r="Z26" t="s">
        <v>512</v>
      </c>
    </row>
    <row r="27" spans="1:26" x14ac:dyDescent="0.3">
      <c r="A27">
        <f t="shared" si="1"/>
        <v>23</v>
      </c>
      <c r="B27" t="str">
        <f>VLOOKUP(A27,'hero names'!$S$7:$T$209,2,0)</f>
        <v>Kunkka</v>
      </c>
      <c r="C27">
        <f t="array" aca="1" ref="C27" ca="1">COUNT(IF(INDIRECT("output_parsed!E1:N"&amp;$B$1)='Analysis backend'!$A27,INDIRECT("output_parsed!E1:N"&amp;$B$1)))</f>
        <v>18</v>
      </c>
      <c r="D27">
        <f t="array" aca="1" ref="D27" ca="1">COUNT(IF(INDIRECT("output_parsed!o1:s"&amp;$B$1)='Analysis backend'!$A27,INDIRECT("output_parsed!o1:s"&amp;$B$1)))</f>
        <v>2</v>
      </c>
      <c r="E27">
        <f t="shared" ca="1" si="0"/>
        <v>20</v>
      </c>
      <c r="F27">
        <f t="array" aca="1" ref="F27" ca="1">COUNT(IF(INDIRECT("output_parsed!D1:D"&amp;$B$1)=TRUE,IF(INDIRECT("output_parsed!E1:I"&amp;$B$1)='Analysis backend'!$A27,INDIRECT("output_parsed!E1:I"&amp;$B$1))))+COUNT(IF(INDIRECT("output_parsed!D1:D"&amp;$B$1)=FALSE,IF(INDIRECT("output_parsed!J1:N"&amp;$B$1)='Analysis backend'!$A27,INDIRECT("output_parsed!J1:N"&amp;$B$1))))</f>
        <v>7</v>
      </c>
      <c r="L27">
        <f t="shared" si="5"/>
        <v>22</v>
      </c>
      <c r="M27" t="str">
        <f t="shared" si="2"/>
        <v>Zeus</v>
      </c>
      <c r="N27">
        <f t="array" aca="1" ref="N27" ca="1">SUM(IF(INDIRECT("output_parsed_hero!t1:t"&amp;$B$1)=$L$1,IF(INDIRECT("output_parsed_hero!u1:u"&amp;$B$1)="Radiant",IF(INDIRECT("output_parsed_hero!E1:I"&amp;$B$1)=$L27,1))))+SUM(IF(INDIRECT("output_parsed_hero!t1:t"&amp;$B$1)=$L$1,IF(INDIRECT("output_parsed_hero!u1:u"&amp;$B$1)="Dire",IF(INDIRECT("output_parsed_hero!j1:n"&amp;$B$1)=$L27,1))))</f>
        <v>5</v>
      </c>
      <c r="O27">
        <f t="array" aca="1" ref="O27" ca="1">SUM(IF(INDIRECT("output_parsed_hero!t1:t"&amp;$B$1)=$L$1,IF(INDIRECT("output_parsed_hero!u1:u"&amp;$B$1)="Radiant",IF(INDIRECT("output_parsed_hero!E1:I"&amp;$B$1)=$L27,IF(INDIRECT("output_parsed_hero!D1:D"&amp;$B$1)=TRUE,1)))))+SUM(IF(INDIRECT("output_parsed_hero!t1:t"&amp;$B$1)=$L$1,IF(INDIRECT("output_parsed_hero!u1:u"&amp;$B$1)="Dire",IF(INDIRECT("output_parsed_hero!j1:N"&amp;$B$1)=$L27,IF(INDIRECT("output_parsed_hero!D1:D"&amp;$B$1)=FALSE,1)))))</f>
        <v>5</v>
      </c>
      <c r="P27">
        <f t="shared" ca="1" si="3"/>
        <v>1</v>
      </c>
      <c r="Q27">
        <f t="array" aca="1" ref="Q27" ca="1">SUM(IF(INDIRECT("output_parsed_hero!t1:t"&amp;$B$1)=$L$1,IF(INDIRECT("output_parsed_hero!u1:u"&amp;$B$1)="Radiant",IF(INDIRECT("output_parsed_hero!j1:n"&amp;$B$1)=$L27,1))))+SUM(IF(INDIRECT("output_parsed_hero!t1:t"&amp;$B$1)=$L$1,IF(INDIRECT("output_parsed_hero!u1:u"&amp;$B$1)="Dire",IF(INDIRECT("output_parsed_hero!e1:i"&amp;$B$1)=$L27,1))))</f>
        <v>3</v>
      </c>
      <c r="R27">
        <f t="array" aca="1" ref="R27" ca="1">SUM(IF(INDIRECT("output_parsed_hero!t1:t"&amp;$B$1)=$L$1,IF(INDIRECT("output_parsed_hero!u1:u"&amp;$B$1)="Radiant",IF(INDIRECT("output_parsed_hero!j1:n"&amp;$B$1)=$L27,IF(INDIRECT("output_parsed_hero!D1:D"&amp;$B$1)=TRUE,1)))))+SUM(IF(INDIRECT("output_parsed_hero!t1:t"&amp;$B$1)=$L$1,IF(INDIRECT("output_parsed_hero!u1:u"&amp;$B$1)="Dire",IF(INDIRECT("output_parsed_hero!e1:i"&amp;$B$1)=$L27,IF(INDIRECT("output_parsed_hero!D1:D"&amp;$B$1)=FALSE,1)))))</f>
        <v>2</v>
      </c>
      <c r="S27">
        <f t="shared" ca="1" si="4"/>
        <v>0.66666666666666663</v>
      </c>
      <c r="Z27" t="s">
        <v>447</v>
      </c>
    </row>
    <row r="28" spans="1:26" x14ac:dyDescent="0.3">
      <c r="A28">
        <f t="shared" si="1"/>
        <v>24</v>
      </c>
      <c r="B28" t="e">
        <f>VLOOKUP(A28,'hero names'!$S$7:$T$209,2,0)</f>
        <v>#N/A</v>
      </c>
      <c r="C28">
        <f t="array" aca="1" ref="C28" ca="1">COUNT(IF(INDIRECT("output_parsed!E1:N"&amp;$B$1)='Analysis backend'!$A28,INDIRECT("output_parsed!E1:N"&amp;$B$1)))</f>
        <v>0</v>
      </c>
      <c r="D28">
        <f t="array" aca="1" ref="D28" ca="1">COUNT(IF(INDIRECT("output_parsed!o1:s"&amp;$B$1)='Analysis backend'!$A28,INDIRECT("output_parsed!o1:s"&amp;$B$1)))</f>
        <v>0</v>
      </c>
      <c r="E28">
        <f t="shared" ca="1" si="0"/>
        <v>0</v>
      </c>
      <c r="F28">
        <f t="array" aca="1" ref="F28" ca="1">COUNT(IF(INDIRECT("output_parsed!D1:D"&amp;$B$1)=TRUE,IF(INDIRECT("output_parsed!E1:I"&amp;$B$1)='Analysis backend'!$A28,INDIRECT("output_parsed!E1:I"&amp;$B$1))))+COUNT(IF(INDIRECT("output_parsed!D1:D"&amp;$B$1)=FALSE,IF(INDIRECT("output_parsed!J1:N"&amp;$B$1)='Analysis backend'!$A28,INDIRECT("output_parsed!J1:N"&amp;$B$1))))</f>
        <v>0</v>
      </c>
      <c r="L28">
        <f t="shared" si="5"/>
        <v>23</v>
      </c>
      <c r="M28" t="str">
        <f t="shared" si="2"/>
        <v>Kunkka</v>
      </c>
      <c r="N28">
        <f t="array" aca="1" ref="N28" ca="1">SUM(IF(INDIRECT("output_parsed_hero!t1:t"&amp;$B$1)=$L$1,IF(INDIRECT("output_parsed_hero!u1:u"&amp;$B$1)="Radiant",IF(INDIRECT("output_parsed_hero!E1:I"&amp;$B$1)=$L28,1))))+SUM(IF(INDIRECT("output_parsed_hero!t1:t"&amp;$B$1)=$L$1,IF(INDIRECT("output_parsed_hero!u1:u"&amp;$B$1)="Dire",IF(INDIRECT("output_parsed_hero!j1:n"&amp;$B$1)=$L28,1))))</f>
        <v>5</v>
      </c>
      <c r="O28">
        <f t="array" aca="1" ref="O28" ca="1">SUM(IF(INDIRECT("output_parsed_hero!t1:t"&amp;$B$1)=$L$1,IF(INDIRECT("output_parsed_hero!u1:u"&amp;$B$1)="Radiant",IF(INDIRECT("output_parsed_hero!E1:I"&amp;$B$1)=$L28,IF(INDIRECT("output_parsed_hero!D1:D"&amp;$B$1)=TRUE,1)))))+SUM(IF(INDIRECT("output_parsed_hero!t1:t"&amp;$B$1)=$L$1,IF(INDIRECT("output_parsed_hero!u1:u"&amp;$B$1)="Dire",IF(INDIRECT("output_parsed_hero!j1:N"&amp;$B$1)=$L28,IF(INDIRECT("output_parsed_hero!D1:D"&amp;$B$1)=FALSE,1)))))</f>
        <v>2</v>
      </c>
      <c r="P28">
        <f t="shared" ca="1" si="3"/>
        <v>0.4</v>
      </c>
      <c r="Q28">
        <f t="array" aca="1" ref="Q28" ca="1">SUM(IF(INDIRECT("output_parsed_hero!t1:t"&amp;$B$1)=$L$1,IF(INDIRECT("output_parsed_hero!u1:u"&amp;$B$1)="Radiant",IF(INDIRECT("output_parsed_hero!j1:n"&amp;$B$1)=$L28,1))))+SUM(IF(INDIRECT("output_parsed_hero!t1:t"&amp;$B$1)=$L$1,IF(INDIRECT("output_parsed_hero!u1:u"&amp;$B$1)="Dire",IF(INDIRECT("output_parsed_hero!e1:i"&amp;$B$1)=$L28,1))))</f>
        <v>7</v>
      </c>
      <c r="R28">
        <f t="array" aca="1" ref="R28" ca="1">SUM(IF(INDIRECT("output_parsed_hero!t1:t"&amp;$B$1)=$L$1,IF(INDIRECT("output_parsed_hero!u1:u"&amp;$B$1)="Radiant",IF(INDIRECT("output_parsed_hero!j1:n"&amp;$B$1)=$L28,IF(INDIRECT("output_parsed_hero!D1:D"&amp;$B$1)=TRUE,1)))))+SUM(IF(INDIRECT("output_parsed_hero!t1:t"&amp;$B$1)=$L$1,IF(INDIRECT("output_parsed_hero!u1:u"&amp;$B$1)="Dire",IF(INDIRECT("output_parsed_hero!e1:i"&amp;$B$1)=$L28,IF(INDIRECT("output_parsed_hero!D1:D"&amp;$B$1)=FALSE,1)))))</f>
        <v>3</v>
      </c>
      <c r="S28">
        <f t="shared" ca="1" si="4"/>
        <v>0.42857142857142855</v>
      </c>
      <c r="Z28" t="s">
        <v>440</v>
      </c>
    </row>
    <row r="29" spans="1:26" x14ac:dyDescent="0.3">
      <c r="A29">
        <f t="shared" si="1"/>
        <v>25</v>
      </c>
      <c r="B29" t="str">
        <f>VLOOKUP(A29,'hero names'!$S$7:$T$209,2,0)</f>
        <v>Lina</v>
      </c>
      <c r="C29">
        <f t="array" aca="1" ref="C29" ca="1">COUNT(IF(INDIRECT("output_parsed!E1:N"&amp;$B$1)='Analysis backend'!$A29,INDIRECT("output_parsed!E1:N"&amp;$B$1)))</f>
        <v>29</v>
      </c>
      <c r="D29">
        <f t="array" aca="1" ref="D29" ca="1">COUNT(IF(INDIRECT("output_parsed!o1:s"&amp;$B$1)='Analysis backend'!$A29,INDIRECT("output_parsed!o1:s"&amp;$B$1)))</f>
        <v>0</v>
      </c>
      <c r="E29">
        <f t="shared" ca="1" si="0"/>
        <v>29</v>
      </c>
      <c r="F29">
        <f t="array" aca="1" ref="F29" ca="1">COUNT(IF(INDIRECT("output_parsed!D1:D"&amp;$B$1)=TRUE,IF(INDIRECT("output_parsed!E1:I"&amp;$B$1)='Analysis backend'!$A29,INDIRECT("output_parsed!E1:I"&amp;$B$1))))+COUNT(IF(INDIRECT("output_parsed!D1:D"&amp;$B$1)=FALSE,IF(INDIRECT("output_parsed!J1:N"&amp;$B$1)='Analysis backend'!$A29,INDIRECT("output_parsed!J1:N"&amp;$B$1))))</f>
        <v>14</v>
      </c>
      <c r="L29">
        <f t="shared" si="5"/>
        <v>24</v>
      </c>
      <c r="M29" t="e">
        <f t="shared" si="2"/>
        <v>#N/A</v>
      </c>
      <c r="N29">
        <f t="array" aca="1" ref="N29" ca="1">SUM(IF(INDIRECT("output_parsed_hero!t1:t"&amp;$B$1)=$L$1,IF(INDIRECT("output_parsed_hero!u1:u"&amp;$B$1)="Radiant",IF(INDIRECT("output_parsed_hero!E1:I"&amp;$B$1)=$L29,1))))+SUM(IF(INDIRECT("output_parsed_hero!t1:t"&amp;$B$1)=$L$1,IF(INDIRECT("output_parsed_hero!u1:u"&amp;$B$1)="Dire",IF(INDIRECT("output_parsed_hero!j1:n"&amp;$B$1)=$L29,1))))</f>
        <v>0</v>
      </c>
      <c r="O29">
        <f t="array" aca="1" ref="O29" ca="1">SUM(IF(INDIRECT("output_parsed_hero!t1:t"&amp;$B$1)=$L$1,IF(INDIRECT("output_parsed_hero!u1:u"&amp;$B$1)="Radiant",IF(INDIRECT("output_parsed_hero!E1:I"&amp;$B$1)=$L29,IF(INDIRECT("output_parsed_hero!D1:D"&amp;$B$1)=TRUE,1)))))+SUM(IF(INDIRECT("output_parsed_hero!t1:t"&amp;$B$1)=$L$1,IF(INDIRECT("output_parsed_hero!u1:u"&amp;$B$1)="Dire",IF(INDIRECT("output_parsed_hero!j1:N"&amp;$B$1)=$L29,IF(INDIRECT("output_parsed_hero!D1:D"&amp;$B$1)=FALSE,1)))))</f>
        <v>0</v>
      </c>
      <c r="P29">
        <f t="shared" ca="1" si="3"/>
        <v>0</v>
      </c>
      <c r="Q29">
        <f t="array" aca="1" ref="Q29" ca="1">SUM(IF(INDIRECT("output_parsed_hero!t1:t"&amp;$B$1)=$L$1,IF(INDIRECT("output_parsed_hero!u1:u"&amp;$B$1)="Radiant",IF(INDIRECT("output_parsed_hero!j1:n"&amp;$B$1)=$L29,1))))+SUM(IF(INDIRECT("output_parsed_hero!t1:t"&amp;$B$1)=$L$1,IF(INDIRECT("output_parsed_hero!u1:u"&amp;$B$1)="Dire",IF(INDIRECT("output_parsed_hero!e1:i"&amp;$B$1)=$L29,1))))</f>
        <v>0</v>
      </c>
      <c r="R29">
        <f t="array" aca="1" ref="R29" ca="1">SUM(IF(INDIRECT("output_parsed_hero!t1:t"&amp;$B$1)=$L$1,IF(INDIRECT("output_parsed_hero!u1:u"&amp;$B$1)="Radiant",IF(INDIRECT("output_parsed_hero!j1:n"&amp;$B$1)=$L29,IF(INDIRECT("output_parsed_hero!D1:D"&amp;$B$1)=TRUE,1)))))+SUM(IF(INDIRECT("output_parsed_hero!t1:t"&amp;$B$1)=$L$1,IF(INDIRECT("output_parsed_hero!u1:u"&amp;$B$1)="Dire",IF(INDIRECT("output_parsed_hero!e1:i"&amp;$B$1)=$L29,IF(INDIRECT("output_parsed_hero!D1:D"&amp;$B$1)=FALSE,1)))))</f>
        <v>0</v>
      </c>
      <c r="S29">
        <f t="shared" ca="1" si="4"/>
        <v>0</v>
      </c>
      <c r="Z29" t="s">
        <v>484</v>
      </c>
    </row>
    <row r="30" spans="1:26" x14ac:dyDescent="0.3">
      <c r="A30">
        <f t="shared" si="1"/>
        <v>26</v>
      </c>
      <c r="B30" t="str">
        <f>VLOOKUP(A30,'hero names'!$S$7:$T$209,2,0)</f>
        <v>Lion</v>
      </c>
      <c r="C30">
        <f t="array" aca="1" ref="C30" ca="1">COUNT(IF(INDIRECT("output_parsed!E1:N"&amp;$B$1)='Analysis backend'!$A30,INDIRECT("output_parsed!E1:N"&amp;$B$1)))</f>
        <v>46</v>
      </c>
      <c r="D30">
        <f t="array" aca="1" ref="D30" ca="1">COUNT(IF(INDIRECT("output_parsed!o1:s"&amp;$B$1)='Analysis backend'!$A30,INDIRECT("output_parsed!o1:s"&amp;$B$1)))</f>
        <v>0</v>
      </c>
      <c r="E30">
        <f t="shared" ca="1" si="0"/>
        <v>46</v>
      </c>
      <c r="F30">
        <f t="array" aca="1" ref="F30" ca="1">COUNT(IF(INDIRECT("output_parsed!D1:D"&amp;$B$1)=TRUE,IF(INDIRECT("output_parsed!E1:I"&amp;$B$1)='Analysis backend'!$A30,INDIRECT("output_parsed!E1:I"&amp;$B$1))))+COUNT(IF(INDIRECT("output_parsed!D1:D"&amp;$B$1)=FALSE,IF(INDIRECT("output_parsed!J1:N"&amp;$B$1)='Analysis backend'!$A30,INDIRECT("output_parsed!J1:N"&amp;$B$1))))</f>
        <v>23</v>
      </c>
      <c r="L30">
        <f t="shared" si="5"/>
        <v>25</v>
      </c>
      <c r="M30" t="str">
        <f t="shared" si="2"/>
        <v>Lina</v>
      </c>
      <c r="N30">
        <f t="array" aca="1" ref="N30" ca="1">SUM(IF(INDIRECT("output_parsed_hero!t1:t"&amp;$B$1)=$L$1,IF(INDIRECT("output_parsed_hero!u1:u"&amp;$B$1)="Radiant",IF(INDIRECT("output_parsed_hero!E1:I"&amp;$B$1)=$L30,1))))+SUM(IF(INDIRECT("output_parsed_hero!t1:t"&amp;$B$1)=$L$1,IF(INDIRECT("output_parsed_hero!u1:u"&amp;$B$1)="Dire",IF(INDIRECT("output_parsed_hero!j1:n"&amp;$B$1)=$L30,1))))</f>
        <v>9</v>
      </c>
      <c r="O30">
        <f t="array" aca="1" ref="O30" ca="1">SUM(IF(INDIRECT("output_parsed_hero!t1:t"&amp;$B$1)=$L$1,IF(INDIRECT("output_parsed_hero!u1:u"&amp;$B$1)="Radiant",IF(INDIRECT("output_parsed_hero!E1:I"&amp;$B$1)=$L30,IF(INDIRECT("output_parsed_hero!D1:D"&amp;$B$1)=TRUE,1)))))+SUM(IF(INDIRECT("output_parsed_hero!t1:t"&amp;$B$1)=$L$1,IF(INDIRECT("output_parsed_hero!u1:u"&amp;$B$1)="Dire",IF(INDIRECT("output_parsed_hero!j1:N"&amp;$B$1)=$L30,IF(INDIRECT("output_parsed_hero!D1:D"&amp;$B$1)=FALSE,1)))))</f>
        <v>5</v>
      </c>
      <c r="P30">
        <f t="shared" ca="1" si="3"/>
        <v>0.55555555555555558</v>
      </c>
      <c r="Q30">
        <f t="array" aca="1" ref="Q30" ca="1">SUM(IF(INDIRECT("output_parsed_hero!t1:t"&amp;$B$1)=$L$1,IF(INDIRECT("output_parsed_hero!u1:u"&amp;$B$1)="Radiant",IF(INDIRECT("output_parsed_hero!j1:n"&amp;$B$1)=$L30,1))))+SUM(IF(INDIRECT("output_parsed_hero!t1:t"&amp;$B$1)=$L$1,IF(INDIRECT("output_parsed_hero!u1:u"&amp;$B$1)="Dire",IF(INDIRECT("output_parsed_hero!e1:i"&amp;$B$1)=$L30,1))))</f>
        <v>8</v>
      </c>
      <c r="R30">
        <f t="array" aca="1" ref="R30" ca="1">SUM(IF(INDIRECT("output_parsed_hero!t1:t"&amp;$B$1)=$L$1,IF(INDIRECT("output_parsed_hero!u1:u"&amp;$B$1)="Radiant",IF(INDIRECT("output_parsed_hero!j1:n"&amp;$B$1)=$L30,IF(INDIRECT("output_parsed_hero!D1:D"&amp;$B$1)=TRUE,1)))))+SUM(IF(INDIRECT("output_parsed_hero!t1:t"&amp;$B$1)=$L$1,IF(INDIRECT("output_parsed_hero!u1:u"&amp;$B$1)="Dire",IF(INDIRECT("output_parsed_hero!e1:i"&amp;$B$1)=$L30,IF(INDIRECT("output_parsed_hero!D1:D"&amp;$B$1)=FALSE,1)))))</f>
        <v>5</v>
      </c>
      <c r="S30">
        <f t="shared" ca="1" si="4"/>
        <v>0.625</v>
      </c>
      <c r="Z30" t="s">
        <v>466</v>
      </c>
    </row>
    <row r="31" spans="1:26" x14ac:dyDescent="0.3">
      <c r="A31">
        <f t="shared" si="1"/>
        <v>27</v>
      </c>
      <c r="B31" t="str">
        <f>VLOOKUP(A31,'hero names'!$S$7:$T$209,2,0)</f>
        <v>Shadow Shaman</v>
      </c>
      <c r="C31">
        <f t="array" aca="1" ref="C31" ca="1">COUNT(IF(INDIRECT("output_parsed!E1:N"&amp;$B$1)='Analysis backend'!$A31,INDIRECT("output_parsed!E1:N"&amp;$B$1)))</f>
        <v>31</v>
      </c>
      <c r="D31">
        <f t="array" aca="1" ref="D31" ca="1">COUNT(IF(INDIRECT("output_parsed!o1:s"&amp;$B$1)='Analysis backend'!$A31,INDIRECT("output_parsed!o1:s"&amp;$B$1)))</f>
        <v>0</v>
      </c>
      <c r="E31">
        <f t="shared" ca="1" si="0"/>
        <v>31</v>
      </c>
      <c r="F31">
        <f t="array" aca="1" ref="F31" ca="1">COUNT(IF(INDIRECT("output_parsed!D1:D"&amp;$B$1)=TRUE,IF(INDIRECT("output_parsed!E1:I"&amp;$B$1)='Analysis backend'!$A31,INDIRECT("output_parsed!E1:I"&amp;$B$1))))+COUNT(IF(INDIRECT("output_parsed!D1:D"&amp;$B$1)=FALSE,IF(INDIRECT("output_parsed!J1:N"&amp;$B$1)='Analysis backend'!$A31,INDIRECT("output_parsed!J1:N"&amp;$B$1))))</f>
        <v>14</v>
      </c>
      <c r="L31">
        <f t="shared" si="5"/>
        <v>26</v>
      </c>
      <c r="M31" t="str">
        <f t="shared" si="2"/>
        <v>Lion</v>
      </c>
      <c r="N31">
        <f t="array" aca="1" ref="N31" ca="1">SUM(IF(INDIRECT("output_parsed_hero!t1:t"&amp;$B$1)=$L$1,IF(INDIRECT("output_parsed_hero!u1:u"&amp;$B$1)="Radiant",IF(INDIRECT("output_parsed_hero!E1:I"&amp;$B$1)=$L31,1))))+SUM(IF(INDIRECT("output_parsed_hero!t1:t"&amp;$B$1)=$L$1,IF(INDIRECT("output_parsed_hero!u1:u"&amp;$B$1)="Dire",IF(INDIRECT("output_parsed_hero!j1:n"&amp;$B$1)=$L31,1))))</f>
        <v>7</v>
      </c>
      <c r="O31">
        <f t="array" aca="1" ref="O31" ca="1">SUM(IF(INDIRECT("output_parsed_hero!t1:t"&amp;$B$1)=$L$1,IF(INDIRECT("output_parsed_hero!u1:u"&amp;$B$1)="Radiant",IF(INDIRECT("output_parsed_hero!E1:I"&amp;$B$1)=$L31,IF(INDIRECT("output_parsed_hero!D1:D"&amp;$B$1)=TRUE,1)))))+SUM(IF(INDIRECT("output_parsed_hero!t1:t"&amp;$B$1)=$L$1,IF(INDIRECT("output_parsed_hero!u1:u"&amp;$B$1)="Dire",IF(INDIRECT("output_parsed_hero!j1:N"&amp;$B$1)=$L31,IF(INDIRECT("output_parsed_hero!D1:D"&amp;$B$1)=FALSE,1)))))</f>
        <v>6</v>
      </c>
      <c r="P31">
        <f t="shared" ca="1" si="3"/>
        <v>0.8571428571428571</v>
      </c>
      <c r="Q31">
        <f t="array" aca="1" ref="Q31" ca="1">SUM(IF(INDIRECT("output_parsed_hero!t1:t"&amp;$B$1)=$L$1,IF(INDIRECT("output_parsed_hero!u1:u"&amp;$B$1)="Radiant",IF(INDIRECT("output_parsed_hero!j1:n"&amp;$B$1)=$L31,1))))+SUM(IF(INDIRECT("output_parsed_hero!t1:t"&amp;$B$1)=$L$1,IF(INDIRECT("output_parsed_hero!u1:u"&amp;$B$1)="Dire",IF(INDIRECT("output_parsed_hero!e1:i"&amp;$B$1)=$L31,1))))</f>
        <v>16</v>
      </c>
      <c r="R31">
        <f t="array" aca="1" ref="R31" ca="1">SUM(IF(INDIRECT("output_parsed_hero!t1:t"&amp;$B$1)=$L$1,IF(INDIRECT("output_parsed_hero!u1:u"&amp;$B$1)="Radiant",IF(INDIRECT("output_parsed_hero!j1:n"&amp;$B$1)=$L31,IF(INDIRECT("output_parsed_hero!D1:D"&amp;$B$1)=TRUE,1)))))+SUM(IF(INDIRECT("output_parsed_hero!t1:t"&amp;$B$1)=$L$1,IF(INDIRECT("output_parsed_hero!u1:u"&amp;$B$1)="Dire",IF(INDIRECT("output_parsed_hero!e1:i"&amp;$B$1)=$L31,IF(INDIRECT("output_parsed_hero!D1:D"&amp;$B$1)=FALSE,1)))))</f>
        <v>9</v>
      </c>
      <c r="S31">
        <f t="shared" ca="1" si="4"/>
        <v>0.5625</v>
      </c>
      <c r="Z31" t="s">
        <v>446</v>
      </c>
    </row>
    <row r="32" spans="1:26" x14ac:dyDescent="0.3">
      <c r="A32">
        <f t="shared" si="1"/>
        <v>28</v>
      </c>
      <c r="B32" t="str">
        <f>VLOOKUP(A32,'hero names'!$S$7:$T$209,2,0)</f>
        <v>Slardar</v>
      </c>
      <c r="C32">
        <f t="array" aca="1" ref="C32" ca="1">COUNT(IF(INDIRECT("output_parsed!E1:N"&amp;$B$1)='Analysis backend'!$A32,INDIRECT("output_parsed!E1:N"&amp;$B$1)))</f>
        <v>19</v>
      </c>
      <c r="D32">
        <f t="array" aca="1" ref="D32" ca="1">COUNT(IF(INDIRECT("output_parsed!o1:s"&amp;$B$1)='Analysis backend'!$A32,INDIRECT("output_parsed!o1:s"&amp;$B$1)))</f>
        <v>0</v>
      </c>
      <c r="E32">
        <f t="shared" ca="1" si="0"/>
        <v>19</v>
      </c>
      <c r="F32">
        <f t="array" aca="1" ref="F32" ca="1">COUNT(IF(INDIRECT("output_parsed!D1:D"&amp;$B$1)=TRUE,IF(INDIRECT("output_parsed!E1:I"&amp;$B$1)='Analysis backend'!$A32,INDIRECT("output_parsed!E1:I"&amp;$B$1))))+COUNT(IF(INDIRECT("output_parsed!D1:D"&amp;$B$1)=FALSE,IF(INDIRECT("output_parsed!J1:N"&amp;$B$1)='Analysis backend'!$A32,INDIRECT("output_parsed!J1:N"&amp;$B$1))))</f>
        <v>6</v>
      </c>
      <c r="L32">
        <f t="shared" si="5"/>
        <v>27</v>
      </c>
      <c r="M32" t="str">
        <f t="shared" si="2"/>
        <v>Shadow Shaman</v>
      </c>
      <c r="N32">
        <f t="array" aca="1" ref="N32" ca="1">SUM(IF(INDIRECT("output_parsed_hero!t1:t"&amp;$B$1)=$L$1,IF(INDIRECT("output_parsed_hero!u1:u"&amp;$B$1)="Radiant",IF(INDIRECT("output_parsed_hero!E1:I"&amp;$B$1)=$L32,1))))+SUM(IF(INDIRECT("output_parsed_hero!t1:t"&amp;$B$1)=$L$1,IF(INDIRECT("output_parsed_hero!u1:u"&amp;$B$1)="Dire",IF(INDIRECT("output_parsed_hero!j1:n"&amp;$B$1)=$L32,1))))</f>
        <v>5</v>
      </c>
      <c r="O32">
        <f t="array" aca="1" ref="O32" ca="1">SUM(IF(INDIRECT("output_parsed_hero!t1:t"&amp;$B$1)=$L$1,IF(INDIRECT("output_parsed_hero!u1:u"&amp;$B$1)="Radiant",IF(INDIRECT("output_parsed_hero!E1:I"&amp;$B$1)=$L32,IF(INDIRECT("output_parsed_hero!D1:D"&amp;$B$1)=TRUE,1)))))+SUM(IF(INDIRECT("output_parsed_hero!t1:t"&amp;$B$1)=$L$1,IF(INDIRECT("output_parsed_hero!u1:u"&amp;$B$1)="Dire",IF(INDIRECT("output_parsed_hero!j1:N"&amp;$B$1)=$L32,IF(INDIRECT("output_parsed_hero!D1:D"&amp;$B$1)=FALSE,1)))))</f>
        <v>3</v>
      </c>
      <c r="P32">
        <f t="shared" ca="1" si="3"/>
        <v>0.6</v>
      </c>
      <c r="Q32">
        <f t="array" aca="1" ref="Q32" ca="1">SUM(IF(INDIRECT("output_parsed_hero!t1:t"&amp;$B$1)=$L$1,IF(INDIRECT("output_parsed_hero!u1:u"&amp;$B$1)="Radiant",IF(INDIRECT("output_parsed_hero!j1:n"&amp;$B$1)=$L32,1))))+SUM(IF(INDIRECT("output_parsed_hero!t1:t"&amp;$B$1)=$L$1,IF(INDIRECT("output_parsed_hero!u1:u"&amp;$B$1)="Dire",IF(INDIRECT("output_parsed_hero!e1:i"&amp;$B$1)=$L32,1))))</f>
        <v>7</v>
      </c>
      <c r="R32">
        <f t="array" aca="1" ref="R32" ca="1">SUM(IF(INDIRECT("output_parsed_hero!t1:t"&amp;$B$1)=$L$1,IF(INDIRECT("output_parsed_hero!u1:u"&amp;$B$1)="Radiant",IF(INDIRECT("output_parsed_hero!j1:n"&amp;$B$1)=$L32,IF(INDIRECT("output_parsed_hero!D1:D"&amp;$B$1)=TRUE,1)))))+SUM(IF(INDIRECT("output_parsed_hero!t1:t"&amp;$B$1)=$L$1,IF(INDIRECT("output_parsed_hero!u1:u"&amp;$B$1)="Dire",IF(INDIRECT("output_parsed_hero!e1:i"&amp;$B$1)=$L32,IF(INDIRECT("output_parsed_hero!D1:D"&amp;$B$1)=FALSE,1)))))</f>
        <v>5</v>
      </c>
      <c r="S32">
        <f t="shared" ca="1" si="4"/>
        <v>0.7142857142857143</v>
      </c>
      <c r="Z32" t="s">
        <v>404</v>
      </c>
    </row>
    <row r="33" spans="1:26" x14ac:dyDescent="0.3">
      <c r="A33">
        <f t="shared" si="1"/>
        <v>29</v>
      </c>
      <c r="B33" t="str">
        <f>VLOOKUP(A33,'hero names'!$S$7:$T$209,2,0)</f>
        <v>Tidehunter</v>
      </c>
      <c r="C33">
        <f t="array" aca="1" ref="C33" ca="1">COUNT(IF(INDIRECT("output_parsed!E1:N"&amp;$B$1)='Analysis backend'!$A33,INDIRECT("output_parsed!E1:N"&amp;$B$1)))</f>
        <v>22</v>
      </c>
      <c r="D33">
        <f t="array" aca="1" ref="D33" ca="1">COUNT(IF(INDIRECT("output_parsed!o1:s"&amp;$B$1)='Analysis backend'!$A33,INDIRECT("output_parsed!o1:s"&amp;$B$1)))</f>
        <v>0</v>
      </c>
      <c r="E33">
        <f t="shared" ca="1" si="0"/>
        <v>22</v>
      </c>
      <c r="F33">
        <f t="array" aca="1" ref="F33" ca="1">COUNT(IF(INDIRECT("output_parsed!D1:D"&amp;$B$1)=TRUE,IF(INDIRECT("output_parsed!E1:I"&amp;$B$1)='Analysis backend'!$A33,INDIRECT("output_parsed!E1:I"&amp;$B$1))))+COUNT(IF(INDIRECT("output_parsed!D1:D"&amp;$B$1)=FALSE,IF(INDIRECT("output_parsed!J1:N"&amp;$B$1)='Analysis backend'!$A33,INDIRECT("output_parsed!J1:N"&amp;$B$1))))</f>
        <v>8</v>
      </c>
      <c r="L33">
        <f t="shared" si="5"/>
        <v>28</v>
      </c>
      <c r="M33" t="str">
        <f t="shared" si="2"/>
        <v>Slardar</v>
      </c>
      <c r="N33">
        <f t="array" aca="1" ref="N33" ca="1">SUM(IF(INDIRECT("output_parsed_hero!t1:t"&amp;$B$1)=$L$1,IF(INDIRECT("output_parsed_hero!u1:u"&amp;$B$1)="Radiant",IF(INDIRECT("output_parsed_hero!E1:I"&amp;$B$1)=$L33,1))))+SUM(IF(INDIRECT("output_parsed_hero!t1:t"&amp;$B$1)=$L$1,IF(INDIRECT("output_parsed_hero!u1:u"&amp;$B$1)="Dire",IF(INDIRECT("output_parsed_hero!j1:n"&amp;$B$1)=$L33,1))))</f>
        <v>7</v>
      </c>
      <c r="O33">
        <f t="array" aca="1" ref="O33" ca="1">SUM(IF(INDIRECT("output_parsed_hero!t1:t"&amp;$B$1)=$L$1,IF(INDIRECT("output_parsed_hero!u1:u"&amp;$B$1)="Radiant",IF(INDIRECT("output_parsed_hero!E1:I"&amp;$B$1)=$L33,IF(INDIRECT("output_parsed_hero!D1:D"&amp;$B$1)=TRUE,1)))))+SUM(IF(INDIRECT("output_parsed_hero!t1:t"&amp;$B$1)=$L$1,IF(INDIRECT("output_parsed_hero!u1:u"&amp;$B$1)="Dire",IF(INDIRECT("output_parsed_hero!j1:N"&amp;$B$1)=$L33,IF(INDIRECT("output_parsed_hero!D1:D"&amp;$B$1)=FALSE,1)))))</f>
        <v>2</v>
      </c>
      <c r="P33">
        <f t="shared" ca="1" si="3"/>
        <v>0.2857142857142857</v>
      </c>
      <c r="Q33">
        <f t="array" aca="1" ref="Q33" ca="1">SUM(IF(INDIRECT("output_parsed_hero!t1:t"&amp;$B$1)=$L$1,IF(INDIRECT("output_parsed_hero!u1:u"&amp;$B$1)="Radiant",IF(INDIRECT("output_parsed_hero!j1:n"&amp;$B$1)=$L33,1))))+SUM(IF(INDIRECT("output_parsed_hero!t1:t"&amp;$B$1)=$L$1,IF(INDIRECT("output_parsed_hero!u1:u"&amp;$B$1)="Dire",IF(INDIRECT("output_parsed_hero!e1:i"&amp;$B$1)=$L33,1))))</f>
        <v>2</v>
      </c>
      <c r="R33">
        <f t="array" aca="1" ref="R33" ca="1">SUM(IF(INDIRECT("output_parsed_hero!t1:t"&amp;$B$1)=$L$1,IF(INDIRECT("output_parsed_hero!u1:u"&amp;$B$1)="Radiant",IF(INDIRECT("output_parsed_hero!j1:n"&amp;$B$1)=$L33,IF(INDIRECT("output_parsed_hero!D1:D"&amp;$B$1)=TRUE,1)))))+SUM(IF(INDIRECT("output_parsed_hero!t1:t"&amp;$B$1)=$L$1,IF(INDIRECT("output_parsed_hero!u1:u"&amp;$B$1)="Dire",IF(INDIRECT("output_parsed_hero!e1:i"&amp;$B$1)=$L33,IF(INDIRECT("output_parsed_hero!D1:D"&amp;$B$1)=FALSE,1)))))</f>
        <v>1</v>
      </c>
      <c r="S33">
        <f t="shared" ca="1" si="4"/>
        <v>0.5</v>
      </c>
      <c r="Z33" t="s">
        <v>504</v>
      </c>
    </row>
    <row r="34" spans="1:26" x14ac:dyDescent="0.3">
      <c r="A34">
        <f t="shared" si="1"/>
        <v>30</v>
      </c>
      <c r="B34" t="str">
        <f>VLOOKUP(A34,'hero names'!$S$7:$T$209,2,0)</f>
        <v>Witch Doctor</v>
      </c>
      <c r="C34">
        <f t="array" aca="1" ref="C34" ca="1">COUNT(IF(INDIRECT("output_parsed!E1:N"&amp;$B$1)='Analysis backend'!$A34,INDIRECT("output_parsed!E1:N"&amp;$B$1)))</f>
        <v>4</v>
      </c>
      <c r="D34">
        <f t="array" aca="1" ref="D34" ca="1">COUNT(IF(INDIRECT("output_parsed!o1:s"&amp;$B$1)='Analysis backend'!$A34,INDIRECT("output_parsed!o1:s"&amp;$B$1)))</f>
        <v>0</v>
      </c>
      <c r="E34">
        <f t="shared" ca="1" si="0"/>
        <v>4</v>
      </c>
      <c r="F34">
        <f t="array" aca="1" ref="F34" ca="1">COUNT(IF(INDIRECT("output_parsed!D1:D"&amp;$B$1)=TRUE,IF(INDIRECT("output_parsed!E1:I"&amp;$B$1)='Analysis backend'!$A34,INDIRECT("output_parsed!E1:I"&amp;$B$1))))+COUNT(IF(INDIRECT("output_parsed!D1:D"&amp;$B$1)=FALSE,IF(INDIRECT("output_parsed!J1:N"&amp;$B$1)='Analysis backend'!$A34,INDIRECT("output_parsed!J1:N"&amp;$B$1))))</f>
        <v>1</v>
      </c>
      <c r="L34">
        <f t="shared" si="5"/>
        <v>29</v>
      </c>
      <c r="M34" t="str">
        <f t="shared" si="2"/>
        <v>Tidehunter</v>
      </c>
      <c r="N34">
        <f t="array" aca="1" ref="N34" ca="1">SUM(IF(INDIRECT("output_parsed_hero!t1:t"&amp;$B$1)=$L$1,IF(INDIRECT("output_parsed_hero!u1:u"&amp;$B$1)="Radiant",IF(INDIRECT("output_parsed_hero!E1:I"&amp;$B$1)=$L34,1))))+SUM(IF(INDIRECT("output_parsed_hero!t1:t"&amp;$B$1)=$L$1,IF(INDIRECT("output_parsed_hero!u1:u"&amp;$B$1)="Dire",IF(INDIRECT("output_parsed_hero!j1:n"&amp;$B$1)=$L34,1))))</f>
        <v>7</v>
      </c>
      <c r="O34">
        <f t="array" aca="1" ref="O34" ca="1">SUM(IF(INDIRECT("output_parsed_hero!t1:t"&amp;$B$1)=$L$1,IF(INDIRECT("output_parsed_hero!u1:u"&amp;$B$1)="Radiant",IF(INDIRECT("output_parsed_hero!E1:I"&amp;$B$1)=$L34,IF(INDIRECT("output_parsed_hero!D1:D"&amp;$B$1)=TRUE,1)))))+SUM(IF(INDIRECT("output_parsed_hero!t1:t"&amp;$B$1)=$L$1,IF(INDIRECT("output_parsed_hero!u1:u"&amp;$B$1)="Dire",IF(INDIRECT("output_parsed_hero!j1:N"&amp;$B$1)=$L34,IF(INDIRECT("output_parsed_hero!D1:D"&amp;$B$1)=FALSE,1)))))</f>
        <v>4</v>
      </c>
      <c r="P34">
        <f t="shared" ca="1" si="3"/>
        <v>0.5714285714285714</v>
      </c>
      <c r="Q34">
        <f t="array" aca="1" ref="Q34" ca="1">SUM(IF(INDIRECT("output_parsed_hero!t1:t"&amp;$B$1)=$L$1,IF(INDIRECT("output_parsed_hero!u1:u"&amp;$B$1)="Radiant",IF(INDIRECT("output_parsed_hero!j1:n"&amp;$B$1)=$L34,1))))+SUM(IF(INDIRECT("output_parsed_hero!t1:t"&amp;$B$1)=$L$1,IF(INDIRECT("output_parsed_hero!u1:u"&amp;$B$1)="Dire",IF(INDIRECT("output_parsed_hero!e1:i"&amp;$B$1)=$L34,1))))</f>
        <v>8</v>
      </c>
      <c r="R34">
        <f t="array" aca="1" ref="R34" ca="1">SUM(IF(INDIRECT("output_parsed_hero!t1:t"&amp;$B$1)=$L$1,IF(INDIRECT("output_parsed_hero!u1:u"&amp;$B$1)="Radiant",IF(INDIRECT("output_parsed_hero!j1:n"&amp;$B$1)=$L34,IF(INDIRECT("output_parsed_hero!D1:D"&amp;$B$1)=TRUE,1)))))+SUM(IF(INDIRECT("output_parsed_hero!t1:t"&amp;$B$1)=$L$1,IF(INDIRECT("output_parsed_hero!u1:u"&amp;$B$1)="Dire",IF(INDIRECT("output_parsed_hero!e1:i"&amp;$B$1)=$L34,IF(INDIRECT("output_parsed_hero!D1:D"&amp;$B$1)=FALSE,1)))))</f>
        <v>6</v>
      </c>
      <c r="S34">
        <f t="shared" ca="1" si="4"/>
        <v>0.75</v>
      </c>
      <c r="Z34" t="s">
        <v>405</v>
      </c>
    </row>
    <row r="35" spans="1:26" x14ac:dyDescent="0.3">
      <c r="A35">
        <f t="shared" si="1"/>
        <v>31</v>
      </c>
      <c r="B35" t="str">
        <f>VLOOKUP(A35,'hero names'!$S$7:$T$209,2,0)</f>
        <v>Lich</v>
      </c>
      <c r="C35">
        <f t="array" aca="1" ref="C35" ca="1">COUNT(IF(INDIRECT("output_parsed!E1:N"&amp;$B$1)='Analysis backend'!$A35,INDIRECT("output_parsed!E1:N"&amp;$B$1)))</f>
        <v>79</v>
      </c>
      <c r="D35">
        <f t="array" aca="1" ref="D35" ca="1">COUNT(IF(INDIRECT("output_parsed!o1:s"&amp;$B$1)='Analysis backend'!$A35,INDIRECT("output_parsed!o1:s"&amp;$B$1)))</f>
        <v>4</v>
      </c>
      <c r="E35">
        <f t="shared" ca="1" si="0"/>
        <v>83</v>
      </c>
      <c r="F35">
        <f t="array" aca="1" ref="F35" ca="1">COUNT(IF(INDIRECT("output_parsed!D1:D"&amp;$B$1)=TRUE,IF(INDIRECT("output_parsed!E1:I"&amp;$B$1)='Analysis backend'!$A35,INDIRECT("output_parsed!E1:I"&amp;$B$1))))+COUNT(IF(INDIRECT("output_parsed!D1:D"&amp;$B$1)=FALSE,IF(INDIRECT("output_parsed!J1:N"&amp;$B$1)='Analysis backend'!$A35,INDIRECT("output_parsed!J1:N"&amp;$B$1))))</f>
        <v>40</v>
      </c>
      <c r="L35">
        <f t="shared" si="5"/>
        <v>30</v>
      </c>
      <c r="M35" t="str">
        <f t="shared" si="2"/>
        <v>Witch Doctor</v>
      </c>
      <c r="N35">
        <f t="array" aca="1" ref="N35" ca="1">SUM(IF(INDIRECT("output_parsed_hero!t1:t"&amp;$B$1)=$L$1,IF(INDIRECT("output_parsed_hero!u1:u"&amp;$B$1)="Radiant",IF(INDIRECT("output_parsed_hero!E1:I"&amp;$B$1)=$L35,1))))+SUM(IF(INDIRECT("output_parsed_hero!t1:t"&amp;$B$1)=$L$1,IF(INDIRECT("output_parsed_hero!u1:u"&amp;$B$1)="Dire",IF(INDIRECT("output_parsed_hero!j1:n"&amp;$B$1)=$L35,1))))</f>
        <v>0</v>
      </c>
      <c r="O35">
        <f t="array" aca="1" ref="O35" ca="1">SUM(IF(INDIRECT("output_parsed_hero!t1:t"&amp;$B$1)=$L$1,IF(INDIRECT("output_parsed_hero!u1:u"&amp;$B$1)="Radiant",IF(INDIRECT("output_parsed_hero!E1:I"&amp;$B$1)=$L35,IF(INDIRECT("output_parsed_hero!D1:D"&amp;$B$1)=TRUE,1)))))+SUM(IF(INDIRECT("output_parsed_hero!t1:t"&amp;$B$1)=$L$1,IF(INDIRECT("output_parsed_hero!u1:u"&amp;$B$1)="Dire",IF(INDIRECT("output_parsed_hero!j1:N"&amp;$B$1)=$L35,IF(INDIRECT("output_parsed_hero!D1:D"&amp;$B$1)=FALSE,1)))))</f>
        <v>0</v>
      </c>
      <c r="P35">
        <f t="shared" ca="1" si="3"/>
        <v>0</v>
      </c>
      <c r="Q35">
        <f t="array" aca="1" ref="Q35" ca="1">SUM(IF(INDIRECT("output_parsed_hero!t1:t"&amp;$B$1)=$L$1,IF(INDIRECT("output_parsed_hero!u1:u"&amp;$B$1)="Radiant",IF(INDIRECT("output_parsed_hero!j1:n"&amp;$B$1)=$L35,1))))+SUM(IF(INDIRECT("output_parsed_hero!t1:t"&amp;$B$1)=$L$1,IF(INDIRECT("output_parsed_hero!u1:u"&amp;$B$1)="Dire",IF(INDIRECT("output_parsed_hero!e1:i"&amp;$B$1)=$L35,1))))</f>
        <v>1</v>
      </c>
      <c r="R35">
        <f t="array" aca="1" ref="R35" ca="1">SUM(IF(INDIRECT("output_parsed_hero!t1:t"&amp;$B$1)=$L$1,IF(INDIRECT("output_parsed_hero!u1:u"&amp;$B$1)="Radiant",IF(INDIRECT("output_parsed_hero!j1:n"&amp;$B$1)=$L35,IF(INDIRECT("output_parsed_hero!D1:D"&amp;$B$1)=TRUE,1)))))+SUM(IF(INDIRECT("output_parsed_hero!t1:t"&amp;$B$1)=$L$1,IF(INDIRECT("output_parsed_hero!u1:u"&amp;$B$1)="Dire",IF(INDIRECT("output_parsed_hero!e1:i"&amp;$B$1)=$L35,IF(INDIRECT("output_parsed_hero!D1:D"&amp;$B$1)=FALSE,1)))))</f>
        <v>0</v>
      </c>
      <c r="S35">
        <f t="shared" ca="1" si="4"/>
        <v>0</v>
      </c>
      <c r="Z35" t="s">
        <v>500</v>
      </c>
    </row>
    <row r="36" spans="1:26" x14ac:dyDescent="0.3">
      <c r="A36">
        <f t="shared" si="1"/>
        <v>32</v>
      </c>
      <c r="B36" t="str">
        <f>VLOOKUP(A36,'hero names'!$S$7:$T$209,2,0)</f>
        <v>Riki</v>
      </c>
      <c r="C36">
        <f t="array" aca="1" ref="C36" ca="1">COUNT(IF(INDIRECT("output_parsed!E1:N"&amp;$B$1)='Analysis backend'!$A36,INDIRECT("output_parsed!E1:N"&amp;$B$1)))</f>
        <v>2</v>
      </c>
      <c r="D36">
        <f t="array" aca="1" ref="D36" ca="1">COUNT(IF(INDIRECT("output_parsed!o1:s"&amp;$B$1)='Analysis backend'!$A36,INDIRECT("output_parsed!o1:s"&amp;$B$1)))</f>
        <v>2</v>
      </c>
      <c r="E36">
        <f t="shared" ca="1" si="0"/>
        <v>4</v>
      </c>
      <c r="F36">
        <f t="array" aca="1" ref="F36" ca="1">COUNT(IF(INDIRECT("output_parsed!D1:D"&amp;$B$1)=TRUE,IF(INDIRECT("output_parsed!E1:I"&amp;$B$1)='Analysis backend'!$A36,INDIRECT("output_parsed!E1:I"&amp;$B$1))))+COUNT(IF(INDIRECT("output_parsed!D1:D"&amp;$B$1)=FALSE,IF(INDIRECT("output_parsed!J1:N"&amp;$B$1)='Analysis backend'!$A36,INDIRECT("output_parsed!J1:N"&amp;$B$1))))</f>
        <v>0</v>
      </c>
      <c r="L36">
        <f t="shared" si="5"/>
        <v>31</v>
      </c>
      <c r="M36" t="str">
        <f t="shared" si="2"/>
        <v>Lich</v>
      </c>
      <c r="N36">
        <f t="array" aca="1" ref="N36" ca="1">SUM(IF(INDIRECT("output_parsed_hero!t1:t"&amp;$B$1)=$L$1,IF(INDIRECT("output_parsed_hero!u1:u"&amp;$B$1)="Radiant",IF(INDIRECT("output_parsed_hero!E1:I"&amp;$B$1)=$L36,1))))+SUM(IF(INDIRECT("output_parsed_hero!t1:t"&amp;$B$1)=$L$1,IF(INDIRECT("output_parsed_hero!u1:u"&amp;$B$1)="Dire",IF(INDIRECT("output_parsed_hero!j1:n"&amp;$B$1)=$L36,1))))</f>
        <v>12</v>
      </c>
      <c r="O36">
        <f t="array" aca="1" ref="O36" ca="1">SUM(IF(INDIRECT("output_parsed_hero!t1:t"&amp;$B$1)=$L$1,IF(INDIRECT("output_parsed_hero!u1:u"&amp;$B$1)="Radiant",IF(INDIRECT("output_parsed_hero!E1:I"&amp;$B$1)=$L36,IF(INDIRECT("output_parsed_hero!D1:D"&amp;$B$1)=TRUE,1)))))+SUM(IF(INDIRECT("output_parsed_hero!t1:t"&amp;$B$1)=$L$1,IF(INDIRECT("output_parsed_hero!u1:u"&amp;$B$1)="Dire",IF(INDIRECT("output_parsed_hero!j1:N"&amp;$B$1)=$L36,IF(INDIRECT("output_parsed_hero!D1:D"&amp;$B$1)=FALSE,1)))))</f>
        <v>8</v>
      </c>
      <c r="P36">
        <f t="shared" ca="1" si="3"/>
        <v>0.66666666666666663</v>
      </c>
      <c r="Q36">
        <f t="array" aca="1" ref="Q36" ca="1">SUM(IF(INDIRECT("output_parsed_hero!t1:t"&amp;$B$1)=$L$1,IF(INDIRECT("output_parsed_hero!u1:u"&amp;$B$1)="Radiant",IF(INDIRECT("output_parsed_hero!j1:n"&amp;$B$1)=$L36,1))))+SUM(IF(INDIRECT("output_parsed_hero!t1:t"&amp;$B$1)=$L$1,IF(INDIRECT("output_parsed_hero!u1:u"&amp;$B$1)="Dire",IF(INDIRECT("output_parsed_hero!e1:i"&amp;$B$1)=$L36,1))))</f>
        <v>20</v>
      </c>
      <c r="R36">
        <f t="array" aca="1" ref="R36" ca="1">SUM(IF(INDIRECT("output_parsed_hero!t1:t"&amp;$B$1)=$L$1,IF(INDIRECT("output_parsed_hero!u1:u"&amp;$B$1)="Radiant",IF(INDIRECT("output_parsed_hero!j1:n"&amp;$B$1)=$L36,IF(INDIRECT("output_parsed_hero!D1:D"&amp;$B$1)=TRUE,1)))))+SUM(IF(INDIRECT("output_parsed_hero!t1:t"&amp;$B$1)=$L$1,IF(INDIRECT("output_parsed_hero!u1:u"&amp;$B$1)="Dire",IF(INDIRECT("output_parsed_hero!e1:i"&amp;$B$1)=$L36,IF(INDIRECT("output_parsed_hero!D1:D"&amp;$B$1)=FALSE,1)))))</f>
        <v>14</v>
      </c>
      <c r="S36">
        <f t="shared" ca="1" si="4"/>
        <v>0.7</v>
      </c>
      <c r="Z36" t="s">
        <v>503</v>
      </c>
    </row>
    <row r="37" spans="1:26" x14ac:dyDescent="0.3">
      <c r="A37">
        <f t="shared" si="1"/>
        <v>33</v>
      </c>
      <c r="B37" t="str">
        <f>VLOOKUP(A37,'hero names'!$S$7:$T$209,2,0)</f>
        <v>Enigma</v>
      </c>
      <c r="C37">
        <f t="array" aca="1" ref="C37" ca="1">COUNT(IF(INDIRECT("output_parsed!E1:N"&amp;$B$1)='Analysis backend'!$A37,INDIRECT("output_parsed!E1:N"&amp;$B$1)))</f>
        <v>10</v>
      </c>
      <c r="D37">
        <f t="array" aca="1" ref="D37" ca="1">COUNT(IF(INDIRECT("output_parsed!o1:s"&amp;$B$1)='Analysis backend'!$A37,INDIRECT("output_parsed!o1:s"&amp;$B$1)))</f>
        <v>1</v>
      </c>
      <c r="E37">
        <f t="shared" ref="E37:E68" ca="1" si="6">D37+C37</f>
        <v>11</v>
      </c>
      <c r="F37">
        <f t="array" aca="1" ref="F37" ca="1">COUNT(IF(INDIRECT("output_parsed!D1:D"&amp;$B$1)=TRUE,IF(INDIRECT("output_parsed!E1:I"&amp;$B$1)='Analysis backend'!$A37,INDIRECT("output_parsed!E1:I"&amp;$B$1))))+COUNT(IF(INDIRECT("output_parsed!D1:D"&amp;$B$1)=FALSE,IF(INDIRECT("output_parsed!J1:N"&amp;$B$1)='Analysis backend'!$A37,INDIRECT("output_parsed!J1:N"&amp;$B$1))))</f>
        <v>5</v>
      </c>
      <c r="L37">
        <f t="shared" si="5"/>
        <v>32</v>
      </c>
      <c r="M37" t="str">
        <f t="shared" si="2"/>
        <v>Riki</v>
      </c>
      <c r="N37">
        <f t="array" aca="1" ref="N37" ca="1">SUM(IF(INDIRECT("output_parsed_hero!t1:t"&amp;$B$1)=$L$1,IF(INDIRECT("output_parsed_hero!u1:u"&amp;$B$1)="Radiant",IF(INDIRECT("output_parsed_hero!E1:I"&amp;$B$1)=$L37,1))))+SUM(IF(INDIRECT("output_parsed_hero!t1:t"&amp;$B$1)=$L$1,IF(INDIRECT("output_parsed_hero!u1:u"&amp;$B$1)="Dire",IF(INDIRECT("output_parsed_hero!j1:n"&amp;$B$1)=$L37,1))))</f>
        <v>1</v>
      </c>
      <c r="O37">
        <f t="array" aca="1" ref="O37" ca="1">SUM(IF(INDIRECT("output_parsed_hero!t1:t"&amp;$B$1)=$L$1,IF(INDIRECT("output_parsed_hero!u1:u"&amp;$B$1)="Radiant",IF(INDIRECT("output_parsed_hero!E1:I"&amp;$B$1)=$L37,IF(INDIRECT("output_parsed_hero!D1:D"&amp;$B$1)=TRUE,1)))))+SUM(IF(INDIRECT("output_parsed_hero!t1:t"&amp;$B$1)=$L$1,IF(INDIRECT("output_parsed_hero!u1:u"&amp;$B$1)="Dire",IF(INDIRECT("output_parsed_hero!j1:N"&amp;$B$1)=$L37,IF(INDIRECT("output_parsed_hero!D1:D"&amp;$B$1)=FALSE,1)))))</f>
        <v>0</v>
      </c>
      <c r="P37">
        <f t="shared" ca="1" si="3"/>
        <v>0</v>
      </c>
      <c r="Q37">
        <f t="array" aca="1" ref="Q37" ca="1">SUM(IF(INDIRECT("output_parsed_hero!t1:t"&amp;$B$1)=$L$1,IF(INDIRECT("output_parsed_hero!u1:u"&amp;$B$1)="Radiant",IF(INDIRECT("output_parsed_hero!j1:n"&amp;$B$1)=$L37,1))))+SUM(IF(INDIRECT("output_parsed_hero!t1:t"&amp;$B$1)=$L$1,IF(INDIRECT("output_parsed_hero!u1:u"&amp;$B$1)="Dire",IF(INDIRECT("output_parsed_hero!e1:i"&amp;$B$1)=$L37,1))))</f>
        <v>0</v>
      </c>
      <c r="R37">
        <f t="array" aca="1" ref="R37" ca="1">SUM(IF(INDIRECT("output_parsed_hero!t1:t"&amp;$B$1)=$L$1,IF(INDIRECT("output_parsed_hero!u1:u"&amp;$B$1)="Radiant",IF(INDIRECT("output_parsed_hero!j1:n"&amp;$B$1)=$L37,IF(INDIRECT("output_parsed_hero!D1:D"&amp;$B$1)=TRUE,1)))))+SUM(IF(INDIRECT("output_parsed_hero!t1:t"&amp;$B$1)=$L$1,IF(INDIRECT("output_parsed_hero!u1:u"&amp;$B$1)="Dire",IF(INDIRECT("output_parsed_hero!e1:i"&amp;$B$1)=$L37,IF(INDIRECT("output_parsed_hero!D1:D"&amp;$B$1)=FALSE,1)))))</f>
        <v>0</v>
      </c>
      <c r="S37">
        <f t="shared" ca="1" si="4"/>
        <v>0</v>
      </c>
      <c r="Z37" t="s">
        <v>455</v>
      </c>
    </row>
    <row r="38" spans="1:26" x14ac:dyDescent="0.3">
      <c r="A38">
        <f t="shared" ref="A38:A69" si="7">A37+1</f>
        <v>34</v>
      </c>
      <c r="B38" t="str">
        <f>VLOOKUP(A38,'hero names'!$S$7:$T$209,2,0)</f>
        <v>Tinker</v>
      </c>
      <c r="C38">
        <f t="array" aca="1" ref="C38" ca="1">COUNT(IF(INDIRECT("output_parsed!E1:N"&amp;$B$1)='Analysis backend'!$A38,INDIRECT("output_parsed!E1:N"&amp;$B$1)))</f>
        <v>19</v>
      </c>
      <c r="D38">
        <f t="array" aca="1" ref="D38" ca="1">COUNT(IF(INDIRECT("output_parsed!o1:s"&amp;$B$1)='Analysis backend'!$A38,INDIRECT("output_parsed!o1:s"&amp;$B$1)))</f>
        <v>22</v>
      </c>
      <c r="E38">
        <f t="shared" ca="1" si="6"/>
        <v>41</v>
      </c>
      <c r="F38">
        <f t="array" aca="1" ref="F38" ca="1">COUNT(IF(INDIRECT("output_parsed!D1:D"&amp;$B$1)=TRUE,IF(INDIRECT("output_parsed!E1:I"&amp;$B$1)='Analysis backend'!$A38,INDIRECT("output_parsed!E1:I"&amp;$B$1))))+COUNT(IF(INDIRECT("output_parsed!D1:D"&amp;$B$1)=FALSE,IF(INDIRECT("output_parsed!J1:N"&amp;$B$1)='Analysis backend'!$A38,INDIRECT("output_parsed!J1:N"&amp;$B$1))))</f>
        <v>6</v>
      </c>
      <c r="L38">
        <f t="shared" si="5"/>
        <v>33</v>
      </c>
      <c r="M38" t="str">
        <f t="shared" ref="M38:M69" si="8">B37</f>
        <v>Enigma</v>
      </c>
      <c r="N38">
        <f t="array" aca="1" ref="N38" ca="1">SUM(IF(INDIRECT("output_parsed_hero!t1:t"&amp;$B$1)=$L$1,IF(INDIRECT("output_parsed_hero!u1:u"&amp;$B$1)="Radiant",IF(INDIRECT("output_parsed_hero!E1:I"&amp;$B$1)=$L38,1))))+SUM(IF(INDIRECT("output_parsed_hero!t1:t"&amp;$B$1)=$L$1,IF(INDIRECT("output_parsed_hero!u1:u"&amp;$B$1)="Dire",IF(INDIRECT("output_parsed_hero!j1:n"&amp;$B$1)=$L38,1))))</f>
        <v>1</v>
      </c>
      <c r="O38">
        <f t="array" aca="1" ref="O38" ca="1">SUM(IF(INDIRECT("output_parsed_hero!t1:t"&amp;$B$1)=$L$1,IF(INDIRECT("output_parsed_hero!u1:u"&amp;$B$1)="Radiant",IF(INDIRECT("output_parsed_hero!E1:I"&amp;$B$1)=$L38,IF(INDIRECT("output_parsed_hero!D1:D"&amp;$B$1)=TRUE,1)))))+SUM(IF(INDIRECT("output_parsed_hero!t1:t"&amp;$B$1)=$L$1,IF(INDIRECT("output_parsed_hero!u1:u"&amp;$B$1)="Dire",IF(INDIRECT("output_parsed_hero!j1:N"&amp;$B$1)=$L38,IF(INDIRECT("output_parsed_hero!D1:D"&amp;$B$1)=FALSE,1)))))</f>
        <v>1</v>
      </c>
      <c r="P38">
        <f t="shared" ref="P38:P69" ca="1" si="9">IF(ISERROR(O38/N38),0,O38/N38)</f>
        <v>1</v>
      </c>
      <c r="Q38">
        <f t="array" aca="1" ref="Q38" ca="1">SUM(IF(INDIRECT("output_parsed_hero!t1:t"&amp;$B$1)=$L$1,IF(INDIRECT("output_parsed_hero!u1:u"&amp;$B$1)="Radiant",IF(INDIRECT("output_parsed_hero!j1:n"&amp;$B$1)=$L38,1))))+SUM(IF(INDIRECT("output_parsed_hero!t1:t"&amp;$B$1)=$L$1,IF(INDIRECT("output_parsed_hero!u1:u"&amp;$B$1)="Dire",IF(INDIRECT("output_parsed_hero!e1:i"&amp;$B$1)=$L38,1))))</f>
        <v>2</v>
      </c>
      <c r="R38">
        <f t="array" aca="1" ref="R38" ca="1">SUM(IF(INDIRECT("output_parsed_hero!t1:t"&amp;$B$1)=$L$1,IF(INDIRECT("output_parsed_hero!u1:u"&amp;$B$1)="Radiant",IF(INDIRECT("output_parsed_hero!j1:n"&amp;$B$1)=$L38,IF(INDIRECT("output_parsed_hero!D1:D"&amp;$B$1)=TRUE,1)))))+SUM(IF(INDIRECT("output_parsed_hero!t1:t"&amp;$B$1)=$L$1,IF(INDIRECT("output_parsed_hero!u1:u"&amp;$B$1)="Dire",IF(INDIRECT("output_parsed_hero!e1:i"&amp;$B$1)=$L38,IF(INDIRECT("output_parsed_hero!D1:D"&amp;$B$1)=FALSE,1)))))</f>
        <v>1</v>
      </c>
      <c r="S38">
        <f t="shared" ca="1" si="4"/>
        <v>0.5</v>
      </c>
      <c r="Z38" t="s">
        <v>430</v>
      </c>
    </row>
    <row r="39" spans="1:26" x14ac:dyDescent="0.3">
      <c r="A39">
        <f t="shared" si="7"/>
        <v>35</v>
      </c>
      <c r="B39" t="str">
        <f>VLOOKUP(A39,'hero names'!$S$7:$T$209,2,0)</f>
        <v>Sniper</v>
      </c>
      <c r="C39">
        <f t="array" aca="1" ref="C39" ca="1">COUNT(IF(INDIRECT("output_parsed!E1:N"&amp;$B$1)='Analysis backend'!$A39,INDIRECT("output_parsed!E1:N"&amp;$B$1)))</f>
        <v>12</v>
      </c>
      <c r="D39">
        <f t="array" aca="1" ref="D39" ca="1">COUNT(IF(INDIRECT("output_parsed!o1:s"&amp;$B$1)='Analysis backend'!$A39,INDIRECT("output_parsed!o1:s"&amp;$B$1)))</f>
        <v>1</v>
      </c>
      <c r="E39">
        <f t="shared" ca="1" si="6"/>
        <v>13</v>
      </c>
      <c r="F39">
        <f t="array" aca="1" ref="F39" ca="1">COUNT(IF(INDIRECT("output_parsed!D1:D"&amp;$B$1)=TRUE,IF(INDIRECT("output_parsed!E1:I"&amp;$B$1)='Analysis backend'!$A39,INDIRECT("output_parsed!E1:I"&amp;$B$1))))+COUNT(IF(INDIRECT("output_parsed!D1:D"&amp;$B$1)=FALSE,IF(INDIRECT("output_parsed!J1:N"&amp;$B$1)='Analysis backend'!$A39,INDIRECT("output_parsed!J1:N"&amp;$B$1))))</f>
        <v>6</v>
      </c>
      <c r="L39">
        <f t="shared" si="5"/>
        <v>34</v>
      </c>
      <c r="M39" t="str">
        <f t="shared" si="8"/>
        <v>Tinker</v>
      </c>
      <c r="N39">
        <f t="array" aca="1" ref="N39" ca="1">SUM(IF(INDIRECT("output_parsed_hero!t1:t"&amp;$B$1)=$L$1,IF(INDIRECT("output_parsed_hero!u1:u"&amp;$B$1)="Radiant",IF(INDIRECT("output_parsed_hero!E1:I"&amp;$B$1)=$L39,1))))+SUM(IF(INDIRECT("output_parsed_hero!t1:t"&amp;$B$1)=$L$1,IF(INDIRECT("output_parsed_hero!u1:u"&amp;$B$1)="Dire",IF(INDIRECT("output_parsed_hero!j1:n"&amp;$B$1)=$L39,1))))</f>
        <v>2</v>
      </c>
      <c r="O39">
        <f t="array" aca="1" ref="O39" ca="1">SUM(IF(INDIRECT("output_parsed_hero!t1:t"&amp;$B$1)=$L$1,IF(INDIRECT("output_parsed_hero!u1:u"&amp;$B$1)="Radiant",IF(INDIRECT("output_parsed_hero!E1:I"&amp;$B$1)=$L39,IF(INDIRECT("output_parsed_hero!D1:D"&amp;$B$1)=TRUE,1)))))+SUM(IF(INDIRECT("output_parsed_hero!t1:t"&amp;$B$1)=$L$1,IF(INDIRECT("output_parsed_hero!u1:u"&amp;$B$1)="Dire",IF(INDIRECT("output_parsed_hero!j1:N"&amp;$B$1)=$L39,IF(INDIRECT("output_parsed_hero!D1:D"&amp;$B$1)=FALSE,1)))))</f>
        <v>0</v>
      </c>
      <c r="P39">
        <f t="shared" ca="1" si="9"/>
        <v>0</v>
      </c>
      <c r="Q39">
        <f t="array" aca="1" ref="Q39" ca="1">SUM(IF(INDIRECT("output_parsed_hero!t1:t"&amp;$B$1)=$L$1,IF(INDIRECT("output_parsed_hero!u1:u"&amp;$B$1)="Radiant",IF(INDIRECT("output_parsed_hero!j1:n"&amp;$B$1)=$L39,1))))+SUM(IF(INDIRECT("output_parsed_hero!t1:t"&amp;$B$1)=$L$1,IF(INDIRECT("output_parsed_hero!u1:u"&amp;$B$1)="Dire",IF(INDIRECT("output_parsed_hero!e1:i"&amp;$B$1)=$L39,1))))</f>
        <v>9</v>
      </c>
      <c r="R39">
        <f t="array" aca="1" ref="R39" ca="1">SUM(IF(INDIRECT("output_parsed_hero!t1:t"&amp;$B$1)=$L$1,IF(INDIRECT("output_parsed_hero!u1:u"&amp;$B$1)="Radiant",IF(INDIRECT("output_parsed_hero!j1:n"&amp;$B$1)=$L39,IF(INDIRECT("output_parsed_hero!D1:D"&amp;$B$1)=TRUE,1)))))+SUM(IF(INDIRECT("output_parsed_hero!t1:t"&amp;$B$1)=$L$1,IF(INDIRECT("output_parsed_hero!u1:u"&amp;$B$1)="Dire",IF(INDIRECT("output_parsed_hero!e1:i"&amp;$B$1)=$L39,IF(INDIRECT("output_parsed_hero!D1:D"&amp;$B$1)=FALSE,1)))))</f>
        <v>5</v>
      </c>
      <c r="S39">
        <f t="shared" ca="1" si="4"/>
        <v>0.55555555555555558</v>
      </c>
      <c r="Z39" t="s">
        <v>438</v>
      </c>
    </row>
    <row r="40" spans="1:26" x14ac:dyDescent="0.3">
      <c r="A40">
        <f t="shared" si="7"/>
        <v>36</v>
      </c>
      <c r="B40" t="str">
        <f>VLOOKUP(A40,'hero names'!$S$7:$T$209,2,0)</f>
        <v>Necrophos</v>
      </c>
      <c r="C40">
        <f t="array" aca="1" ref="C40" ca="1">COUNT(IF(INDIRECT("output_parsed!E1:N"&amp;$B$1)='Analysis backend'!$A40,INDIRECT("output_parsed!E1:N"&amp;$B$1)))</f>
        <v>3</v>
      </c>
      <c r="D40">
        <f t="array" aca="1" ref="D40" ca="1">COUNT(IF(INDIRECT("output_parsed!o1:s"&amp;$B$1)='Analysis backend'!$A40,INDIRECT("output_parsed!o1:s"&amp;$B$1)))</f>
        <v>1</v>
      </c>
      <c r="E40">
        <f t="shared" ca="1" si="6"/>
        <v>4</v>
      </c>
      <c r="F40">
        <f t="array" aca="1" ref="F40" ca="1">COUNT(IF(INDIRECT("output_parsed!D1:D"&amp;$B$1)=TRUE,IF(INDIRECT("output_parsed!E1:I"&amp;$B$1)='Analysis backend'!$A40,INDIRECT("output_parsed!E1:I"&amp;$B$1))))+COUNT(IF(INDIRECT("output_parsed!D1:D"&amp;$B$1)=FALSE,IF(INDIRECT("output_parsed!J1:N"&amp;$B$1)='Analysis backend'!$A40,INDIRECT("output_parsed!J1:N"&amp;$B$1))))</f>
        <v>2</v>
      </c>
      <c r="L40">
        <f t="shared" si="5"/>
        <v>35</v>
      </c>
      <c r="M40" t="str">
        <f t="shared" si="8"/>
        <v>Sniper</v>
      </c>
      <c r="N40">
        <f t="array" aca="1" ref="N40" ca="1">SUM(IF(INDIRECT("output_parsed_hero!t1:t"&amp;$B$1)=$L$1,IF(INDIRECT("output_parsed_hero!u1:u"&amp;$B$1)="Radiant",IF(INDIRECT("output_parsed_hero!E1:I"&amp;$B$1)=$L40,1))))+SUM(IF(INDIRECT("output_parsed_hero!t1:t"&amp;$B$1)=$L$1,IF(INDIRECT("output_parsed_hero!u1:u"&amp;$B$1)="Dire",IF(INDIRECT("output_parsed_hero!j1:n"&amp;$B$1)=$L40,1))))</f>
        <v>3</v>
      </c>
      <c r="O40">
        <f t="array" aca="1" ref="O40" ca="1">SUM(IF(INDIRECT("output_parsed_hero!t1:t"&amp;$B$1)=$L$1,IF(INDIRECT("output_parsed_hero!u1:u"&amp;$B$1)="Radiant",IF(INDIRECT("output_parsed_hero!E1:I"&amp;$B$1)=$L40,IF(INDIRECT("output_parsed_hero!D1:D"&amp;$B$1)=TRUE,1)))))+SUM(IF(INDIRECT("output_parsed_hero!t1:t"&amp;$B$1)=$L$1,IF(INDIRECT("output_parsed_hero!u1:u"&amp;$B$1)="Dire",IF(INDIRECT("output_parsed_hero!j1:N"&amp;$B$1)=$L40,IF(INDIRECT("output_parsed_hero!D1:D"&amp;$B$1)=FALSE,1)))))</f>
        <v>2</v>
      </c>
      <c r="P40">
        <f t="shared" ca="1" si="9"/>
        <v>0.66666666666666663</v>
      </c>
      <c r="Q40">
        <f t="array" aca="1" ref="Q40" ca="1">SUM(IF(INDIRECT("output_parsed_hero!t1:t"&amp;$B$1)=$L$1,IF(INDIRECT("output_parsed_hero!u1:u"&amp;$B$1)="Radiant",IF(INDIRECT("output_parsed_hero!j1:n"&amp;$B$1)=$L40,1))))+SUM(IF(INDIRECT("output_parsed_hero!t1:t"&amp;$B$1)=$L$1,IF(INDIRECT("output_parsed_hero!u1:u"&amp;$B$1)="Dire",IF(INDIRECT("output_parsed_hero!e1:i"&amp;$B$1)=$L40,1))))</f>
        <v>3</v>
      </c>
      <c r="R40">
        <f t="array" aca="1" ref="R40" ca="1">SUM(IF(INDIRECT("output_parsed_hero!t1:t"&amp;$B$1)=$L$1,IF(INDIRECT("output_parsed_hero!u1:u"&amp;$B$1)="Radiant",IF(INDIRECT("output_parsed_hero!j1:n"&amp;$B$1)=$L40,IF(INDIRECT("output_parsed_hero!D1:D"&amp;$B$1)=TRUE,1)))))+SUM(IF(INDIRECT("output_parsed_hero!t1:t"&amp;$B$1)=$L$1,IF(INDIRECT("output_parsed_hero!u1:u"&amp;$B$1)="Dire",IF(INDIRECT("output_parsed_hero!e1:i"&amp;$B$1)=$L40,IF(INDIRECT("output_parsed_hero!D1:D"&amp;$B$1)=FALSE,1)))))</f>
        <v>1</v>
      </c>
      <c r="S40">
        <f t="shared" ca="1" si="4"/>
        <v>0.33333333333333331</v>
      </c>
      <c r="Z40" t="s">
        <v>514</v>
      </c>
    </row>
    <row r="41" spans="1:26" x14ac:dyDescent="0.3">
      <c r="A41">
        <f t="shared" si="7"/>
        <v>37</v>
      </c>
      <c r="B41" t="str">
        <f>VLOOKUP(A41,'hero names'!$S$7:$T$209,2,0)</f>
        <v>Warlock</v>
      </c>
      <c r="C41">
        <f t="array" aca="1" ref="C41" ca="1">COUNT(IF(INDIRECT("output_parsed!E1:N"&amp;$B$1)='Analysis backend'!$A41,INDIRECT("output_parsed!E1:N"&amp;$B$1)))</f>
        <v>4</v>
      </c>
      <c r="D41">
        <f t="array" aca="1" ref="D41" ca="1">COUNT(IF(INDIRECT("output_parsed!o1:s"&amp;$B$1)='Analysis backend'!$A41,INDIRECT("output_parsed!o1:s"&amp;$B$1)))</f>
        <v>0</v>
      </c>
      <c r="E41">
        <f t="shared" ca="1" si="6"/>
        <v>4</v>
      </c>
      <c r="F41">
        <f t="array" aca="1" ref="F41" ca="1">COUNT(IF(INDIRECT("output_parsed!D1:D"&amp;$B$1)=TRUE,IF(INDIRECT("output_parsed!E1:I"&amp;$B$1)='Analysis backend'!$A41,INDIRECT("output_parsed!E1:I"&amp;$B$1))))+COUNT(IF(INDIRECT("output_parsed!D1:D"&amp;$B$1)=FALSE,IF(INDIRECT("output_parsed!J1:N"&amp;$B$1)='Analysis backend'!$A41,INDIRECT("output_parsed!J1:N"&amp;$B$1))))</f>
        <v>2</v>
      </c>
      <c r="L41">
        <f t="shared" ref="L41:L71" si="10">L40+1</f>
        <v>36</v>
      </c>
      <c r="M41" t="str">
        <f t="shared" si="8"/>
        <v>Necrophos</v>
      </c>
      <c r="N41">
        <f t="array" aca="1" ref="N41" ca="1">SUM(IF(INDIRECT("output_parsed_hero!t1:t"&amp;$B$1)=$L$1,IF(INDIRECT("output_parsed_hero!u1:u"&amp;$B$1)="Radiant",IF(INDIRECT("output_parsed_hero!E1:I"&amp;$B$1)=$L41,1))))+SUM(IF(INDIRECT("output_parsed_hero!t1:t"&amp;$B$1)=$L$1,IF(INDIRECT("output_parsed_hero!u1:u"&amp;$B$1)="Dire",IF(INDIRECT("output_parsed_hero!j1:n"&amp;$B$1)=$L41,1))))</f>
        <v>0</v>
      </c>
      <c r="O41">
        <f t="array" aca="1" ref="O41" ca="1">SUM(IF(INDIRECT("output_parsed_hero!t1:t"&amp;$B$1)=$L$1,IF(INDIRECT("output_parsed_hero!u1:u"&amp;$B$1)="Radiant",IF(INDIRECT("output_parsed_hero!E1:I"&amp;$B$1)=$L41,IF(INDIRECT("output_parsed_hero!D1:D"&amp;$B$1)=TRUE,1)))))+SUM(IF(INDIRECT("output_parsed_hero!t1:t"&amp;$B$1)=$L$1,IF(INDIRECT("output_parsed_hero!u1:u"&amp;$B$1)="Dire",IF(INDIRECT("output_parsed_hero!j1:N"&amp;$B$1)=$L41,IF(INDIRECT("output_parsed_hero!D1:D"&amp;$B$1)=FALSE,1)))))</f>
        <v>0</v>
      </c>
      <c r="P41">
        <f t="shared" ca="1" si="9"/>
        <v>0</v>
      </c>
      <c r="Q41">
        <f t="array" aca="1" ref="Q41" ca="1">SUM(IF(INDIRECT("output_parsed_hero!t1:t"&amp;$B$1)=$L$1,IF(INDIRECT("output_parsed_hero!u1:u"&amp;$B$1)="Radiant",IF(INDIRECT("output_parsed_hero!j1:n"&amp;$B$1)=$L41,1))))+SUM(IF(INDIRECT("output_parsed_hero!t1:t"&amp;$B$1)=$L$1,IF(INDIRECT("output_parsed_hero!u1:u"&amp;$B$1)="Dire",IF(INDIRECT("output_parsed_hero!e1:i"&amp;$B$1)=$L41,1))))</f>
        <v>2</v>
      </c>
      <c r="R41">
        <f t="array" aca="1" ref="R41" ca="1">SUM(IF(INDIRECT("output_parsed_hero!t1:t"&amp;$B$1)=$L$1,IF(INDIRECT("output_parsed_hero!u1:u"&amp;$B$1)="Radiant",IF(INDIRECT("output_parsed_hero!j1:n"&amp;$B$1)=$L41,IF(INDIRECT("output_parsed_hero!D1:D"&amp;$B$1)=TRUE,1)))))+SUM(IF(INDIRECT("output_parsed_hero!t1:t"&amp;$B$1)=$L$1,IF(INDIRECT("output_parsed_hero!u1:u"&amp;$B$1)="Dire",IF(INDIRECT("output_parsed_hero!e1:i"&amp;$B$1)=$L41,IF(INDIRECT("output_parsed_hero!D1:D"&amp;$B$1)=FALSE,1)))))</f>
        <v>1</v>
      </c>
      <c r="S41">
        <f t="shared" ca="1" si="4"/>
        <v>0.5</v>
      </c>
      <c r="Z41" t="s">
        <v>469</v>
      </c>
    </row>
    <row r="42" spans="1:26" x14ac:dyDescent="0.3">
      <c r="A42">
        <f t="shared" si="7"/>
        <v>38</v>
      </c>
      <c r="B42" t="str">
        <f>VLOOKUP(A42,'hero names'!$S$7:$T$209,2,0)</f>
        <v>Beastmaster</v>
      </c>
      <c r="C42">
        <f t="array" aca="1" ref="C42" ca="1">COUNT(IF(INDIRECT("output_parsed!E1:N"&amp;$B$1)='Analysis backend'!$A42,INDIRECT("output_parsed!E1:N"&amp;$B$1)))</f>
        <v>38</v>
      </c>
      <c r="D42">
        <f t="array" aca="1" ref="D42" ca="1">COUNT(IF(INDIRECT("output_parsed!o1:s"&amp;$B$1)='Analysis backend'!$A42,INDIRECT("output_parsed!o1:s"&amp;$B$1)))</f>
        <v>6</v>
      </c>
      <c r="E42">
        <f t="shared" ca="1" si="6"/>
        <v>44</v>
      </c>
      <c r="F42">
        <f t="array" aca="1" ref="F42" ca="1">COUNT(IF(INDIRECT("output_parsed!D1:D"&amp;$B$1)=TRUE,IF(INDIRECT("output_parsed!E1:I"&amp;$B$1)='Analysis backend'!$A42,INDIRECT("output_parsed!E1:I"&amp;$B$1))))+COUNT(IF(INDIRECT("output_parsed!D1:D"&amp;$B$1)=FALSE,IF(INDIRECT("output_parsed!J1:N"&amp;$B$1)='Analysis backend'!$A42,INDIRECT("output_parsed!J1:N"&amp;$B$1))))</f>
        <v>19</v>
      </c>
      <c r="L42">
        <f t="shared" si="10"/>
        <v>37</v>
      </c>
      <c r="M42" t="str">
        <f t="shared" si="8"/>
        <v>Warlock</v>
      </c>
      <c r="N42">
        <f t="array" aca="1" ref="N42" ca="1">SUM(IF(INDIRECT("output_parsed_hero!t1:t"&amp;$B$1)=$L$1,IF(INDIRECT("output_parsed_hero!u1:u"&amp;$B$1)="Radiant",IF(INDIRECT("output_parsed_hero!E1:I"&amp;$B$1)=$L42,1))))+SUM(IF(INDIRECT("output_parsed_hero!t1:t"&amp;$B$1)=$L$1,IF(INDIRECT("output_parsed_hero!u1:u"&amp;$B$1)="Dire",IF(INDIRECT("output_parsed_hero!j1:n"&amp;$B$1)=$L42,1))))</f>
        <v>2</v>
      </c>
      <c r="O42">
        <f t="array" aca="1" ref="O42" ca="1">SUM(IF(INDIRECT("output_parsed_hero!t1:t"&amp;$B$1)=$L$1,IF(INDIRECT("output_parsed_hero!u1:u"&amp;$B$1)="Radiant",IF(INDIRECT("output_parsed_hero!E1:I"&amp;$B$1)=$L42,IF(INDIRECT("output_parsed_hero!D1:D"&amp;$B$1)=TRUE,1)))))+SUM(IF(INDIRECT("output_parsed_hero!t1:t"&amp;$B$1)=$L$1,IF(INDIRECT("output_parsed_hero!u1:u"&amp;$B$1)="Dire",IF(INDIRECT("output_parsed_hero!j1:N"&amp;$B$1)=$L42,IF(INDIRECT("output_parsed_hero!D1:D"&amp;$B$1)=FALSE,1)))))</f>
        <v>1</v>
      </c>
      <c r="P42">
        <f t="shared" ca="1" si="9"/>
        <v>0.5</v>
      </c>
      <c r="Q42">
        <f t="array" aca="1" ref="Q42" ca="1">SUM(IF(INDIRECT("output_parsed_hero!t1:t"&amp;$B$1)=$L$1,IF(INDIRECT("output_parsed_hero!u1:u"&amp;$B$1)="Radiant",IF(INDIRECT("output_parsed_hero!j1:n"&amp;$B$1)=$L42,1))))+SUM(IF(INDIRECT("output_parsed_hero!t1:t"&amp;$B$1)=$L$1,IF(INDIRECT("output_parsed_hero!u1:u"&amp;$B$1)="Dire",IF(INDIRECT("output_parsed_hero!e1:i"&amp;$B$1)=$L42,1))))</f>
        <v>0</v>
      </c>
      <c r="R42">
        <f t="array" aca="1" ref="R42" ca="1">SUM(IF(INDIRECT("output_parsed_hero!t1:t"&amp;$B$1)=$L$1,IF(INDIRECT("output_parsed_hero!u1:u"&amp;$B$1)="Radiant",IF(INDIRECT("output_parsed_hero!j1:n"&amp;$B$1)=$L42,IF(INDIRECT("output_parsed_hero!D1:D"&amp;$B$1)=TRUE,1)))))+SUM(IF(INDIRECT("output_parsed_hero!t1:t"&amp;$B$1)=$L$1,IF(INDIRECT("output_parsed_hero!u1:u"&amp;$B$1)="Dire",IF(INDIRECT("output_parsed_hero!e1:i"&amp;$B$1)=$L42,IF(INDIRECT("output_parsed_hero!D1:D"&amp;$B$1)=FALSE,1)))))</f>
        <v>0</v>
      </c>
      <c r="S42">
        <f t="shared" ca="1" si="4"/>
        <v>0</v>
      </c>
      <c r="Z42" t="s">
        <v>456</v>
      </c>
    </row>
    <row r="43" spans="1:26" x14ac:dyDescent="0.3">
      <c r="A43">
        <f t="shared" si="7"/>
        <v>39</v>
      </c>
      <c r="B43" t="str">
        <f>VLOOKUP(A43,'hero names'!$S$7:$T$209,2,0)</f>
        <v>Queen of Pain</v>
      </c>
      <c r="C43">
        <f t="array" aca="1" ref="C43" ca="1">COUNT(IF(INDIRECT("output_parsed!E1:N"&amp;$B$1)='Analysis backend'!$A43,INDIRECT("output_parsed!E1:N"&amp;$B$1)))</f>
        <v>6</v>
      </c>
      <c r="D43">
        <f t="array" aca="1" ref="D43" ca="1">COUNT(IF(INDIRECT("output_parsed!o1:s"&amp;$B$1)='Analysis backend'!$A43,INDIRECT("output_parsed!o1:s"&amp;$B$1)))</f>
        <v>0</v>
      </c>
      <c r="E43">
        <f t="shared" ca="1" si="6"/>
        <v>6</v>
      </c>
      <c r="F43">
        <f t="array" aca="1" ref="F43" ca="1">COUNT(IF(INDIRECT("output_parsed!D1:D"&amp;$B$1)=TRUE,IF(INDIRECT("output_parsed!E1:I"&amp;$B$1)='Analysis backend'!$A43,INDIRECT("output_parsed!E1:I"&amp;$B$1))))+COUNT(IF(INDIRECT("output_parsed!D1:D"&amp;$B$1)=FALSE,IF(INDIRECT("output_parsed!J1:N"&amp;$B$1)='Analysis backend'!$A43,INDIRECT("output_parsed!J1:N"&amp;$B$1))))</f>
        <v>3</v>
      </c>
      <c r="L43">
        <f t="shared" si="10"/>
        <v>38</v>
      </c>
      <c r="M43" t="str">
        <f t="shared" si="8"/>
        <v>Beastmaster</v>
      </c>
      <c r="N43">
        <f t="array" aca="1" ref="N43" ca="1">SUM(IF(INDIRECT("output_parsed_hero!t1:t"&amp;$B$1)=$L$1,IF(INDIRECT("output_parsed_hero!u1:u"&amp;$B$1)="Radiant",IF(INDIRECT("output_parsed_hero!E1:I"&amp;$B$1)=$L43,1))))+SUM(IF(INDIRECT("output_parsed_hero!t1:t"&amp;$B$1)=$L$1,IF(INDIRECT("output_parsed_hero!u1:u"&amp;$B$1)="Dire",IF(INDIRECT("output_parsed_hero!j1:n"&amp;$B$1)=$L43,1))))</f>
        <v>8</v>
      </c>
      <c r="O43">
        <f t="array" aca="1" ref="O43" ca="1">SUM(IF(INDIRECT("output_parsed_hero!t1:t"&amp;$B$1)=$L$1,IF(INDIRECT("output_parsed_hero!u1:u"&amp;$B$1)="Radiant",IF(INDIRECT("output_parsed_hero!E1:I"&amp;$B$1)=$L43,IF(INDIRECT("output_parsed_hero!D1:D"&amp;$B$1)=TRUE,1)))))+SUM(IF(INDIRECT("output_parsed_hero!t1:t"&amp;$B$1)=$L$1,IF(INDIRECT("output_parsed_hero!u1:u"&amp;$B$1)="Dire",IF(INDIRECT("output_parsed_hero!j1:N"&amp;$B$1)=$L43,IF(INDIRECT("output_parsed_hero!D1:D"&amp;$B$1)=FALSE,1)))))</f>
        <v>3</v>
      </c>
      <c r="P43">
        <f t="shared" ca="1" si="9"/>
        <v>0.375</v>
      </c>
      <c r="Q43">
        <f t="array" aca="1" ref="Q43" ca="1">SUM(IF(INDIRECT("output_parsed_hero!t1:t"&amp;$B$1)=$L$1,IF(INDIRECT("output_parsed_hero!u1:u"&amp;$B$1)="Radiant",IF(INDIRECT("output_parsed_hero!j1:n"&amp;$B$1)=$L43,1))))+SUM(IF(INDIRECT("output_parsed_hero!t1:t"&amp;$B$1)=$L$1,IF(INDIRECT("output_parsed_hero!u1:u"&amp;$B$1)="Dire",IF(INDIRECT("output_parsed_hero!e1:i"&amp;$B$1)=$L43,1))))</f>
        <v>9</v>
      </c>
      <c r="R43">
        <f t="array" aca="1" ref="R43" ca="1">SUM(IF(INDIRECT("output_parsed_hero!t1:t"&amp;$B$1)=$L$1,IF(INDIRECT("output_parsed_hero!u1:u"&amp;$B$1)="Radiant",IF(INDIRECT("output_parsed_hero!j1:n"&amp;$B$1)=$L43,IF(INDIRECT("output_parsed_hero!D1:D"&amp;$B$1)=TRUE,1)))))+SUM(IF(INDIRECT("output_parsed_hero!t1:t"&amp;$B$1)=$L$1,IF(INDIRECT("output_parsed_hero!u1:u"&amp;$B$1)="Dire",IF(INDIRECT("output_parsed_hero!e1:i"&amp;$B$1)=$L43,IF(INDIRECT("output_parsed_hero!D1:D"&amp;$B$1)=FALSE,1)))))</f>
        <v>5</v>
      </c>
      <c r="S43">
        <f t="shared" ca="1" si="4"/>
        <v>0.55555555555555558</v>
      </c>
      <c r="Z43" t="s">
        <v>471</v>
      </c>
    </row>
    <row r="44" spans="1:26" x14ac:dyDescent="0.3">
      <c r="A44">
        <f t="shared" si="7"/>
        <v>40</v>
      </c>
      <c r="B44" t="str">
        <f>VLOOKUP(A44,'hero names'!$S$7:$T$209,2,0)</f>
        <v>Venomancer</v>
      </c>
      <c r="C44">
        <f t="array" aca="1" ref="C44" ca="1">COUNT(IF(INDIRECT("output_parsed!E1:N"&amp;$B$1)='Analysis backend'!$A44,INDIRECT("output_parsed!E1:N"&amp;$B$1)))</f>
        <v>13</v>
      </c>
      <c r="D44">
        <f t="array" aca="1" ref="D44" ca="1">COUNT(IF(INDIRECT("output_parsed!o1:s"&amp;$B$1)='Analysis backend'!$A44,INDIRECT("output_parsed!o1:s"&amp;$B$1)))</f>
        <v>1</v>
      </c>
      <c r="E44">
        <f t="shared" ca="1" si="6"/>
        <v>14</v>
      </c>
      <c r="F44">
        <f t="array" aca="1" ref="F44" ca="1">COUNT(IF(INDIRECT("output_parsed!D1:D"&amp;$B$1)=TRUE,IF(INDIRECT("output_parsed!E1:I"&amp;$B$1)='Analysis backend'!$A44,INDIRECT("output_parsed!E1:I"&amp;$B$1))))+COUNT(IF(INDIRECT("output_parsed!D1:D"&amp;$B$1)=FALSE,IF(INDIRECT("output_parsed!J1:N"&amp;$B$1)='Analysis backend'!$A44,INDIRECT("output_parsed!J1:N"&amp;$B$1))))</f>
        <v>7</v>
      </c>
      <c r="L44">
        <f t="shared" si="10"/>
        <v>39</v>
      </c>
      <c r="M44" t="str">
        <f t="shared" si="8"/>
        <v>Queen of Pain</v>
      </c>
      <c r="N44">
        <f t="array" aca="1" ref="N44" ca="1">SUM(IF(INDIRECT("output_parsed_hero!t1:t"&amp;$B$1)=$L$1,IF(INDIRECT("output_parsed_hero!u1:u"&amp;$B$1)="Radiant",IF(INDIRECT("output_parsed_hero!E1:I"&amp;$B$1)=$L44,1))))+SUM(IF(INDIRECT("output_parsed_hero!t1:t"&amp;$B$1)=$L$1,IF(INDIRECT("output_parsed_hero!u1:u"&amp;$B$1)="Dire",IF(INDIRECT("output_parsed_hero!j1:n"&amp;$B$1)=$L44,1))))</f>
        <v>3</v>
      </c>
      <c r="O44">
        <f t="array" aca="1" ref="O44" ca="1">SUM(IF(INDIRECT("output_parsed_hero!t1:t"&amp;$B$1)=$L$1,IF(INDIRECT("output_parsed_hero!u1:u"&amp;$B$1)="Radiant",IF(INDIRECT("output_parsed_hero!E1:I"&amp;$B$1)=$L44,IF(INDIRECT("output_parsed_hero!D1:D"&amp;$B$1)=TRUE,1)))))+SUM(IF(INDIRECT("output_parsed_hero!t1:t"&amp;$B$1)=$L$1,IF(INDIRECT("output_parsed_hero!u1:u"&amp;$B$1)="Dire",IF(INDIRECT("output_parsed_hero!j1:N"&amp;$B$1)=$L44,IF(INDIRECT("output_parsed_hero!D1:D"&amp;$B$1)=FALSE,1)))))</f>
        <v>2</v>
      </c>
      <c r="P44">
        <f t="shared" ca="1" si="9"/>
        <v>0.66666666666666663</v>
      </c>
      <c r="Q44">
        <f t="array" aca="1" ref="Q44" ca="1">SUM(IF(INDIRECT("output_parsed_hero!t1:t"&amp;$B$1)=$L$1,IF(INDIRECT("output_parsed_hero!u1:u"&amp;$B$1)="Radiant",IF(INDIRECT("output_parsed_hero!j1:n"&amp;$B$1)=$L44,1))))+SUM(IF(INDIRECT("output_parsed_hero!t1:t"&amp;$B$1)=$L$1,IF(INDIRECT("output_parsed_hero!u1:u"&amp;$B$1)="Dire",IF(INDIRECT("output_parsed_hero!e1:i"&amp;$B$1)=$L44,1))))</f>
        <v>1</v>
      </c>
      <c r="R44">
        <f t="array" aca="1" ref="R44" ca="1">SUM(IF(INDIRECT("output_parsed_hero!t1:t"&amp;$B$1)=$L$1,IF(INDIRECT("output_parsed_hero!u1:u"&amp;$B$1)="Radiant",IF(INDIRECT("output_parsed_hero!j1:n"&amp;$B$1)=$L44,IF(INDIRECT("output_parsed_hero!D1:D"&amp;$B$1)=TRUE,1)))))+SUM(IF(INDIRECT("output_parsed_hero!t1:t"&amp;$B$1)=$L$1,IF(INDIRECT("output_parsed_hero!u1:u"&amp;$B$1)="Dire",IF(INDIRECT("output_parsed_hero!e1:i"&amp;$B$1)=$L44,IF(INDIRECT("output_parsed_hero!D1:D"&amp;$B$1)=FALSE,1)))))</f>
        <v>0</v>
      </c>
      <c r="S44">
        <f t="shared" ca="1" si="4"/>
        <v>0</v>
      </c>
      <c r="Z44" t="s">
        <v>488</v>
      </c>
    </row>
    <row r="45" spans="1:26" x14ac:dyDescent="0.3">
      <c r="A45">
        <f t="shared" si="7"/>
        <v>41</v>
      </c>
      <c r="B45" t="str">
        <f>VLOOKUP(A45,'hero names'!$S$7:$T$209,2,0)</f>
        <v>Faceless Void</v>
      </c>
      <c r="C45">
        <f t="array" aca="1" ref="C45" ca="1">COUNT(IF(INDIRECT("output_parsed!E1:N"&amp;$B$1)='Analysis backend'!$A45,INDIRECT("output_parsed!E1:N"&amp;$B$1)))</f>
        <v>55</v>
      </c>
      <c r="D45">
        <f t="array" aca="1" ref="D45" ca="1">COUNT(IF(INDIRECT("output_parsed!o1:s"&amp;$B$1)='Analysis backend'!$A45,INDIRECT("output_parsed!o1:s"&amp;$B$1)))</f>
        <v>11</v>
      </c>
      <c r="E45">
        <f t="shared" ca="1" si="6"/>
        <v>66</v>
      </c>
      <c r="F45">
        <f t="array" aca="1" ref="F45" ca="1">COUNT(IF(INDIRECT("output_parsed!D1:D"&amp;$B$1)=TRUE,IF(INDIRECT("output_parsed!E1:I"&amp;$B$1)='Analysis backend'!$A45,INDIRECT("output_parsed!E1:I"&amp;$B$1))))+COUNT(IF(INDIRECT("output_parsed!D1:D"&amp;$B$1)=FALSE,IF(INDIRECT("output_parsed!J1:N"&amp;$B$1)='Analysis backend'!$A45,INDIRECT("output_parsed!J1:N"&amp;$B$1))))</f>
        <v>27</v>
      </c>
      <c r="L45">
        <f t="shared" si="10"/>
        <v>40</v>
      </c>
      <c r="M45" t="str">
        <f t="shared" si="8"/>
        <v>Venomancer</v>
      </c>
      <c r="N45">
        <f t="array" aca="1" ref="N45" ca="1">SUM(IF(INDIRECT("output_parsed_hero!t1:t"&amp;$B$1)=$L$1,IF(INDIRECT("output_parsed_hero!u1:u"&amp;$B$1)="Radiant",IF(INDIRECT("output_parsed_hero!E1:I"&amp;$B$1)=$L45,1))))+SUM(IF(INDIRECT("output_parsed_hero!t1:t"&amp;$B$1)=$L$1,IF(INDIRECT("output_parsed_hero!u1:u"&amp;$B$1)="Dire",IF(INDIRECT("output_parsed_hero!j1:n"&amp;$B$1)=$L45,1))))</f>
        <v>2</v>
      </c>
      <c r="O45">
        <f t="array" aca="1" ref="O45" ca="1">SUM(IF(INDIRECT("output_parsed_hero!t1:t"&amp;$B$1)=$L$1,IF(INDIRECT("output_parsed_hero!u1:u"&amp;$B$1)="Radiant",IF(INDIRECT("output_parsed_hero!E1:I"&amp;$B$1)=$L45,IF(INDIRECT("output_parsed_hero!D1:D"&amp;$B$1)=TRUE,1)))))+SUM(IF(INDIRECT("output_parsed_hero!t1:t"&amp;$B$1)=$L$1,IF(INDIRECT("output_parsed_hero!u1:u"&amp;$B$1)="Dire",IF(INDIRECT("output_parsed_hero!j1:N"&amp;$B$1)=$L45,IF(INDIRECT("output_parsed_hero!D1:D"&amp;$B$1)=FALSE,1)))))</f>
        <v>2</v>
      </c>
      <c r="P45">
        <f t="shared" ca="1" si="9"/>
        <v>1</v>
      </c>
      <c r="Q45">
        <f t="array" aca="1" ref="Q45" ca="1">SUM(IF(INDIRECT("output_parsed_hero!t1:t"&amp;$B$1)=$L$1,IF(INDIRECT("output_parsed_hero!u1:u"&amp;$B$1)="Radiant",IF(INDIRECT("output_parsed_hero!j1:n"&amp;$B$1)=$L45,1))))+SUM(IF(INDIRECT("output_parsed_hero!t1:t"&amp;$B$1)=$L$1,IF(INDIRECT("output_parsed_hero!u1:u"&amp;$B$1)="Dire",IF(INDIRECT("output_parsed_hero!e1:i"&amp;$B$1)=$L45,1))))</f>
        <v>3</v>
      </c>
      <c r="R45">
        <f t="array" aca="1" ref="R45" ca="1">SUM(IF(INDIRECT("output_parsed_hero!t1:t"&amp;$B$1)=$L$1,IF(INDIRECT("output_parsed_hero!u1:u"&amp;$B$1)="Radiant",IF(INDIRECT("output_parsed_hero!j1:n"&amp;$B$1)=$L45,IF(INDIRECT("output_parsed_hero!D1:D"&amp;$B$1)=TRUE,1)))))+SUM(IF(INDIRECT("output_parsed_hero!t1:t"&amp;$B$1)=$L$1,IF(INDIRECT("output_parsed_hero!u1:u"&amp;$B$1)="Dire",IF(INDIRECT("output_parsed_hero!e1:i"&amp;$B$1)=$L45,IF(INDIRECT("output_parsed_hero!D1:D"&amp;$B$1)=FALSE,1)))))</f>
        <v>1</v>
      </c>
      <c r="S45">
        <f t="shared" ca="1" si="4"/>
        <v>0.33333333333333331</v>
      </c>
      <c r="Z45" t="s">
        <v>461</v>
      </c>
    </row>
    <row r="46" spans="1:26" x14ac:dyDescent="0.3">
      <c r="A46">
        <f t="shared" si="7"/>
        <v>42</v>
      </c>
      <c r="B46" t="str">
        <f>VLOOKUP(A46,'hero names'!$S$7:$T$209,2,0)</f>
        <v>Wraith King</v>
      </c>
      <c r="C46">
        <f t="array" aca="1" ref="C46" ca="1">COUNT(IF(INDIRECT("output_parsed!E1:N"&amp;$B$1)='Analysis backend'!$A46,INDIRECT("output_parsed!E1:N"&amp;$B$1)))</f>
        <v>2</v>
      </c>
      <c r="D46">
        <f t="array" aca="1" ref="D46" ca="1">COUNT(IF(INDIRECT("output_parsed!o1:s"&amp;$B$1)='Analysis backend'!$A46,INDIRECT("output_parsed!o1:s"&amp;$B$1)))</f>
        <v>1</v>
      </c>
      <c r="E46">
        <f t="shared" ca="1" si="6"/>
        <v>3</v>
      </c>
      <c r="F46">
        <f t="array" aca="1" ref="F46" ca="1">COUNT(IF(INDIRECT("output_parsed!D1:D"&amp;$B$1)=TRUE,IF(INDIRECT("output_parsed!E1:I"&amp;$B$1)='Analysis backend'!$A46,INDIRECT("output_parsed!E1:I"&amp;$B$1))))+COUNT(IF(INDIRECT("output_parsed!D1:D"&amp;$B$1)=FALSE,IF(INDIRECT("output_parsed!J1:N"&amp;$B$1)='Analysis backend'!$A46,INDIRECT("output_parsed!J1:N"&amp;$B$1))))</f>
        <v>1</v>
      </c>
      <c r="L46">
        <f t="shared" si="10"/>
        <v>41</v>
      </c>
      <c r="M46" t="str">
        <f t="shared" si="8"/>
        <v>Faceless Void</v>
      </c>
      <c r="N46">
        <f t="array" aca="1" ref="N46" ca="1">SUM(IF(INDIRECT("output_parsed_hero!t1:t"&amp;$B$1)=$L$1,IF(INDIRECT("output_parsed_hero!u1:u"&amp;$B$1)="Radiant",IF(INDIRECT("output_parsed_hero!E1:I"&amp;$B$1)=$L46,1))))+SUM(IF(INDIRECT("output_parsed_hero!t1:t"&amp;$B$1)=$L$1,IF(INDIRECT("output_parsed_hero!u1:u"&amp;$B$1)="Dire",IF(INDIRECT("output_parsed_hero!j1:n"&amp;$B$1)=$L46,1))))</f>
        <v>3</v>
      </c>
      <c r="O46">
        <f t="array" aca="1" ref="O46" ca="1">SUM(IF(INDIRECT("output_parsed_hero!t1:t"&amp;$B$1)=$L$1,IF(INDIRECT("output_parsed_hero!u1:u"&amp;$B$1)="Radiant",IF(INDIRECT("output_parsed_hero!E1:I"&amp;$B$1)=$L46,IF(INDIRECT("output_parsed_hero!D1:D"&amp;$B$1)=TRUE,1)))))+SUM(IF(INDIRECT("output_parsed_hero!t1:t"&amp;$B$1)=$L$1,IF(INDIRECT("output_parsed_hero!u1:u"&amp;$B$1)="Dire",IF(INDIRECT("output_parsed_hero!j1:N"&amp;$B$1)=$L46,IF(INDIRECT("output_parsed_hero!D1:D"&amp;$B$1)=FALSE,1)))))</f>
        <v>1</v>
      </c>
      <c r="P46">
        <f t="shared" ca="1" si="9"/>
        <v>0.33333333333333331</v>
      </c>
      <c r="Q46">
        <f t="array" aca="1" ref="Q46" ca="1">SUM(IF(INDIRECT("output_parsed_hero!t1:t"&amp;$B$1)=$L$1,IF(INDIRECT("output_parsed_hero!u1:u"&amp;$B$1)="Radiant",IF(INDIRECT("output_parsed_hero!j1:n"&amp;$B$1)=$L46,1))))+SUM(IF(INDIRECT("output_parsed_hero!t1:t"&amp;$B$1)=$L$1,IF(INDIRECT("output_parsed_hero!u1:u"&amp;$B$1)="Dire",IF(INDIRECT("output_parsed_hero!e1:i"&amp;$B$1)=$L46,1))))</f>
        <v>17</v>
      </c>
      <c r="R46">
        <f t="array" aca="1" ref="R46" ca="1">SUM(IF(INDIRECT("output_parsed_hero!t1:t"&amp;$B$1)=$L$1,IF(INDIRECT("output_parsed_hero!u1:u"&amp;$B$1)="Radiant",IF(INDIRECT("output_parsed_hero!j1:n"&amp;$B$1)=$L46,IF(INDIRECT("output_parsed_hero!D1:D"&amp;$B$1)=TRUE,1)))))+SUM(IF(INDIRECT("output_parsed_hero!t1:t"&amp;$B$1)=$L$1,IF(INDIRECT("output_parsed_hero!u1:u"&amp;$B$1)="Dire",IF(INDIRECT("output_parsed_hero!e1:i"&amp;$B$1)=$L46,IF(INDIRECT("output_parsed_hero!D1:D"&amp;$B$1)=FALSE,1)))))</f>
        <v>11</v>
      </c>
      <c r="S46">
        <f t="shared" ca="1" si="4"/>
        <v>0.6470588235294118</v>
      </c>
      <c r="Z46" t="s">
        <v>406</v>
      </c>
    </row>
    <row r="47" spans="1:26" x14ac:dyDescent="0.3">
      <c r="A47">
        <f t="shared" si="7"/>
        <v>43</v>
      </c>
      <c r="B47" t="str">
        <f>VLOOKUP(A47,'hero names'!$S$7:$T$209,2,0)</f>
        <v>Death Prophet</v>
      </c>
      <c r="C47">
        <f t="array" aca="1" ref="C47" ca="1">COUNT(IF(INDIRECT("output_parsed!E1:N"&amp;$B$1)='Analysis backend'!$A47,INDIRECT("output_parsed!E1:N"&amp;$B$1)))</f>
        <v>0</v>
      </c>
      <c r="D47">
        <f t="array" aca="1" ref="D47" ca="1">COUNT(IF(INDIRECT("output_parsed!o1:s"&amp;$B$1)='Analysis backend'!$A47,INDIRECT("output_parsed!o1:s"&amp;$B$1)))</f>
        <v>0</v>
      </c>
      <c r="E47">
        <f t="shared" ca="1" si="6"/>
        <v>0</v>
      </c>
      <c r="F47">
        <f t="array" aca="1" ref="F47" ca="1">COUNT(IF(INDIRECT("output_parsed!D1:D"&amp;$B$1)=TRUE,IF(INDIRECT("output_parsed!E1:I"&amp;$B$1)='Analysis backend'!$A47,INDIRECT("output_parsed!E1:I"&amp;$B$1))))+COUNT(IF(INDIRECT("output_parsed!D1:D"&amp;$B$1)=FALSE,IF(INDIRECT("output_parsed!J1:N"&amp;$B$1)='Analysis backend'!$A47,INDIRECT("output_parsed!J1:N"&amp;$B$1))))</f>
        <v>0</v>
      </c>
      <c r="L47">
        <f t="shared" si="10"/>
        <v>42</v>
      </c>
      <c r="M47" t="str">
        <f t="shared" si="8"/>
        <v>Wraith King</v>
      </c>
      <c r="N47">
        <f t="array" aca="1" ref="N47" ca="1">SUM(IF(INDIRECT("output_parsed_hero!t1:t"&amp;$B$1)=$L$1,IF(INDIRECT("output_parsed_hero!u1:u"&amp;$B$1)="Radiant",IF(INDIRECT("output_parsed_hero!E1:I"&amp;$B$1)=$L47,1))))+SUM(IF(INDIRECT("output_parsed_hero!t1:t"&amp;$B$1)=$L$1,IF(INDIRECT("output_parsed_hero!u1:u"&amp;$B$1)="Dire",IF(INDIRECT("output_parsed_hero!j1:n"&amp;$B$1)=$L47,1))))</f>
        <v>0</v>
      </c>
      <c r="O47">
        <f t="array" aca="1" ref="O47" ca="1">SUM(IF(INDIRECT("output_parsed_hero!t1:t"&amp;$B$1)=$L$1,IF(INDIRECT("output_parsed_hero!u1:u"&amp;$B$1)="Radiant",IF(INDIRECT("output_parsed_hero!E1:I"&amp;$B$1)=$L47,IF(INDIRECT("output_parsed_hero!D1:D"&amp;$B$1)=TRUE,1)))))+SUM(IF(INDIRECT("output_parsed_hero!t1:t"&amp;$B$1)=$L$1,IF(INDIRECT("output_parsed_hero!u1:u"&amp;$B$1)="Dire",IF(INDIRECT("output_parsed_hero!j1:N"&amp;$B$1)=$L47,IF(INDIRECT("output_parsed_hero!D1:D"&amp;$B$1)=FALSE,1)))))</f>
        <v>0</v>
      </c>
      <c r="P47">
        <f t="shared" ca="1" si="9"/>
        <v>0</v>
      </c>
      <c r="Q47">
        <f t="array" aca="1" ref="Q47" ca="1">SUM(IF(INDIRECT("output_parsed_hero!t1:t"&amp;$B$1)=$L$1,IF(INDIRECT("output_parsed_hero!u1:u"&amp;$B$1)="Radiant",IF(INDIRECT("output_parsed_hero!j1:n"&amp;$B$1)=$L47,1))))+SUM(IF(INDIRECT("output_parsed_hero!t1:t"&amp;$B$1)=$L$1,IF(INDIRECT("output_parsed_hero!u1:u"&amp;$B$1)="Dire",IF(INDIRECT("output_parsed_hero!e1:i"&amp;$B$1)=$L47,1))))</f>
        <v>0</v>
      </c>
      <c r="R47">
        <f t="array" aca="1" ref="R47" ca="1">SUM(IF(INDIRECT("output_parsed_hero!t1:t"&amp;$B$1)=$L$1,IF(INDIRECT("output_parsed_hero!u1:u"&amp;$B$1)="Radiant",IF(INDIRECT("output_parsed_hero!j1:n"&amp;$B$1)=$L47,IF(INDIRECT("output_parsed_hero!D1:D"&amp;$B$1)=TRUE,1)))))+SUM(IF(INDIRECT("output_parsed_hero!t1:t"&amp;$B$1)=$L$1,IF(INDIRECT("output_parsed_hero!u1:u"&amp;$B$1)="Dire",IF(INDIRECT("output_parsed_hero!e1:i"&amp;$B$1)=$L47,IF(INDIRECT("output_parsed_hero!D1:D"&amp;$B$1)=FALSE,1)))))</f>
        <v>0</v>
      </c>
      <c r="S47">
        <f t="shared" ca="1" si="4"/>
        <v>0</v>
      </c>
      <c r="Z47" t="s">
        <v>487</v>
      </c>
    </row>
    <row r="48" spans="1:26" x14ac:dyDescent="0.3">
      <c r="A48">
        <f t="shared" si="7"/>
        <v>44</v>
      </c>
      <c r="B48" t="str">
        <f>VLOOKUP(A48,'hero names'!$S$7:$T$209,2,0)</f>
        <v>Phantom Assassin</v>
      </c>
      <c r="C48">
        <f t="array" aca="1" ref="C48" ca="1">COUNT(IF(INDIRECT("output_parsed!E1:N"&amp;$B$1)='Analysis backend'!$A48,INDIRECT("output_parsed!E1:N"&amp;$B$1)))</f>
        <v>137</v>
      </c>
      <c r="D48">
        <f t="array" aca="1" ref="D48" ca="1">COUNT(IF(INDIRECT("output_parsed!o1:s"&amp;$B$1)='Analysis backend'!$A48,INDIRECT("output_parsed!o1:s"&amp;$B$1)))</f>
        <v>108</v>
      </c>
      <c r="E48">
        <f t="shared" ca="1" si="6"/>
        <v>245</v>
      </c>
      <c r="F48">
        <f t="array" aca="1" ref="F48" ca="1">COUNT(IF(INDIRECT("output_parsed!D1:D"&amp;$B$1)=TRUE,IF(INDIRECT("output_parsed!E1:I"&amp;$B$1)='Analysis backend'!$A48,INDIRECT("output_parsed!E1:I"&amp;$B$1))))+COUNT(IF(INDIRECT("output_parsed!D1:D"&amp;$B$1)=FALSE,IF(INDIRECT("output_parsed!J1:N"&amp;$B$1)='Analysis backend'!$A48,INDIRECT("output_parsed!J1:N"&amp;$B$1))))</f>
        <v>78</v>
      </c>
      <c r="L48">
        <f t="shared" si="10"/>
        <v>43</v>
      </c>
      <c r="M48" t="str">
        <f t="shared" si="8"/>
        <v>Death Prophet</v>
      </c>
      <c r="N48">
        <f t="array" aca="1" ref="N48" ca="1">SUM(IF(INDIRECT("output_parsed_hero!t1:t"&amp;$B$1)=$L$1,IF(INDIRECT("output_parsed_hero!u1:u"&amp;$B$1)="Radiant",IF(INDIRECT("output_parsed_hero!E1:I"&amp;$B$1)=$L48,1))))+SUM(IF(INDIRECT("output_parsed_hero!t1:t"&amp;$B$1)=$L$1,IF(INDIRECT("output_parsed_hero!u1:u"&amp;$B$1)="Dire",IF(INDIRECT("output_parsed_hero!j1:n"&amp;$B$1)=$L48,1))))</f>
        <v>0</v>
      </c>
      <c r="O48">
        <f t="array" aca="1" ref="O48" ca="1">SUM(IF(INDIRECT("output_parsed_hero!t1:t"&amp;$B$1)=$L$1,IF(INDIRECT("output_parsed_hero!u1:u"&amp;$B$1)="Radiant",IF(INDIRECT("output_parsed_hero!E1:I"&amp;$B$1)=$L48,IF(INDIRECT("output_parsed_hero!D1:D"&amp;$B$1)=TRUE,1)))))+SUM(IF(INDIRECT("output_parsed_hero!t1:t"&amp;$B$1)=$L$1,IF(INDIRECT("output_parsed_hero!u1:u"&amp;$B$1)="Dire",IF(INDIRECT("output_parsed_hero!j1:N"&amp;$B$1)=$L48,IF(INDIRECT("output_parsed_hero!D1:D"&amp;$B$1)=FALSE,1)))))</f>
        <v>0</v>
      </c>
      <c r="P48">
        <f t="shared" ca="1" si="9"/>
        <v>0</v>
      </c>
      <c r="Q48">
        <f t="array" aca="1" ref="Q48" ca="1">SUM(IF(INDIRECT("output_parsed_hero!t1:t"&amp;$B$1)=$L$1,IF(INDIRECT("output_parsed_hero!u1:u"&amp;$B$1)="Radiant",IF(INDIRECT("output_parsed_hero!j1:n"&amp;$B$1)=$L48,1))))+SUM(IF(INDIRECT("output_parsed_hero!t1:t"&amp;$B$1)=$L$1,IF(INDIRECT("output_parsed_hero!u1:u"&amp;$B$1)="Dire",IF(INDIRECT("output_parsed_hero!e1:i"&amp;$B$1)=$L48,1))))</f>
        <v>0</v>
      </c>
      <c r="R48">
        <f t="array" aca="1" ref="R48" ca="1">SUM(IF(INDIRECT("output_parsed_hero!t1:t"&amp;$B$1)=$L$1,IF(INDIRECT("output_parsed_hero!u1:u"&amp;$B$1)="Radiant",IF(INDIRECT("output_parsed_hero!j1:n"&amp;$B$1)=$L48,IF(INDIRECT("output_parsed_hero!D1:D"&amp;$B$1)=TRUE,1)))))+SUM(IF(INDIRECT("output_parsed_hero!t1:t"&amp;$B$1)=$L$1,IF(INDIRECT("output_parsed_hero!u1:u"&amp;$B$1)="Dire",IF(INDIRECT("output_parsed_hero!e1:i"&amp;$B$1)=$L48,IF(INDIRECT("output_parsed_hero!D1:D"&amp;$B$1)=FALSE,1)))))</f>
        <v>0</v>
      </c>
      <c r="S48">
        <f t="shared" ca="1" si="4"/>
        <v>0</v>
      </c>
      <c r="Z48" t="s">
        <v>421</v>
      </c>
    </row>
    <row r="49" spans="1:26" x14ac:dyDescent="0.3">
      <c r="A49">
        <f t="shared" si="7"/>
        <v>45</v>
      </c>
      <c r="B49" t="str">
        <f>VLOOKUP(A49,'hero names'!$S$7:$T$209,2,0)</f>
        <v>Pugna</v>
      </c>
      <c r="C49">
        <f t="array" aca="1" ref="C49" ca="1">COUNT(IF(INDIRECT("output_parsed!E1:N"&amp;$B$1)='Analysis backend'!$A49,INDIRECT("output_parsed!E1:N"&amp;$B$1)))</f>
        <v>58</v>
      </c>
      <c r="D49">
        <f t="array" aca="1" ref="D49" ca="1">COUNT(IF(INDIRECT("output_parsed!o1:s"&amp;$B$1)='Analysis backend'!$A49,INDIRECT("output_parsed!o1:s"&amp;$B$1)))</f>
        <v>8</v>
      </c>
      <c r="E49">
        <f t="shared" ca="1" si="6"/>
        <v>66</v>
      </c>
      <c r="F49">
        <f t="array" aca="1" ref="F49" ca="1">COUNT(IF(INDIRECT("output_parsed!D1:D"&amp;$B$1)=TRUE,IF(INDIRECT("output_parsed!E1:I"&amp;$B$1)='Analysis backend'!$A49,INDIRECT("output_parsed!E1:I"&amp;$B$1))))+COUNT(IF(INDIRECT("output_parsed!D1:D"&amp;$B$1)=FALSE,IF(INDIRECT("output_parsed!J1:N"&amp;$B$1)='Analysis backend'!$A49,INDIRECT("output_parsed!J1:N"&amp;$B$1))))</f>
        <v>33</v>
      </c>
      <c r="L49">
        <f t="shared" si="10"/>
        <v>44</v>
      </c>
      <c r="M49" t="str">
        <f t="shared" si="8"/>
        <v>Phantom Assassin</v>
      </c>
      <c r="N49">
        <f t="array" aca="1" ref="N49" ca="1">SUM(IF(INDIRECT("output_parsed_hero!t1:t"&amp;$B$1)=$L$1,IF(INDIRECT("output_parsed_hero!u1:u"&amp;$B$1)="Radiant",IF(INDIRECT("output_parsed_hero!E1:I"&amp;$B$1)=$L49,1))))+SUM(IF(INDIRECT("output_parsed_hero!t1:t"&amp;$B$1)=$L$1,IF(INDIRECT("output_parsed_hero!u1:u"&amp;$B$1)="Dire",IF(INDIRECT("output_parsed_hero!j1:n"&amp;$B$1)=$L49,1))))</f>
        <v>137</v>
      </c>
      <c r="O49">
        <f t="array" aca="1" ref="O49" ca="1">SUM(IF(INDIRECT("output_parsed_hero!t1:t"&amp;$B$1)=$L$1,IF(INDIRECT("output_parsed_hero!u1:u"&amp;$B$1)="Radiant",IF(INDIRECT("output_parsed_hero!E1:I"&amp;$B$1)=$L49,IF(INDIRECT("output_parsed_hero!D1:D"&amp;$B$1)=TRUE,1)))))+SUM(IF(INDIRECT("output_parsed_hero!t1:t"&amp;$B$1)=$L$1,IF(INDIRECT("output_parsed_hero!u1:u"&amp;$B$1)="Dire",IF(INDIRECT("output_parsed_hero!j1:N"&amp;$B$1)=$L49,IF(INDIRECT("output_parsed_hero!D1:D"&amp;$B$1)=FALSE,1)))))</f>
        <v>78</v>
      </c>
      <c r="P49">
        <f t="shared" ca="1" si="9"/>
        <v>0.56934306569343063</v>
      </c>
      <c r="Q49">
        <f t="array" aca="1" ref="Q49" ca="1">SUM(IF(INDIRECT("output_parsed_hero!t1:t"&amp;$B$1)=$L$1,IF(INDIRECT("output_parsed_hero!u1:u"&amp;$B$1)="Radiant",IF(INDIRECT("output_parsed_hero!j1:n"&amp;$B$1)=$L49,1))))+SUM(IF(INDIRECT("output_parsed_hero!t1:t"&amp;$B$1)=$L$1,IF(INDIRECT("output_parsed_hero!u1:u"&amp;$B$1)="Dire",IF(INDIRECT("output_parsed_hero!e1:i"&amp;$B$1)=$L49,1))))</f>
        <v>0</v>
      </c>
      <c r="R49">
        <f t="array" aca="1" ref="R49" ca="1">SUM(IF(INDIRECT("output_parsed_hero!t1:t"&amp;$B$1)=$L$1,IF(INDIRECT("output_parsed_hero!u1:u"&amp;$B$1)="Radiant",IF(INDIRECT("output_parsed_hero!j1:n"&amp;$B$1)=$L49,IF(INDIRECT("output_parsed_hero!D1:D"&amp;$B$1)=TRUE,1)))))+SUM(IF(INDIRECT("output_parsed_hero!t1:t"&amp;$B$1)=$L$1,IF(INDIRECT("output_parsed_hero!u1:u"&amp;$B$1)="Dire",IF(INDIRECT("output_parsed_hero!e1:i"&amp;$B$1)=$L49,IF(INDIRECT("output_parsed_hero!D1:D"&amp;$B$1)=FALSE,1)))))</f>
        <v>0</v>
      </c>
      <c r="S49">
        <f t="shared" ca="1" si="4"/>
        <v>0</v>
      </c>
      <c r="Z49" t="s">
        <v>501</v>
      </c>
    </row>
    <row r="50" spans="1:26" x14ac:dyDescent="0.3">
      <c r="A50">
        <f t="shared" si="7"/>
        <v>46</v>
      </c>
      <c r="B50" t="str">
        <f>VLOOKUP(A50,'hero names'!$S$7:$T$209,2,0)</f>
        <v>Templar Assassin</v>
      </c>
      <c r="C50">
        <f t="array" aca="1" ref="C50" ca="1">COUNT(IF(INDIRECT("output_parsed!E1:N"&amp;$B$1)='Analysis backend'!$A50,INDIRECT("output_parsed!E1:N"&amp;$B$1)))</f>
        <v>10</v>
      </c>
      <c r="D50">
        <f t="array" aca="1" ref="D50" ca="1">COUNT(IF(INDIRECT("output_parsed!o1:s"&amp;$B$1)='Analysis backend'!$A50,INDIRECT("output_parsed!o1:s"&amp;$B$1)))</f>
        <v>9</v>
      </c>
      <c r="E50">
        <f t="shared" ca="1" si="6"/>
        <v>19</v>
      </c>
      <c r="F50">
        <f t="array" aca="1" ref="F50" ca="1">COUNT(IF(INDIRECT("output_parsed!D1:D"&amp;$B$1)=TRUE,IF(INDIRECT("output_parsed!E1:I"&amp;$B$1)='Analysis backend'!$A50,INDIRECT("output_parsed!E1:I"&amp;$B$1))))+COUNT(IF(INDIRECT("output_parsed!D1:D"&amp;$B$1)=FALSE,IF(INDIRECT("output_parsed!J1:N"&amp;$B$1)='Analysis backend'!$A50,INDIRECT("output_parsed!J1:N"&amp;$B$1))))</f>
        <v>4</v>
      </c>
      <c r="L50">
        <f t="shared" si="10"/>
        <v>45</v>
      </c>
      <c r="M50" t="str">
        <f t="shared" si="8"/>
        <v>Pugna</v>
      </c>
      <c r="N50">
        <f t="array" aca="1" ref="N50" ca="1">SUM(IF(INDIRECT("output_parsed_hero!t1:t"&amp;$B$1)=$L$1,IF(INDIRECT("output_parsed_hero!u1:u"&amp;$B$1)="Radiant",IF(INDIRECT("output_parsed_hero!E1:I"&amp;$B$1)=$L50,1))))+SUM(IF(INDIRECT("output_parsed_hero!t1:t"&amp;$B$1)=$L$1,IF(INDIRECT("output_parsed_hero!u1:u"&amp;$B$1)="Dire",IF(INDIRECT("output_parsed_hero!j1:n"&amp;$B$1)=$L50,1))))</f>
        <v>11</v>
      </c>
      <c r="O50">
        <f t="array" aca="1" ref="O50" ca="1">SUM(IF(INDIRECT("output_parsed_hero!t1:t"&amp;$B$1)=$L$1,IF(INDIRECT("output_parsed_hero!u1:u"&amp;$B$1)="Radiant",IF(INDIRECT("output_parsed_hero!E1:I"&amp;$B$1)=$L50,IF(INDIRECT("output_parsed_hero!D1:D"&amp;$B$1)=TRUE,1)))))+SUM(IF(INDIRECT("output_parsed_hero!t1:t"&amp;$B$1)=$L$1,IF(INDIRECT("output_parsed_hero!u1:u"&amp;$B$1)="Dire",IF(INDIRECT("output_parsed_hero!j1:N"&amp;$B$1)=$L50,IF(INDIRECT("output_parsed_hero!D1:D"&amp;$B$1)=FALSE,1)))))</f>
        <v>9</v>
      </c>
      <c r="P50">
        <f t="shared" ca="1" si="9"/>
        <v>0.81818181818181823</v>
      </c>
      <c r="Q50">
        <f t="array" aca="1" ref="Q50" ca="1">SUM(IF(INDIRECT("output_parsed_hero!t1:t"&amp;$B$1)=$L$1,IF(INDIRECT("output_parsed_hero!u1:u"&amp;$B$1)="Radiant",IF(INDIRECT("output_parsed_hero!j1:n"&amp;$B$1)=$L50,1))))+SUM(IF(INDIRECT("output_parsed_hero!t1:t"&amp;$B$1)=$L$1,IF(INDIRECT("output_parsed_hero!u1:u"&amp;$B$1)="Dire",IF(INDIRECT("output_parsed_hero!e1:i"&amp;$B$1)=$L50,1))))</f>
        <v>22</v>
      </c>
      <c r="R50">
        <f t="array" aca="1" ref="R50" ca="1">SUM(IF(INDIRECT("output_parsed_hero!t1:t"&amp;$B$1)=$L$1,IF(INDIRECT("output_parsed_hero!u1:u"&amp;$B$1)="Radiant",IF(INDIRECT("output_parsed_hero!j1:n"&amp;$B$1)=$L50,IF(INDIRECT("output_parsed_hero!D1:D"&amp;$B$1)=TRUE,1)))))+SUM(IF(INDIRECT("output_parsed_hero!t1:t"&amp;$B$1)=$L$1,IF(INDIRECT("output_parsed_hero!u1:u"&amp;$B$1)="Dire",IF(INDIRECT("output_parsed_hero!e1:i"&amp;$B$1)=$L50,IF(INDIRECT("output_parsed_hero!D1:D"&amp;$B$1)=FALSE,1)))))</f>
        <v>11</v>
      </c>
      <c r="S50">
        <f t="shared" ca="1" si="4"/>
        <v>0.5</v>
      </c>
      <c r="Z50" t="s">
        <v>449</v>
      </c>
    </row>
    <row r="51" spans="1:26" x14ac:dyDescent="0.3">
      <c r="A51">
        <f t="shared" si="7"/>
        <v>47</v>
      </c>
      <c r="B51" t="str">
        <f>VLOOKUP(A51,'hero names'!$S$7:$T$209,2,0)</f>
        <v>Viper</v>
      </c>
      <c r="C51">
        <f t="array" aca="1" ref="C51" ca="1">COUNT(IF(INDIRECT("output_parsed!E1:N"&amp;$B$1)='Analysis backend'!$A51,INDIRECT("output_parsed!E1:N"&amp;$B$1)))</f>
        <v>4</v>
      </c>
      <c r="D51">
        <f t="array" aca="1" ref="D51" ca="1">COUNT(IF(INDIRECT("output_parsed!o1:s"&amp;$B$1)='Analysis backend'!$A51,INDIRECT("output_parsed!o1:s"&amp;$B$1)))</f>
        <v>3</v>
      </c>
      <c r="E51">
        <f t="shared" ca="1" si="6"/>
        <v>7</v>
      </c>
      <c r="F51">
        <f t="array" aca="1" ref="F51" ca="1">COUNT(IF(INDIRECT("output_parsed!D1:D"&amp;$B$1)=TRUE,IF(INDIRECT("output_parsed!E1:I"&amp;$B$1)='Analysis backend'!$A51,INDIRECT("output_parsed!E1:I"&amp;$B$1))))+COUNT(IF(INDIRECT("output_parsed!D1:D"&amp;$B$1)=FALSE,IF(INDIRECT("output_parsed!J1:N"&amp;$B$1)='Analysis backend'!$A51,INDIRECT("output_parsed!J1:N"&amp;$B$1))))</f>
        <v>2</v>
      </c>
      <c r="L51">
        <f t="shared" si="10"/>
        <v>46</v>
      </c>
      <c r="M51" t="str">
        <f t="shared" si="8"/>
        <v>Templar Assassin</v>
      </c>
      <c r="N51">
        <f t="array" aca="1" ref="N51" ca="1">SUM(IF(INDIRECT("output_parsed_hero!t1:t"&amp;$B$1)=$L$1,IF(INDIRECT("output_parsed_hero!u1:u"&amp;$B$1)="Radiant",IF(INDIRECT("output_parsed_hero!E1:I"&amp;$B$1)=$L51,1))))+SUM(IF(INDIRECT("output_parsed_hero!t1:t"&amp;$B$1)=$L$1,IF(INDIRECT("output_parsed_hero!u1:u"&amp;$B$1)="Dire",IF(INDIRECT("output_parsed_hero!j1:n"&amp;$B$1)=$L51,1))))</f>
        <v>3</v>
      </c>
      <c r="O51">
        <f t="array" aca="1" ref="O51" ca="1">SUM(IF(INDIRECT("output_parsed_hero!t1:t"&amp;$B$1)=$L$1,IF(INDIRECT("output_parsed_hero!u1:u"&amp;$B$1)="Radiant",IF(INDIRECT("output_parsed_hero!E1:I"&amp;$B$1)=$L51,IF(INDIRECT("output_parsed_hero!D1:D"&amp;$B$1)=TRUE,1)))))+SUM(IF(INDIRECT("output_parsed_hero!t1:t"&amp;$B$1)=$L$1,IF(INDIRECT("output_parsed_hero!u1:u"&amp;$B$1)="Dire",IF(INDIRECT("output_parsed_hero!j1:N"&amp;$B$1)=$L51,IF(INDIRECT("output_parsed_hero!D1:D"&amp;$B$1)=FALSE,1)))))</f>
        <v>1</v>
      </c>
      <c r="P51">
        <f t="shared" ca="1" si="9"/>
        <v>0.33333333333333331</v>
      </c>
      <c r="Q51">
        <f t="array" aca="1" ref="Q51" ca="1">SUM(IF(INDIRECT("output_parsed_hero!t1:t"&amp;$B$1)=$L$1,IF(INDIRECT("output_parsed_hero!u1:u"&amp;$B$1)="Radiant",IF(INDIRECT("output_parsed_hero!j1:n"&amp;$B$1)=$L51,1))))+SUM(IF(INDIRECT("output_parsed_hero!t1:t"&amp;$B$1)=$L$1,IF(INDIRECT("output_parsed_hero!u1:u"&amp;$B$1)="Dire",IF(INDIRECT("output_parsed_hero!e1:i"&amp;$B$1)=$L51,1))))</f>
        <v>0</v>
      </c>
      <c r="R51">
        <f t="array" aca="1" ref="R51" ca="1">SUM(IF(INDIRECT("output_parsed_hero!t1:t"&amp;$B$1)=$L$1,IF(INDIRECT("output_parsed_hero!u1:u"&amp;$B$1)="Radiant",IF(INDIRECT("output_parsed_hero!j1:n"&amp;$B$1)=$L51,IF(INDIRECT("output_parsed_hero!D1:D"&amp;$B$1)=TRUE,1)))))+SUM(IF(INDIRECT("output_parsed_hero!t1:t"&amp;$B$1)=$L$1,IF(INDIRECT("output_parsed_hero!u1:u"&amp;$B$1)="Dire",IF(INDIRECT("output_parsed_hero!e1:i"&amp;$B$1)=$L51,IF(INDIRECT("output_parsed_hero!D1:D"&amp;$B$1)=FALSE,1)))))</f>
        <v>0</v>
      </c>
      <c r="S51">
        <f t="shared" ca="1" si="4"/>
        <v>0</v>
      </c>
      <c r="Z51" t="s">
        <v>428</v>
      </c>
    </row>
    <row r="52" spans="1:26" x14ac:dyDescent="0.3">
      <c r="A52">
        <f t="shared" si="7"/>
        <v>48</v>
      </c>
      <c r="B52" t="str">
        <f>VLOOKUP(A52,'hero names'!$S$7:$T$209,2,0)</f>
        <v>Luna</v>
      </c>
      <c r="C52">
        <f t="array" aca="1" ref="C52" ca="1">COUNT(IF(INDIRECT("output_parsed!E1:N"&amp;$B$1)='Analysis backend'!$A52,INDIRECT("output_parsed!E1:N"&amp;$B$1)))</f>
        <v>17</v>
      </c>
      <c r="D52">
        <f t="array" aca="1" ref="D52" ca="1">COUNT(IF(INDIRECT("output_parsed!o1:s"&amp;$B$1)='Analysis backend'!$A52,INDIRECT("output_parsed!o1:s"&amp;$B$1)))</f>
        <v>3</v>
      </c>
      <c r="E52">
        <f t="shared" ca="1" si="6"/>
        <v>20</v>
      </c>
      <c r="F52">
        <f t="array" aca="1" ref="F52" ca="1">COUNT(IF(INDIRECT("output_parsed!D1:D"&amp;$B$1)=TRUE,IF(INDIRECT("output_parsed!E1:I"&amp;$B$1)='Analysis backend'!$A52,INDIRECT("output_parsed!E1:I"&amp;$B$1))))+COUNT(IF(INDIRECT("output_parsed!D1:D"&amp;$B$1)=FALSE,IF(INDIRECT("output_parsed!J1:N"&amp;$B$1)='Analysis backend'!$A52,INDIRECT("output_parsed!J1:N"&amp;$B$1))))</f>
        <v>7</v>
      </c>
      <c r="L52">
        <f t="shared" si="10"/>
        <v>47</v>
      </c>
      <c r="M52" t="str">
        <f t="shared" si="8"/>
        <v>Viper</v>
      </c>
      <c r="N52">
        <f t="array" aca="1" ref="N52" ca="1">SUM(IF(INDIRECT("output_parsed_hero!t1:t"&amp;$B$1)=$L$1,IF(INDIRECT("output_parsed_hero!u1:u"&amp;$B$1)="Radiant",IF(INDIRECT("output_parsed_hero!E1:I"&amp;$B$1)=$L52,1))))+SUM(IF(INDIRECT("output_parsed_hero!t1:t"&amp;$B$1)=$L$1,IF(INDIRECT("output_parsed_hero!u1:u"&amp;$B$1)="Dire",IF(INDIRECT("output_parsed_hero!j1:n"&amp;$B$1)=$L52,1))))</f>
        <v>1</v>
      </c>
      <c r="O52">
        <f t="array" aca="1" ref="O52" ca="1">SUM(IF(INDIRECT("output_parsed_hero!t1:t"&amp;$B$1)=$L$1,IF(INDIRECT("output_parsed_hero!u1:u"&amp;$B$1)="Radiant",IF(INDIRECT("output_parsed_hero!E1:I"&amp;$B$1)=$L52,IF(INDIRECT("output_parsed_hero!D1:D"&amp;$B$1)=TRUE,1)))))+SUM(IF(INDIRECT("output_parsed_hero!t1:t"&amp;$B$1)=$L$1,IF(INDIRECT("output_parsed_hero!u1:u"&amp;$B$1)="Dire",IF(INDIRECT("output_parsed_hero!j1:N"&amp;$B$1)=$L52,IF(INDIRECT("output_parsed_hero!D1:D"&amp;$B$1)=FALSE,1)))))</f>
        <v>0</v>
      </c>
      <c r="P52">
        <f t="shared" ca="1" si="9"/>
        <v>0</v>
      </c>
      <c r="Q52">
        <f t="array" aca="1" ref="Q52" ca="1">SUM(IF(INDIRECT("output_parsed_hero!t1:t"&amp;$B$1)=$L$1,IF(INDIRECT("output_parsed_hero!u1:u"&amp;$B$1)="Radiant",IF(INDIRECT("output_parsed_hero!j1:n"&amp;$B$1)=$L52,1))))+SUM(IF(INDIRECT("output_parsed_hero!t1:t"&amp;$B$1)=$L$1,IF(INDIRECT("output_parsed_hero!u1:u"&amp;$B$1)="Dire",IF(INDIRECT("output_parsed_hero!e1:i"&amp;$B$1)=$L52,1))))</f>
        <v>0</v>
      </c>
      <c r="R52">
        <f t="array" aca="1" ref="R52" ca="1">SUM(IF(INDIRECT("output_parsed_hero!t1:t"&amp;$B$1)=$L$1,IF(INDIRECT("output_parsed_hero!u1:u"&amp;$B$1)="Radiant",IF(INDIRECT("output_parsed_hero!j1:n"&amp;$B$1)=$L52,IF(INDIRECT("output_parsed_hero!D1:D"&amp;$B$1)=TRUE,1)))))+SUM(IF(INDIRECT("output_parsed_hero!t1:t"&amp;$B$1)=$L$1,IF(INDIRECT("output_parsed_hero!u1:u"&amp;$B$1)="Dire",IF(INDIRECT("output_parsed_hero!e1:i"&amp;$B$1)=$L52,IF(INDIRECT("output_parsed_hero!D1:D"&amp;$B$1)=FALSE,1)))))</f>
        <v>0</v>
      </c>
      <c r="S52">
        <f t="shared" ca="1" si="4"/>
        <v>0</v>
      </c>
      <c r="Z52" t="s">
        <v>451</v>
      </c>
    </row>
    <row r="53" spans="1:26" x14ac:dyDescent="0.3">
      <c r="A53">
        <f t="shared" si="7"/>
        <v>49</v>
      </c>
      <c r="B53" t="str">
        <f>VLOOKUP(A53,'hero names'!$S$7:$T$209,2,0)</f>
        <v>Dragon Knight</v>
      </c>
      <c r="C53">
        <f t="array" aca="1" ref="C53" ca="1">COUNT(IF(INDIRECT("output_parsed!E1:N"&amp;$B$1)='Analysis backend'!$A53,INDIRECT("output_parsed!E1:N"&amp;$B$1)))</f>
        <v>13</v>
      </c>
      <c r="D53">
        <f t="array" aca="1" ref="D53" ca="1">COUNT(IF(INDIRECT("output_parsed!o1:s"&amp;$B$1)='Analysis backend'!$A53,INDIRECT("output_parsed!o1:s"&amp;$B$1)))</f>
        <v>0</v>
      </c>
      <c r="E53">
        <f t="shared" ca="1" si="6"/>
        <v>13</v>
      </c>
      <c r="F53">
        <f t="array" aca="1" ref="F53" ca="1">COUNT(IF(INDIRECT("output_parsed!D1:D"&amp;$B$1)=TRUE,IF(INDIRECT("output_parsed!E1:I"&amp;$B$1)='Analysis backend'!$A53,INDIRECT("output_parsed!E1:I"&amp;$B$1))))+COUNT(IF(INDIRECT("output_parsed!D1:D"&amp;$B$1)=FALSE,IF(INDIRECT("output_parsed!J1:N"&amp;$B$1)='Analysis backend'!$A53,INDIRECT("output_parsed!J1:N"&amp;$B$1))))</f>
        <v>6</v>
      </c>
      <c r="L53">
        <f t="shared" si="10"/>
        <v>48</v>
      </c>
      <c r="M53" t="str">
        <f t="shared" si="8"/>
        <v>Luna</v>
      </c>
      <c r="N53">
        <f t="array" aca="1" ref="N53" ca="1">SUM(IF(INDIRECT("output_parsed_hero!t1:t"&amp;$B$1)=$L$1,IF(INDIRECT("output_parsed_hero!u1:u"&amp;$B$1)="Radiant",IF(INDIRECT("output_parsed_hero!E1:I"&amp;$B$1)=$L53,1))))+SUM(IF(INDIRECT("output_parsed_hero!t1:t"&amp;$B$1)=$L$1,IF(INDIRECT("output_parsed_hero!u1:u"&amp;$B$1)="Dire",IF(INDIRECT("output_parsed_hero!j1:n"&amp;$B$1)=$L53,1))))</f>
        <v>1</v>
      </c>
      <c r="O53">
        <f t="array" aca="1" ref="O53" ca="1">SUM(IF(INDIRECT("output_parsed_hero!t1:t"&amp;$B$1)=$L$1,IF(INDIRECT("output_parsed_hero!u1:u"&amp;$B$1)="Radiant",IF(INDIRECT("output_parsed_hero!E1:I"&amp;$B$1)=$L53,IF(INDIRECT("output_parsed_hero!D1:D"&amp;$B$1)=TRUE,1)))))+SUM(IF(INDIRECT("output_parsed_hero!t1:t"&amp;$B$1)=$L$1,IF(INDIRECT("output_parsed_hero!u1:u"&amp;$B$1)="Dire",IF(INDIRECT("output_parsed_hero!j1:N"&amp;$B$1)=$L53,IF(INDIRECT("output_parsed_hero!D1:D"&amp;$B$1)=FALSE,1)))))</f>
        <v>0</v>
      </c>
      <c r="P53">
        <f t="shared" ca="1" si="9"/>
        <v>0</v>
      </c>
      <c r="Q53">
        <f t="array" aca="1" ref="Q53" ca="1">SUM(IF(INDIRECT("output_parsed_hero!t1:t"&amp;$B$1)=$L$1,IF(INDIRECT("output_parsed_hero!u1:u"&amp;$B$1)="Radiant",IF(INDIRECT("output_parsed_hero!j1:n"&amp;$B$1)=$L53,1))))+SUM(IF(INDIRECT("output_parsed_hero!t1:t"&amp;$B$1)=$L$1,IF(INDIRECT("output_parsed_hero!u1:u"&amp;$B$1)="Dire",IF(INDIRECT("output_parsed_hero!e1:i"&amp;$B$1)=$L53,1))))</f>
        <v>4</v>
      </c>
      <c r="R53">
        <f t="array" aca="1" ref="R53" ca="1">SUM(IF(INDIRECT("output_parsed_hero!t1:t"&amp;$B$1)=$L$1,IF(INDIRECT("output_parsed_hero!u1:u"&amp;$B$1)="Radiant",IF(INDIRECT("output_parsed_hero!j1:n"&amp;$B$1)=$L53,IF(INDIRECT("output_parsed_hero!D1:D"&amp;$B$1)=TRUE,1)))))+SUM(IF(INDIRECT("output_parsed_hero!t1:t"&amp;$B$1)=$L$1,IF(INDIRECT("output_parsed_hero!u1:u"&amp;$B$1)="Dire",IF(INDIRECT("output_parsed_hero!e1:i"&amp;$B$1)=$L53,IF(INDIRECT("output_parsed_hero!D1:D"&amp;$B$1)=FALSE,1)))))</f>
        <v>3</v>
      </c>
      <c r="S53">
        <f t="shared" ca="1" si="4"/>
        <v>0.75</v>
      </c>
      <c r="Z53" t="s">
        <v>422</v>
      </c>
    </row>
    <row r="54" spans="1:26" x14ac:dyDescent="0.3">
      <c r="A54">
        <f t="shared" si="7"/>
        <v>50</v>
      </c>
      <c r="B54" t="str">
        <f>VLOOKUP(A54,'hero names'!$S$7:$T$209,2,0)</f>
        <v>Dazzle</v>
      </c>
      <c r="C54">
        <f t="array" aca="1" ref="C54" ca="1">COUNT(IF(INDIRECT("output_parsed!E1:N"&amp;$B$1)='Analysis backend'!$A54,INDIRECT("output_parsed!E1:N"&amp;$B$1)))</f>
        <v>123</v>
      </c>
      <c r="D54">
        <f t="array" aca="1" ref="D54" ca="1">COUNT(IF(INDIRECT("output_parsed!o1:s"&amp;$B$1)='Analysis backend'!$A54,INDIRECT("output_parsed!o1:s"&amp;$B$1)))</f>
        <v>19</v>
      </c>
      <c r="E54">
        <f t="shared" ca="1" si="6"/>
        <v>142</v>
      </c>
      <c r="F54">
        <f t="array" aca="1" ref="F54" ca="1">COUNT(IF(INDIRECT("output_parsed!D1:D"&amp;$B$1)=TRUE,IF(INDIRECT("output_parsed!E1:I"&amp;$B$1)='Analysis backend'!$A54,INDIRECT("output_parsed!E1:I"&amp;$B$1))))+COUNT(IF(INDIRECT("output_parsed!D1:D"&amp;$B$1)=FALSE,IF(INDIRECT("output_parsed!J1:N"&amp;$B$1)='Analysis backend'!$A54,INDIRECT("output_parsed!J1:N"&amp;$B$1))))</f>
        <v>61</v>
      </c>
      <c r="L54">
        <f t="shared" si="10"/>
        <v>49</v>
      </c>
      <c r="M54" t="str">
        <f t="shared" si="8"/>
        <v>Dragon Knight</v>
      </c>
      <c r="N54">
        <f t="array" aca="1" ref="N54" ca="1">SUM(IF(INDIRECT("output_parsed_hero!t1:t"&amp;$B$1)=$L$1,IF(INDIRECT("output_parsed_hero!u1:u"&amp;$B$1)="Radiant",IF(INDIRECT("output_parsed_hero!E1:I"&amp;$B$1)=$L54,1))))+SUM(IF(INDIRECT("output_parsed_hero!t1:t"&amp;$B$1)=$L$1,IF(INDIRECT("output_parsed_hero!u1:u"&amp;$B$1)="Dire",IF(INDIRECT("output_parsed_hero!j1:n"&amp;$B$1)=$L54,1))))</f>
        <v>4</v>
      </c>
      <c r="O54">
        <f t="array" aca="1" ref="O54" ca="1">SUM(IF(INDIRECT("output_parsed_hero!t1:t"&amp;$B$1)=$L$1,IF(INDIRECT("output_parsed_hero!u1:u"&amp;$B$1)="Radiant",IF(INDIRECT("output_parsed_hero!E1:I"&amp;$B$1)=$L54,IF(INDIRECT("output_parsed_hero!D1:D"&amp;$B$1)=TRUE,1)))))+SUM(IF(INDIRECT("output_parsed_hero!t1:t"&amp;$B$1)=$L$1,IF(INDIRECT("output_parsed_hero!u1:u"&amp;$B$1)="Dire",IF(INDIRECT("output_parsed_hero!j1:N"&amp;$B$1)=$L54,IF(INDIRECT("output_parsed_hero!D1:D"&amp;$B$1)=FALSE,1)))))</f>
        <v>1</v>
      </c>
      <c r="P54">
        <f t="shared" ca="1" si="9"/>
        <v>0.25</v>
      </c>
      <c r="Q54">
        <f t="array" aca="1" ref="Q54" ca="1">SUM(IF(INDIRECT("output_parsed_hero!t1:t"&amp;$B$1)=$L$1,IF(INDIRECT("output_parsed_hero!u1:u"&amp;$B$1)="Radiant",IF(INDIRECT("output_parsed_hero!j1:n"&amp;$B$1)=$L54,1))))+SUM(IF(INDIRECT("output_parsed_hero!t1:t"&amp;$B$1)=$L$1,IF(INDIRECT("output_parsed_hero!u1:u"&amp;$B$1)="Dire",IF(INDIRECT("output_parsed_hero!e1:i"&amp;$B$1)=$L54,1))))</f>
        <v>2</v>
      </c>
      <c r="R54">
        <f t="array" aca="1" ref="R54" ca="1">SUM(IF(INDIRECT("output_parsed_hero!t1:t"&amp;$B$1)=$L$1,IF(INDIRECT("output_parsed_hero!u1:u"&amp;$B$1)="Radiant",IF(INDIRECT("output_parsed_hero!j1:n"&amp;$B$1)=$L54,IF(INDIRECT("output_parsed_hero!D1:D"&amp;$B$1)=TRUE,1)))))+SUM(IF(INDIRECT("output_parsed_hero!t1:t"&amp;$B$1)=$L$1,IF(INDIRECT("output_parsed_hero!u1:u"&amp;$B$1)="Dire",IF(INDIRECT("output_parsed_hero!e1:i"&amp;$B$1)=$L54,IF(INDIRECT("output_parsed_hero!D1:D"&amp;$B$1)=FALSE,1)))))</f>
        <v>0</v>
      </c>
      <c r="S54">
        <f t="shared" ca="1" si="4"/>
        <v>0</v>
      </c>
      <c r="Z54" t="s">
        <v>423</v>
      </c>
    </row>
    <row r="55" spans="1:26" x14ac:dyDescent="0.3">
      <c r="A55">
        <f t="shared" si="7"/>
        <v>51</v>
      </c>
      <c r="B55" t="str">
        <f>VLOOKUP(A55,'hero names'!$S$7:$T$209,2,0)</f>
        <v>Clockwerk</v>
      </c>
      <c r="C55">
        <f t="array" aca="1" ref="C55" ca="1">COUNT(IF(INDIRECT("output_parsed!E1:N"&amp;$B$1)='Analysis backend'!$A55,INDIRECT("output_parsed!E1:N"&amp;$B$1)))</f>
        <v>4</v>
      </c>
      <c r="D55">
        <f t="array" aca="1" ref="D55" ca="1">COUNT(IF(INDIRECT("output_parsed!o1:s"&amp;$B$1)='Analysis backend'!$A55,INDIRECT("output_parsed!o1:s"&amp;$B$1)))</f>
        <v>0</v>
      </c>
      <c r="E55">
        <f t="shared" ca="1" si="6"/>
        <v>4</v>
      </c>
      <c r="F55">
        <f t="array" aca="1" ref="F55" ca="1">COUNT(IF(INDIRECT("output_parsed!D1:D"&amp;$B$1)=TRUE,IF(INDIRECT("output_parsed!E1:I"&amp;$B$1)='Analysis backend'!$A55,INDIRECT("output_parsed!E1:I"&amp;$B$1))))+COUNT(IF(INDIRECT("output_parsed!D1:D"&amp;$B$1)=FALSE,IF(INDIRECT("output_parsed!J1:N"&amp;$B$1)='Analysis backend'!$A55,INDIRECT("output_parsed!J1:N"&amp;$B$1))))</f>
        <v>3</v>
      </c>
      <c r="L55">
        <f t="shared" si="10"/>
        <v>50</v>
      </c>
      <c r="M55" t="str">
        <f t="shared" si="8"/>
        <v>Dazzle</v>
      </c>
      <c r="N55">
        <f t="array" aca="1" ref="N55" ca="1">SUM(IF(INDIRECT("output_parsed_hero!t1:t"&amp;$B$1)=$L$1,IF(INDIRECT("output_parsed_hero!u1:u"&amp;$B$1)="Radiant",IF(INDIRECT("output_parsed_hero!E1:I"&amp;$B$1)=$L55,1))))+SUM(IF(INDIRECT("output_parsed_hero!t1:t"&amp;$B$1)=$L$1,IF(INDIRECT("output_parsed_hero!u1:u"&amp;$B$1)="Dire",IF(INDIRECT("output_parsed_hero!j1:n"&amp;$B$1)=$L55,1))))</f>
        <v>32</v>
      </c>
      <c r="O55">
        <f t="array" aca="1" ref="O55" ca="1">SUM(IF(INDIRECT("output_parsed_hero!t1:t"&amp;$B$1)=$L$1,IF(INDIRECT("output_parsed_hero!u1:u"&amp;$B$1)="Radiant",IF(INDIRECT("output_parsed_hero!E1:I"&amp;$B$1)=$L55,IF(INDIRECT("output_parsed_hero!D1:D"&amp;$B$1)=TRUE,1)))))+SUM(IF(INDIRECT("output_parsed_hero!t1:t"&amp;$B$1)=$L$1,IF(INDIRECT("output_parsed_hero!u1:u"&amp;$B$1)="Dire",IF(INDIRECT("output_parsed_hero!j1:N"&amp;$B$1)=$L55,IF(INDIRECT("output_parsed_hero!D1:D"&amp;$B$1)=FALSE,1)))))</f>
        <v>19</v>
      </c>
      <c r="P55">
        <f t="shared" ca="1" si="9"/>
        <v>0.59375</v>
      </c>
      <c r="Q55">
        <f t="array" aca="1" ref="Q55" ca="1">SUM(IF(INDIRECT("output_parsed_hero!t1:t"&amp;$B$1)=$L$1,IF(INDIRECT("output_parsed_hero!u1:u"&amp;$B$1)="Radiant",IF(INDIRECT("output_parsed_hero!j1:n"&amp;$B$1)=$L55,1))))+SUM(IF(INDIRECT("output_parsed_hero!t1:t"&amp;$B$1)=$L$1,IF(INDIRECT("output_parsed_hero!u1:u"&amp;$B$1)="Dire",IF(INDIRECT("output_parsed_hero!e1:i"&amp;$B$1)=$L55,1))))</f>
        <v>26</v>
      </c>
      <c r="R55">
        <f t="array" aca="1" ref="R55" ca="1">SUM(IF(INDIRECT("output_parsed_hero!t1:t"&amp;$B$1)=$L$1,IF(INDIRECT("output_parsed_hero!u1:u"&amp;$B$1)="Radiant",IF(INDIRECT("output_parsed_hero!j1:n"&amp;$B$1)=$L55,IF(INDIRECT("output_parsed_hero!D1:D"&amp;$B$1)=TRUE,1)))))+SUM(IF(INDIRECT("output_parsed_hero!t1:t"&amp;$B$1)=$L$1,IF(INDIRECT("output_parsed_hero!u1:u"&amp;$B$1)="Dire",IF(INDIRECT("output_parsed_hero!e1:i"&amp;$B$1)=$L55,IF(INDIRECT("output_parsed_hero!D1:D"&amp;$B$1)=FALSE,1)))))</f>
        <v>16</v>
      </c>
      <c r="S55">
        <f t="shared" ca="1" si="4"/>
        <v>0.61538461538461542</v>
      </c>
      <c r="Z55" t="s">
        <v>477</v>
      </c>
    </row>
    <row r="56" spans="1:26" x14ac:dyDescent="0.3">
      <c r="A56">
        <f t="shared" si="7"/>
        <v>52</v>
      </c>
      <c r="B56" t="str">
        <f>VLOOKUP(A56,'hero names'!$S$7:$T$209,2,0)</f>
        <v>Leshrac</v>
      </c>
      <c r="C56">
        <f t="array" aca="1" ref="C56" ca="1">COUNT(IF(INDIRECT("output_parsed!E1:N"&amp;$B$1)='Analysis backend'!$A56,INDIRECT("output_parsed!E1:N"&amp;$B$1)))</f>
        <v>0</v>
      </c>
      <c r="D56">
        <f t="array" aca="1" ref="D56" ca="1">COUNT(IF(INDIRECT("output_parsed!o1:s"&amp;$B$1)='Analysis backend'!$A56,INDIRECT("output_parsed!o1:s"&amp;$B$1)))</f>
        <v>0</v>
      </c>
      <c r="E56">
        <f t="shared" ca="1" si="6"/>
        <v>0</v>
      </c>
      <c r="F56">
        <f t="array" aca="1" ref="F56" ca="1">COUNT(IF(INDIRECT("output_parsed!D1:D"&amp;$B$1)=TRUE,IF(INDIRECT("output_parsed!E1:I"&amp;$B$1)='Analysis backend'!$A56,INDIRECT("output_parsed!E1:I"&amp;$B$1))))+COUNT(IF(INDIRECT("output_parsed!D1:D"&amp;$B$1)=FALSE,IF(INDIRECT("output_parsed!J1:N"&amp;$B$1)='Analysis backend'!$A56,INDIRECT("output_parsed!J1:N"&amp;$B$1))))</f>
        <v>0</v>
      </c>
      <c r="L56">
        <f t="shared" si="10"/>
        <v>51</v>
      </c>
      <c r="M56" t="str">
        <f t="shared" si="8"/>
        <v>Clockwerk</v>
      </c>
      <c r="N56">
        <f t="array" aca="1" ref="N56" ca="1">SUM(IF(INDIRECT("output_parsed_hero!t1:t"&amp;$B$1)=$L$1,IF(INDIRECT("output_parsed_hero!u1:u"&amp;$B$1)="Radiant",IF(INDIRECT("output_parsed_hero!E1:I"&amp;$B$1)=$L56,1))))+SUM(IF(INDIRECT("output_parsed_hero!t1:t"&amp;$B$1)=$L$1,IF(INDIRECT("output_parsed_hero!u1:u"&amp;$B$1)="Dire",IF(INDIRECT("output_parsed_hero!j1:n"&amp;$B$1)=$L56,1))))</f>
        <v>0</v>
      </c>
      <c r="O56">
        <f t="array" aca="1" ref="O56" ca="1">SUM(IF(INDIRECT("output_parsed_hero!t1:t"&amp;$B$1)=$L$1,IF(INDIRECT("output_parsed_hero!u1:u"&amp;$B$1)="Radiant",IF(INDIRECT("output_parsed_hero!E1:I"&amp;$B$1)=$L56,IF(INDIRECT("output_parsed_hero!D1:D"&amp;$B$1)=TRUE,1)))))+SUM(IF(INDIRECT("output_parsed_hero!t1:t"&amp;$B$1)=$L$1,IF(INDIRECT("output_parsed_hero!u1:u"&amp;$B$1)="Dire",IF(INDIRECT("output_parsed_hero!j1:N"&amp;$B$1)=$L56,IF(INDIRECT("output_parsed_hero!D1:D"&amp;$B$1)=FALSE,1)))))</f>
        <v>0</v>
      </c>
      <c r="P56">
        <f t="shared" ca="1" si="9"/>
        <v>0</v>
      </c>
      <c r="Q56">
        <f t="array" aca="1" ref="Q56" ca="1">SUM(IF(INDIRECT("output_parsed_hero!t1:t"&amp;$B$1)=$L$1,IF(INDIRECT("output_parsed_hero!u1:u"&amp;$B$1)="Radiant",IF(INDIRECT("output_parsed_hero!j1:n"&amp;$B$1)=$L56,1))))+SUM(IF(INDIRECT("output_parsed_hero!t1:t"&amp;$B$1)=$L$1,IF(INDIRECT("output_parsed_hero!u1:u"&amp;$B$1)="Dire",IF(INDIRECT("output_parsed_hero!e1:i"&amp;$B$1)=$L56,1))))</f>
        <v>1</v>
      </c>
      <c r="R56">
        <f t="array" aca="1" ref="R56" ca="1">SUM(IF(INDIRECT("output_parsed_hero!t1:t"&amp;$B$1)=$L$1,IF(INDIRECT("output_parsed_hero!u1:u"&amp;$B$1)="Radiant",IF(INDIRECT("output_parsed_hero!j1:n"&amp;$B$1)=$L56,IF(INDIRECT("output_parsed_hero!D1:D"&amp;$B$1)=TRUE,1)))))+SUM(IF(INDIRECT("output_parsed_hero!t1:t"&amp;$B$1)=$L$1,IF(INDIRECT("output_parsed_hero!u1:u"&amp;$B$1)="Dire",IF(INDIRECT("output_parsed_hero!e1:i"&amp;$B$1)=$L56,IF(INDIRECT("output_parsed_hero!D1:D"&amp;$B$1)=FALSE,1)))))</f>
        <v>1</v>
      </c>
      <c r="S56">
        <f t="shared" ca="1" si="4"/>
        <v>1</v>
      </c>
      <c r="Z56" t="s">
        <v>445</v>
      </c>
    </row>
    <row r="57" spans="1:26" x14ac:dyDescent="0.3">
      <c r="A57">
        <f t="shared" si="7"/>
        <v>53</v>
      </c>
      <c r="B57" t="str">
        <f>VLOOKUP(A57,'hero names'!$S$7:$T$209,2,0)</f>
        <v>Nature's Prophet</v>
      </c>
      <c r="C57">
        <f t="array" aca="1" ref="C57" ca="1">COUNT(IF(INDIRECT("output_parsed!E1:N"&amp;$B$1)='Analysis backend'!$A57,INDIRECT("output_parsed!E1:N"&amp;$B$1)))</f>
        <v>8</v>
      </c>
      <c r="D57">
        <f t="array" aca="1" ref="D57" ca="1">COUNT(IF(INDIRECT("output_parsed!o1:s"&amp;$B$1)='Analysis backend'!$A57,INDIRECT("output_parsed!o1:s"&amp;$B$1)))</f>
        <v>3</v>
      </c>
      <c r="E57">
        <f t="shared" ca="1" si="6"/>
        <v>11</v>
      </c>
      <c r="F57">
        <f t="array" aca="1" ref="F57" ca="1">COUNT(IF(INDIRECT("output_parsed!D1:D"&amp;$B$1)=TRUE,IF(INDIRECT("output_parsed!E1:I"&amp;$B$1)='Analysis backend'!$A57,INDIRECT("output_parsed!E1:I"&amp;$B$1))))+COUNT(IF(INDIRECT("output_parsed!D1:D"&amp;$B$1)=FALSE,IF(INDIRECT("output_parsed!J1:N"&amp;$B$1)='Analysis backend'!$A57,INDIRECT("output_parsed!J1:N"&amp;$B$1))))</f>
        <v>4</v>
      </c>
      <c r="L57">
        <f t="shared" si="10"/>
        <v>52</v>
      </c>
      <c r="M57" t="str">
        <f t="shared" si="8"/>
        <v>Leshrac</v>
      </c>
      <c r="N57">
        <f t="array" aca="1" ref="N57" ca="1">SUM(IF(INDIRECT("output_parsed_hero!t1:t"&amp;$B$1)=$L$1,IF(INDIRECT("output_parsed_hero!u1:u"&amp;$B$1)="Radiant",IF(INDIRECT("output_parsed_hero!E1:I"&amp;$B$1)=$L57,1))))+SUM(IF(INDIRECT("output_parsed_hero!t1:t"&amp;$B$1)=$L$1,IF(INDIRECT("output_parsed_hero!u1:u"&amp;$B$1)="Dire",IF(INDIRECT("output_parsed_hero!j1:n"&amp;$B$1)=$L57,1))))</f>
        <v>0</v>
      </c>
      <c r="O57">
        <f t="array" aca="1" ref="O57" ca="1">SUM(IF(INDIRECT("output_parsed_hero!t1:t"&amp;$B$1)=$L$1,IF(INDIRECT("output_parsed_hero!u1:u"&amp;$B$1)="Radiant",IF(INDIRECT("output_parsed_hero!E1:I"&amp;$B$1)=$L57,IF(INDIRECT("output_parsed_hero!D1:D"&amp;$B$1)=TRUE,1)))))+SUM(IF(INDIRECT("output_parsed_hero!t1:t"&amp;$B$1)=$L$1,IF(INDIRECT("output_parsed_hero!u1:u"&amp;$B$1)="Dire",IF(INDIRECT("output_parsed_hero!j1:N"&amp;$B$1)=$L57,IF(INDIRECT("output_parsed_hero!D1:D"&amp;$B$1)=FALSE,1)))))</f>
        <v>0</v>
      </c>
      <c r="P57">
        <f t="shared" ca="1" si="9"/>
        <v>0</v>
      </c>
      <c r="Q57">
        <f t="array" aca="1" ref="Q57" ca="1">SUM(IF(INDIRECT("output_parsed_hero!t1:t"&amp;$B$1)=$L$1,IF(INDIRECT("output_parsed_hero!u1:u"&amp;$B$1)="Radiant",IF(INDIRECT("output_parsed_hero!j1:n"&amp;$B$1)=$L57,1))))+SUM(IF(INDIRECT("output_parsed_hero!t1:t"&amp;$B$1)=$L$1,IF(INDIRECT("output_parsed_hero!u1:u"&amp;$B$1)="Dire",IF(INDIRECT("output_parsed_hero!e1:i"&amp;$B$1)=$L57,1))))</f>
        <v>0</v>
      </c>
      <c r="R57">
        <f t="array" aca="1" ref="R57" ca="1">SUM(IF(INDIRECT("output_parsed_hero!t1:t"&amp;$B$1)=$L$1,IF(INDIRECT("output_parsed_hero!u1:u"&amp;$B$1)="Radiant",IF(INDIRECT("output_parsed_hero!j1:n"&amp;$B$1)=$L57,IF(INDIRECT("output_parsed_hero!D1:D"&amp;$B$1)=TRUE,1)))))+SUM(IF(INDIRECT("output_parsed_hero!t1:t"&amp;$B$1)=$L$1,IF(INDIRECT("output_parsed_hero!u1:u"&amp;$B$1)="Dire",IF(INDIRECT("output_parsed_hero!e1:i"&amp;$B$1)=$L57,IF(INDIRECT("output_parsed_hero!D1:D"&amp;$B$1)=FALSE,1)))))</f>
        <v>0</v>
      </c>
      <c r="S57">
        <f t="shared" ca="1" si="4"/>
        <v>0</v>
      </c>
      <c r="Z57" t="s">
        <v>474</v>
      </c>
    </row>
    <row r="58" spans="1:26" x14ac:dyDescent="0.3">
      <c r="A58">
        <f t="shared" si="7"/>
        <v>54</v>
      </c>
      <c r="B58" t="str">
        <f>VLOOKUP(A58,'hero names'!$S$7:$T$209,2,0)</f>
        <v>Lifestealer</v>
      </c>
      <c r="C58">
        <f t="array" aca="1" ref="C58" ca="1">COUNT(IF(INDIRECT("output_parsed!E1:N"&amp;$B$1)='Analysis backend'!$A58,INDIRECT("output_parsed!E1:N"&amp;$B$1)))</f>
        <v>2</v>
      </c>
      <c r="D58">
        <f t="array" aca="1" ref="D58" ca="1">COUNT(IF(INDIRECT("output_parsed!o1:s"&amp;$B$1)='Analysis backend'!$A58,INDIRECT("output_parsed!o1:s"&amp;$B$1)))</f>
        <v>0</v>
      </c>
      <c r="E58">
        <f t="shared" ca="1" si="6"/>
        <v>2</v>
      </c>
      <c r="F58">
        <f t="array" aca="1" ref="F58" ca="1">COUNT(IF(INDIRECT("output_parsed!D1:D"&amp;$B$1)=TRUE,IF(INDIRECT("output_parsed!E1:I"&amp;$B$1)='Analysis backend'!$A58,INDIRECT("output_parsed!E1:I"&amp;$B$1))))+COUNT(IF(INDIRECT("output_parsed!D1:D"&amp;$B$1)=FALSE,IF(INDIRECT("output_parsed!J1:N"&amp;$B$1)='Analysis backend'!$A58,INDIRECT("output_parsed!J1:N"&amp;$B$1))))</f>
        <v>1</v>
      </c>
      <c r="L58">
        <f t="shared" si="10"/>
        <v>53</v>
      </c>
      <c r="M58" t="str">
        <f t="shared" si="8"/>
        <v>Nature's Prophet</v>
      </c>
      <c r="N58">
        <f t="array" aca="1" ref="N58" ca="1">SUM(IF(INDIRECT("output_parsed_hero!t1:t"&amp;$B$1)=$L$1,IF(INDIRECT("output_parsed_hero!u1:u"&amp;$B$1)="Radiant",IF(INDIRECT("output_parsed_hero!E1:I"&amp;$B$1)=$L58,1))))+SUM(IF(INDIRECT("output_parsed_hero!t1:t"&amp;$B$1)=$L$1,IF(INDIRECT("output_parsed_hero!u1:u"&amp;$B$1)="Dire",IF(INDIRECT("output_parsed_hero!j1:n"&amp;$B$1)=$L58,1))))</f>
        <v>1</v>
      </c>
      <c r="O58">
        <f t="array" aca="1" ref="O58" ca="1">SUM(IF(INDIRECT("output_parsed_hero!t1:t"&amp;$B$1)=$L$1,IF(INDIRECT("output_parsed_hero!u1:u"&amp;$B$1)="Radiant",IF(INDIRECT("output_parsed_hero!E1:I"&amp;$B$1)=$L58,IF(INDIRECT("output_parsed_hero!D1:D"&amp;$B$1)=TRUE,1)))))+SUM(IF(INDIRECT("output_parsed_hero!t1:t"&amp;$B$1)=$L$1,IF(INDIRECT("output_parsed_hero!u1:u"&amp;$B$1)="Dire",IF(INDIRECT("output_parsed_hero!j1:N"&amp;$B$1)=$L58,IF(INDIRECT("output_parsed_hero!D1:D"&amp;$B$1)=FALSE,1)))))</f>
        <v>0</v>
      </c>
      <c r="P58">
        <f t="shared" ca="1" si="9"/>
        <v>0</v>
      </c>
      <c r="Q58">
        <f t="array" aca="1" ref="Q58" ca="1">SUM(IF(INDIRECT("output_parsed_hero!t1:t"&amp;$B$1)=$L$1,IF(INDIRECT("output_parsed_hero!u1:u"&amp;$B$1)="Radiant",IF(INDIRECT("output_parsed_hero!j1:n"&amp;$B$1)=$L58,1))))+SUM(IF(INDIRECT("output_parsed_hero!t1:t"&amp;$B$1)=$L$1,IF(INDIRECT("output_parsed_hero!u1:u"&amp;$B$1)="Dire",IF(INDIRECT("output_parsed_hero!e1:i"&amp;$B$1)=$L58,1))))</f>
        <v>1</v>
      </c>
      <c r="R58">
        <f t="array" aca="1" ref="R58" ca="1">SUM(IF(INDIRECT("output_parsed_hero!t1:t"&amp;$B$1)=$L$1,IF(INDIRECT("output_parsed_hero!u1:u"&amp;$B$1)="Radiant",IF(INDIRECT("output_parsed_hero!j1:n"&amp;$B$1)=$L58,IF(INDIRECT("output_parsed_hero!D1:D"&amp;$B$1)=TRUE,1)))))+SUM(IF(INDIRECT("output_parsed_hero!t1:t"&amp;$B$1)=$L$1,IF(INDIRECT("output_parsed_hero!u1:u"&amp;$B$1)="Dire",IF(INDIRECT("output_parsed_hero!e1:i"&amp;$B$1)=$L58,IF(INDIRECT("output_parsed_hero!D1:D"&amp;$B$1)=FALSE,1)))))</f>
        <v>1</v>
      </c>
      <c r="S58">
        <f t="shared" ca="1" si="4"/>
        <v>1</v>
      </c>
      <c r="Z58" t="s">
        <v>494</v>
      </c>
    </row>
    <row r="59" spans="1:26" x14ac:dyDescent="0.3">
      <c r="A59">
        <f t="shared" si="7"/>
        <v>55</v>
      </c>
      <c r="B59" t="str">
        <f>VLOOKUP(A59,'hero names'!$S$7:$T$209,2,0)</f>
        <v>Dark Seer</v>
      </c>
      <c r="C59">
        <f t="array" aca="1" ref="C59" ca="1">COUNT(IF(INDIRECT("output_parsed!E1:N"&amp;$B$1)='Analysis backend'!$A59,INDIRECT("output_parsed!E1:N"&amp;$B$1)))</f>
        <v>13</v>
      </c>
      <c r="D59">
        <f t="array" aca="1" ref="D59" ca="1">COUNT(IF(INDIRECT("output_parsed!o1:s"&amp;$B$1)='Analysis backend'!$A59,INDIRECT("output_parsed!o1:s"&amp;$B$1)))</f>
        <v>2</v>
      </c>
      <c r="E59">
        <f t="shared" ca="1" si="6"/>
        <v>15</v>
      </c>
      <c r="F59">
        <f t="array" aca="1" ref="F59" ca="1">COUNT(IF(INDIRECT("output_parsed!D1:D"&amp;$B$1)=TRUE,IF(INDIRECT("output_parsed!E1:I"&amp;$B$1)='Analysis backend'!$A59,INDIRECT("output_parsed!E1:I"&amp;$B$1))))+COUNT(IF(INDIRECT("output_parsed!D1:D"&amp;$B$1)=FALSE,IF(INDIRECT("output_parsed!J1:N"&amp;$B$1)='Analysis backend'!$A59,INDIRECT("output_parsed!J1:N"&amp;$B$1))))</f>
        <v>8</v>
      </c>
      <c r="L59">
        <f t="shared" si="10"/>
        <v>54</v>
      </c>
      <c r="M59" t="str">
        <f t="shared" si="8"/>
        <v>Lifestealer</v>
      </c>
      <c r="N59">
        <f t="array" aca="1" ref="N59" ca="1">SUM(IF(INDIRECT("output_parsed_hero!t1:t"&amp;$B$1)=$L$1,IF(INDIRECT("output_parsed_hero!u1:u"&amp;$B$1)="Radiant",IF(INDIRECT("output_parsed_hero!E1:I"&amp;$B$1)=$L59,1))))+SUM(IF(INDIRECT("output_parsed_hero!t1:t"&amp;$B$1)=$L$1,IF(INDIRECT("output_parsed_hero!u1:u"&amp;$B$1)="Dire",IF(INDIRECT("output_parsed_hero!j1:n"&amp;$B$1)=$L59,1))))</f>
        <v>0</v>
      </c>
      <c r="O59">
        <f t="array" aca="1" ref="O59" ca="1">SUM(IF(INDIRECT("output_parsed_hero!t1:t"&amp;$B$1)=$L$1,IF(INDIRECT("output_parsed_hero!u1:u"&amp;$B$1)="Radiant",IF(INDIRECT("output_parsed_hero!E1:I"&amp;$B$1)=$L59,IF(INDIRECT("output_parsed_hero!D1:D"&amp;$B$1)=TRUE,1)))))+SUM(IF(INDIRECT("output_parsed_hero!t1:t"&amp;$B$1)=$L$1,IF(INDIRECT("output_parsed_hero!u1:u"&amp;$B$1)="Dire",IF(INDIRECT("output_parsed_hero!j1:N"&amp;$B$1)=$L59,IF(INDIRECT("output_parsed_hero!D1:D"&amp;$B$1)=FALSE,1)))))</f>
        <v>0</v>
      </c>
      <c r="P59">
        <f t="shared" ca="1" si="9"/>
        <v>0</v>
      </c>
      <c r="Q59">
        <f t="array" aca="1" ref="Q59" ca="1">SUM(IF(INDIRECT("output_parsed_hero!t1:t"&amp;$B$1)=$L$1,IF(INDIRECT("output_parsed_hero!u1:u"&amp;$B$1)="Radiant",IF(INDIRECT("output_parsed_hero!j1:n"&amp;$B$1)=$L59,1))))+SUM(IF(INDIRECT("output_parsed_hero!t1:t"&amp;$B$1)=$L$1,IF(INDIRECT("output_parsed_hero!u1:u"&amp;$B$1)="Dire",IF(INDIRECT("output_parsed_hero!e1:i"&amp;$B$1)=$L59,1))))</f>
        <v>1</v>
      </c>
      <c r="R59">
        <f t="array" aca="1" ref="R59" ca="1">SUM(IF(INDIRECT("output_parsed_hero!t1:t"&amp;$B$1)=$L$1,IF(INDIRECT("output_parsed_hero!u1:u"&amp;$B$1)="Radiant",IF(INDIRECT("output_parsed_hero!j1:n"&amp;$B$1)=$L59,IF(INDIRECT("output_parsed_hero!D1:D"&amp;$B$1)=TRUE,1)))))+SUM(IF(INDIRECT("output_parsed_hero!t1:t"&amp;$B$1)=$L$1,IF(INDIRECT("output_parsed_hero!u1:u"&amp;$B$1)="Dire",IF(INDIRECT("output_parsed_hero!e1:i"&amp;$B$1)=$L59,IF(INDIRECT("output_parsed_hero!D1:D"&amp;$B$1)=FALSE,1)))))</f>
        <v>1</v>
      </c>
      <c r="S59">
        <f t="shared" ca="1" si="4"/>
        <v>1</v>
      </c>
      <c r="Z59" t="s">
        <v>491</v>
      </c>
    </row>
    <row r="60" spans="1:26" x14ac:dyDescent="0.3">
      <c r="A60">
        <f t="shared" si="7"/>
        <v>56</v>
      </c>
      <c r="B60" t="str">
        <f>VLOOKUP(A60,'hero names'!$S$7:$T$209,2,0)</f>
        <v>Clinkz</v>
      </c>
      <c r="C60">
        <f t="array" aca="1" ref="C60" ca="1">COUNT(IF(INDIRECT("output_parsed!E1:N"&amp;$B$1)='Analysis backend'!$A60,INDIRECT("output_parsed!E1:N"&amp;$B$1)))</f>
        <v>6</v>
      </c>
      <c r="D60">
        <f t="array" aca="1" ref="D60" ca="1">COUNT(IF(INDIRECT("output_parsed!o1:s"&amp;$B$1)='Analysis backend'!$A60,INDIRECT("output_parsed!o1:s"&amp;$B$1)))</f>
        <v>1</v>
      </c>
      <c r="E60">
        <f t="shared" ca="1" si="6"/>
        <v>7</v>
      </c>
      <c r="F60">
        <f t="array" aca="1" ref="F60" ca="1">COUNT(IF(INDIRECT("output_parsed!D1:D"&amp;$B$1)=TRUE,IF(INDIRECT("output_parsed!E1:I"&amp;$B$1)='Analysis backend'!$A60,INDIRECT("output_parsed!E1:I"&amp;$B$1))))+COUNT(IF(INDIRECT("output_parsed!D1:D"&amp;$B$1)=FALSE,IF(INDIRECT("output_parsed!J1:N"&amp;$B$1)='Analysis backend'!$A60,INDIRECT("output_parsed!J1:N"&amp;$B$1))))</f>
        <v>3</v>
      </c>
      <c r="L60">
        <f t="shared" si="10"/>
        <v>55</v>
      </c>
      <c r="M60" t="str">
        <f t="shared" si="8"/>
        <v>Dark Seer</v>
      </c>
      <c r="N60">
        <f t="array" aca="1" ref="N60" ca="1">SUM(IF(INDIRECT("output_parsed_hero!t1:t"&amp;$B$1)=$L$1,IF(INDIRECT("output_parsed_hero!u1:u"&amp;$B$1)="Radiant",IF(INDIRECT("output_parsed_hero!E1:I"&amp;$B$1)=$L60,1))))+SUM(IF(INDIRECT("output_parsed_hero!t1:t"&amp;$B$1)=$L$1,IF(INDIRECT("output_parsed_hero!u1:u"&amp;$B$1)="Dire",IF(INDIRECT("output_parsed_hero!j1:n"&amp;$B$1)=$L60,1))))</f>
        <v>5</v>
      </c>
      <c r="O60">
        <f t="array" aca="1" ref="O60" ca="1">SUM(IF(INDIRECT("output_parsed_hero!t1:t"&amp;$B$1)=$L$1,IF(INDIRECT("output_parsed_hero!u1:u"&amp;$B$1)="Radiant",IF(INDIRECT("output_parsed_hero!E1:I"&amp;$B$1)=$L60,IF(INDIRECT("output_parsed_hero!D1:D"&amp;$B$1)=TRUE,1)))))+SUM(IF(INDIRECT("output_parsed_hero!t1:t"&amp;$B$1)=$L$1,IF(INDIRECT("output_parsed_hero!u1:u"&amp;$B$1)="Dire",IF(INDIRECT("output_parsed_hero!j1:N"&amp;$B$1)=$L60,IF(INDIRECT("output_parsed_hero!D1:D"&amp;$B$1)=FALSE,1)))))</f>
        <v>3</v>
      </c>
      <c r="P60">
        <f t="shared" ca="1" si="9"/>
        <v>0.6</v>
      </c>
      <c r="Q60">
        <f t="array" aca="1" ref="Q60" ca="1">SUM(IF(INDIRECT("output_parsed_hero!t1:t"&amp;$B$1)=$L$1,IF(INDIRECT("output_parsed_hero!u1:u"&amp;$B$1)="Radiant",IF(INDIRECT("output_parsed_hero!j1:n"&amp;$B$1)=$L60,1))))+SUM(IF(INDIRECT("output_parsed_hero!t1:t"&amp;$B$1)=$L$1,IF(INDIRECT("output_parsed_hero!u1:u"&amp;$B$1)="Dire",IF(INDIRECT("output_parsed_hero!e1:i"&amp;$B$1)=$L60,1))))</f>
        <v>1</v>
      </c>
      <c r="R60">
        <f t="array" aca="1" ref="R60" ca="1">SUM(IF(INDIRECT("output_parsed_hero!t1:t"&amp;$B$1)=$L$1,IF(INDIRECT("output_parsed_hero!u1:u"&amp;$B$1)="Radiant",IF(INDIRECT("output_parsed_hero!j1:n"&amp;$B$1)=$L60,IF(INDIRECT("output_parsed_hero!D1:D"&amp;$B$1)=TRUE,1)))))+SUM(IF(INDIRECT("output_parsed_hero!t1:t"&amp;$B$1)=$L$1,IF(INDIRECT("output_parsed_hero!u1:u"&amp;$B$1)="Dire",IF(INDIRECT("output_parsed_hero!e1:i"&amp;$B$1)=$L60,IF(INDIRECT("output_parsed_hero!D1:D"&amp;$B$1)=FALSE,1)))))</f>
        <v>1</v>
      </c>
      <c r="S60">
        <f t="shared" ca="1" si="4"/>
        <v>1</v>
      </c>
      <c r="Z60" t="s">
        <v>479</v>
      </c>
    </row>
    <row r="61" spans="1:26" x14ac:dyDescent="0.3">
      <c r="A61">
        <f t="shared" si="7"/>
        <v>57</v>
      </c>
      <c r="B61" t="str">
        <f>VLOOKUP(A61,'hero names'!$S$7:$T$209,2,0)</f>
        <v>Omniknight</v>
      </c>
      <c r="C61">
        <f t="array" aca="1" ref="C61" ca="1">COUNT(IF(INDIRECT("output_parsed!E1:N"&amp;$B$1)='Analysis backend'!$A61,INDIRECT("output_parsed!E1:N"&amp;$B$1)))</f>
        <v>5</v>
      </c>
      <c r="D61">
        <f t="array" aca="1" ref="D61" ca="1">COUNT(IF(INDIRECT("output_parsed!o1:s"&amp;$B$1)='Analysis backend'!$A61,INDIRECT("output_parsed!o1:s"&amp;$B$1)))</f>
        <v>1</v>
      </c>
      <c r="E61">
        <f t="shared" ca="1" si="6"/>
        <v>6</v>
      </c>
      <c r="F61">
        <f t="array" aca="1" ref="F61" ca="1">COUNT(IF(INDIRECT("output_parsed!D1:D"&amp;$B$1)=TRUE,IF(INDIRECT("output_parsed!E1:I"&amp;$B$1)='Analysis backend'!$A61,INDIRECT("output_parsed!E1:I"&amp;$B$1))))+COUNT(IF(INDIRECT("output_parsed!D1:D"&amp;$B$1)=FALSE,IF(INDIRECT("output_parsed!J1:N"&amp;$B$1)='Analysis backend'!$A61,INDIRECT("output_parsed!J1:N"&amp;$B$1))))</f>
        <v>3</v>
      </c>
      <c r="L61">
        <f t="shared" si="10"/>
        <v>56</v>
      </c>
      <c r="M61" t="str">
        <f t="shared" si="8"/>
        <v>Clinkz</v>
      </c>
      <c r="N61">
        <f t="array" aca="1" ref="N61" ca="1">SUM(IF(INDIRECT("output_parsed_hero!t1:t"&amp;$B$1)=$L$1,IF(INDIRECT("output_parsed_hero!u1:u"&amp;$B$1)="Radiant",IF(INDIRECT("output_parsed_hero!E1:I"&amp;$B$1)=$L61,1))))+SUM(IF(INDIRECT("output_parsed_hero!t1:t"&amp;$B$1)=$L$1,IF(INDIRECT("output_parsed_hero!u1:u"&amp;$B$1)="Dire",IF(INDIRECT("output_parsed_hero!j1:n"&amp;$B$1)=$L61,1))))</f>
        <v>2</v>
      </c>
      <c r="O61">
        <f t="array" aca="1" ref="O61" ca="1">SUM(IF(INDIRECT("output_parsed_hero!t1:t"&amp;$B$1)=$L$1,IF(INDIRECT("output_parsed_hero!u1:u"&amp;$B$1)="Radiant",IF(INDIRECT("output_parsed_hero!E1:I"&amp;$B$1)=$L61,IF(INDIRECT("output_parsed_hero!D1:D"&amp;$B$1)=TRUE,1)))))+SUM(IF(INDIRECT("output_parsed_hero!t1:t"&amp;$B$1)=$L$1,IF(INDIRECT("output_parsed_hero!u1:u"&amp;$B$1)="Dire",IF(INDIRECT("output_parsed_hero!j1:N"&amp;$B$1)=$L61,IF(INDIRECT("output_parsed_hero!D1:D"&amp;$B$1)=FALSE,1)))))</f>
        <v>1</v>
      </c>
      <c r="P61">
        <f t="shared" ca="1" si="9"/>
        <v>0.5</v>
      </c>
      <c r="Q61">
        <f t="array" aca="1" ref="Q61" ca="1">SUM(IF(INDIRECT("output_parsed_hero!t1:t"&amp;$B$1)=$L$1,IF(INDIRECT("output_parsed_hero!u1:u"&amp;$B$1)="Radiant",IF(INDIRECT("output_parsed_hero!j1:n"&amp;$B$1)=$L61,1))))+SUM(IF(INDIRECT("output_parsed_hero!t1:t"&amp;$B$1)=$L$1,IF(INDIRECT("output_parsed_hero!u1:u"&amp;$B$1)="Dire",IF(INDIRECT("output_parsed_hero!e1:i"&amp;$B$1)=$L61,1))))</f>
        <v>2</v>
      </c>
      <c r="R61">
        <f t="array" aca="1" ref="R61" ca="1">SUM(IF(INDIRECT("output_parsed_hero!t1:t"&amp;$B$1)=$L$1,IF(INDIRECT("output_parsed_hero!u1:u"&amp;$B$1)="Radiant",IF(INDIRECT("output_parsed_hero!j1:n"&amp;$B$1)=$L61,IF(INDIRECT("output_parsed_hero!D1:D"&amp;$B$1)=TRUE,1)))))+SUM(IF(INDIRECT("output_parsed_hero!t1:t"&amp;$B$1)=$L$1,IF(INDIRECT("output_parsed_hero!u1:u"&amp;$B$1)="Dire",IF(INDIRECT("output_parsed_hero!e1:i"&amp;$B$1)=$L61,IF(INDIRECT("output_parsed_hero!D1:D"&amp;$B$1)=FALSE,1)))))</f>
        <v>2</v>
      </c>
      <c r="S61">
        <f t="shared" ca="1" si="4"/>
        <v>1</v>
      </c>
      <c r="Z61" t="s">
        <v>407</v>
      </c>
    </row>
    <row r="62" spans="1:26" x14ac:dyDescent="0.3">
      <c r="A62">
        <f t="shared" si="7"/>
        <v>58</v>
      </c>
      <c r="B62" t="str">
        <f>VLOOKUP(A62,'hero names'!$S$7:$T$209,2,0)</f>
        <v>Enchantress</v>
      </c>
      <c r="C62">
        <f t="array" aca="1" ref="C62" ca="1">COUNT(IF(INDIRECT("output_parsed!E1:N"&amp;$B$1)='Analysis backend'!$A62,INDIRECT("output_parsed!E1:N"&amp;$B$1)))</f>
        <v>0</v>
      </c>
      <c r="D62">
        <f t="array" aca="1" ref="D62" ca="1">COUNT(IF(INDIRECT("output_parsed!o1:s"&amp;$B$1)='Analysis backend'!$A62,INDIRECT("output_parsed!o1:s"&amp;$B$1)))</f>
        <v>0</v>
      </c>
      <c r="E62">
        <f t="shared" ca="1" si="6"/>
        <v>0</v>
      </c>
      <c r="F62">
        <f t="array" aca="1" ref="F62" ca="1">COUNT(IF(INDIRECT("output_parsed!D1:D"&amp;$B$1)=TRUE,IF(INDIRECT("output_parsed!E1:I"&amp;$B$1)='Analysis backend'!$A62,INDIRECT("output_parsed!E1:I"&amp;$B$1))))+COUNT(IF(INDIRECT("output_parsed!D1:D"&amp;$B$1)=FALSE,IF(INDIRECT("output_parsed!J1:N"&amp;$B$1)='Analysis backend'!$A62,INDIRECT("output_parsed!J1:N"&amp;$B$1))))</f>
        <v>0</v>
      </c>
      <c r="L62">
        <f t="shared" si="10"/>
        <v>57</v>
      </c>
      <c r="M62" t="str">
        <f t="shared" si="8"/>
        <v>Omniknight</v>
      </c>
      <c r="N62">
        <f t="array" aca="1" ref="N62" ca="1">SUM(IF(INDIRECT("output_parsed_hero!t1:t"&amp;$B$1)=$L$1,IF(INDIRECT("output_parsed_hero!u1:u"&amp;$B$1)="Radiant",IF(INDIRECT("output_parsed_hero!E1:I"&amp;$B$1)=$L62,1))))+SUM(IF(INDIRECT("output_parsed_hero!t1:t"&amp;$B$1)=$L$1,IF(INDIRECT("output_parsed_hero!u1:u"&amp;$B$1)="Dire",IF(INDIRECT("output_parsed_hero!j1:n"&amp;$B$1)=$L62,1))))</f>
        <v>3</v>
      </c>
      <c r="O62">
        <f t="array" aca="1" ref="O62" ca="1">SUM(IF(INDIRECT("output_parsed_hero!t1:t"&amp;$B$1)=$L$1,IF(INDIRECT("output_parsed_hero!u1:u"&amp;$B$1)="Radiant",IF(INDIRECT("output_parsed_hero!E1:I"&amp;$B$1)=$L62,IF(INDIRECT("output_parsed_hero!D1:D"&amp;$B$1)=TRUE,1)))))+SUM(IF(INDIRECT("output_parsed_hero!t1:t"&amp;$B$1)=$L$1,IF(INDIRECT("output_parsed_hero!u1:u"&amp;$B$1)="Dire",IF(INDIRECT("output_parsed_hero!j1:N"&amp;$B$1)=$L62,IF(INDIRECT("output_parsed_hero!D1:D"&amp;$B$1)=FALSE,1)))))</f>
        <v>1</v>
      </c>
      <c r="P62">
        <f t="shared" ca="1" si="9"/>
        <v>0.33333333333333331</v>
      </c>
      <c r="Q62">
        <f t="array" aca="1" ref="Q62" ca="1">SUM(IF(INDIRECT("output_parsed_hero!t1:t"&amp;$B$1)=$L$1,IF(INDIRECT("output_parsed_hero!u1:u"&amp;$B$1)="Radiant",IF(INDIRECT("output_parsed_hero!j1:n"&amp;$B$1)=$L62,1))))+SUM(IF(INDIRECT("output_parsed_hero!t1:t"&amp;$B$1)=$L$1,IF(INDIRECT("output_parsed_hero!u1:u"&amp;$B$1)="Dire",IF(INDIRECT("output_parsed_hero!e1:i"&amp;$B$1)=$L62,1))))</f>
        <v>0</v>
      </c>
      <c r="R62">
        <f t="array" aca="1" ref="R62" ca="1">SUM(IF(INDIRECT("output_parsed_hero!t1:t"&amp;$B$1)=$L$1,IF(INDIRECT("output_parsed_hero!u1:u"&amp;$B$1)="Radiant",IF(INDIRECT("output_parsed_hero!j1:n"&amp;$B$1)=$L62,IF(INDIRECT("output_parsed_hero!D1:D"&amp;$B$1)=TRUE,1)))))+SUM(IF(INDIRECT("output_parsed_hero!t1:t"&amp;$B$1)=$L$1,IF(INDIRECT("output_parsed_hero!u1:u"&amp;$B$1)="Dire",IF(INDIRECT("output_parsed_hero!e1:i"&amp;$B$1)=$L62,IF(INDIRECT("output_parsed_hero!D1:D"&amp;$B$1)=FALSE,1)))))</f>
        <v>0</v>
      </c>
      <c r="S62">
        <f t="shared" ca="1" si="4"/>
        <v>0</v>
      </c>
      <c r="Z62" t="s">
        <v>511</v>
      </c>
    </row>
    <row r="63" spans="1:26" x14ac:dyDescent="0.3">
      <c r="A63">
        <f t="shared" si="7"/>
        <v>59</v>
      </c>
      <c r="B63" t="str">
        <f>VLOOKUP(A63,'hero names'!$S$7:$T$209,2,0)</f>
        <v>Huskar</v>
      </c>
      <c r="C63">
        <f t="array" aca="1" ref="C63" ca="1">COUNT(IF(INDIRECT("output_parsed!E1:N"&amp;$B$1)='Analysis backend'!$A63,INDIRECT("output_parsed!E1:N"&amp;$B$1)))</f>
        <v>18</v>
      </c>
      <c r="D63">
        <f t="array" aca="1" ref="D63" ca="1">COUNT(IF(INDIRECT("output_parsed!o1:s"&amp;$B$1)='Analysis backend'!$A63,INDIRECT("output_parsed!o1:s"&amp;$B$1)))</f>
        <v>13</v>
      </c>
      <c r="E63">
        <f t="shared" ca="1" si="6"/>
        <v>31</v>
      </c>
      <c r="F63">
        <f t="array" aca="1" ref="F63" ca="1">COUNT(IF(INDIRECT("output_parsed!D1:D"&amp;$B$1)=TRUE,IF(INDIRECT("output_parsed!E1:I"&amp;$B$1)='Analysis backend'!$A63,INDIRECT("output_parsed!E1:I"&amp;$B$1))))+COUNT(IF(INDIRECT("output_parsed!D1:D"&amp;$B$1)=FALSE,IF(INDIRECT("output_parsed!J1:N"&amp;$B$1)='Analysis backend'!$A63,INDIRECT("output_parsed!J1:N"&amp;$B$1))))</f>
        <v>9</v>
      </c>
      <c r="L63">
        <f t="shared" si="10"/>
        <v>58</v>
      </c>
      <c r="M63" t="str">
        <f t="shared" si="8"/>
        <v>Enchantress</v>
      </c>
      <c r="N63">
        <f t="array" aca="1" ref="N63" ca="1">SUM(IF(INDIRECT("output_parsed_hero!t1:t"&amp;$B$1)=$L$1,IF(INDIRECT("output_parsed_hero!u1:u"&amp;$B$1)="Radiant",IF(INDIRECT("output_parsed_hero!E1:I"&amp;$B$1)=$L63,1))))+SUM(IF(INDIRECT("output_parsed_hero!t1:t"&amp;$B$1)=$L$1,IF(INDIRECT("output_parsed_hero!u1:u"&amp;$B$1)="Dire",IF(INDIRECT("output_parsed_hero!j1:n"&amp;$B$1)=$L63,1))))</f>
        <v>0</v>
      </c>
      <c r="O63">
        <f t="array" aca="1" ref="O63" ca="1">SUM(IF(INDIRECT("output_parsed_hero!t1:t"&amp;$B$1)=$L$1,IF(INDIRECT("output_parsed_hero!u1:u"&amp;$B$1)="Radiant",IF(INDIRECT("output_parsed_hero!E1:I"&amp;$B$1)=$L63,IF(INDIRECT("output_parsed_hero!D1:D"&amp;$B$1)=TRUE,1)))))+SUM(IF(INDIRECT("output_parsed_hero!t1:t"&amp;$B$1)=$L$1,IF(INDIRECT("output_parsed_hero!u1:u"&amp;$B$1)="Dire",IF(INDIRECT("output_parsed_hero!j1:N"&amp;$B$1)=$L63,IF(INDIRECT("output_parsed_hero!D1:D"&amp;$B$1)=FALSE,1)))))</f>
        <v>0</v>
      </c>
      <c r="P63">
        <f t="shared" ca="1" si="9"/>
        <v>0</v>
      </c>
      <c r="Q63">
        <f t="array" aca="1" ref="Q63" ca="1">SUM(IF(INDIRECT("output_parsed_hero!t1:t"&amp;$B$1)=$L$1,IF(INDIRECT("output_parsed_hero!u1:u"&amp;$B$1)="Radiant",IF(INDIRECT("output_parsed_hero!j1:n"&amp;$B$1)=$L63,1))))+SUM(IF(INDIRECT("output_parsed_hero!t1:t"&amp;$B$1)=$L$1,IF(INDIRECT("output_parsed_hero!u1:u"&amp;$B$1)="Dire",IF(INDIRECT("output_parsed_hero!e1:i"&amp;$B$1)=$L63,1))))</f>
        <v>0</v>
      </c>
      <c r="R63">
        <f t="array" aca="1" ref="R63" ca="1">SUM(IF(INDIRECT("output_parsed_hero!t1:t"&amp;$B$1)=$L$1,IF(INDIRECT("output_parsed_hero!u1:u"&amp;$B$1)="Radiant",IF(INDIRECT("output_parsed_hero!j1:n"&amp;$B$1)=$L63,IF(INDIRECT("output_parsed_hero!D1:D"&amp;$B$1)=TRUE,1)))))+SUM(IF(INDIRECT("output_parsed_hero!t1:t"&amp;$B$1)=$L$1,IF(INDIRECT("output_parsed_hero!u1:u"&amp;$B$1)="Dire",IF(INDIRECT("output_parsed_hero!e1:i"&amp;$B$1)=$L63,IF(INDIRECT("output_parsed_hero!D1:D"&amp;$B$1)=FALSE,1)))))</f>
        <v>0</v>
      </c>
      <c r="S63">
        <f t="shared" ca="1" si="4"/>
        <v>0</v>
      </c>
      <c r="Z63" t="s">
        <v>408</v>
      </c>
    </row>
    <row r="64" spans="1:26" x14ac:dyDescent="0.3">
      <c r="A64">
        <f t="shared" si="7"/>
        <v>60</v>
      </c>
      <c r="B64" t="str">
        <f>VLOOKUP(A64,'hero names'!$S$7:$T$209,2,0)</f>
        <v>Night Stalker</v>
      </c>
      <c r="C64">
        <f t="array" aca="1" ref="C64" ca="1">COUNT(IF(INDIRECT("output_parsed!E1:N"&amp;$B$1)='Analysis backend'!$A64,INDIRECT("output_parsed!E1:N"&amp;$B$1)))</f>
        <v>3</v>
      </c>
      <c r="D64">
        <f t="array" aca="1" ref="D64" ca="1">COUNT(IF(INDIRECT("output_parsed!o1:s"&amp;$B$1)='Analysis backend'!$A64,INDIRECT("output_parsed!o1:s"&amp;$B$1)))</f>
        <v>0</v>
      </c>
      <c r="E64">
        <f t="shared" ca="1" si="6"/>
        <v>3</v>
      </c>
      <c r="F64">
        <f t="array" aca="1" ref="F64" ca="1">COUNT(IF(INDIRECT("output_parsed!D1:D"&amp;$B$1)=TRUE,IF(INDIRECT("output_parsed!E1:I"&amp;$B$1)='Analysis backend'!$A64,INDIRECT("output_parsed!E1:I"&amp;$B$1))))+COUNT(IF(INDIRECT("output_parsed!D1:D"&amp;$B$1)=FALSE,IF(INDIRECT("output_parsed!J1:N"&amp;$B$1)='Analysis backend'!$A64,INDIRECT("output_parsed!J1:N"&amp;$B$1))))</f>
        <v>1</v>
      </c>
      <c r="L64">
        <f t="shared" si="10"/>
        <v>59</v>
      </c>
      <c r="M64" t="str">
        <f t="shared" si="8"/>
        <v>Huskar</v>
      </c>
      <c r="N64">
        <f t="array" aca="1" ref="N64" ca="1">SUM(IF(INDIRECT("output_parsed_hero!t1:t"&amp;$B$1)=$L$1,IF(INDIRECT("output_parsed_hero!u1:u"&amp;$B$1)="Radiant",IF(INDIRECT("output_parsed_hero!E1:I"&amp;$B$1)=$L64,1))))+SUM(IF(INDIRECT("output_parsed_hero!t1:t"&amp;$B$1)=$L$1,IF(INDIRECT("output_parsed_hero!u1:u"&amp;$B$1)="Dire",IF(INDIRECT("output_parsed_hero!j1:n"&amp;$B$1)=$L64,1))))</f>
        <v>3</v>
      </c>
      <c r="O64">
        <f t="array" aca="1" ref="O64" ca="1">SUM(IF(INDIRECT("output_parsed_hero!t1:t"&amp;$B$1)=$L$1,IF(INDIRECT("output_parsed_hero!u1:u"&amp;$B$1)="Radiant",IF(INDIRECT("output_parsed_hero!E1:I"&amp;$B$1)=$L64,IF(INDIRECT("output_parsed_hero!D1:D"&amp;$B$1)=TRUE,1)))))+SUM(IF(INDIRECT("output_parsed_hero!t1:t"&amp;$B$1)=$L$1,IF(INDIRECT("output_parsed_hero!u1:u"&amp;$B$1)="Dire",IF(INDIRECT("output_parsed_hero!j1:N"&amp;$B$1)=$L64,IF(INDIRECT("output_parsed_hero!D1:D"&amp;$B$1)=FALSE,1)))))</f>
        <v>3</v>
      </c>
      <c r="P64">
        <f t="shared" ca="1" si="9"/>
        <v>1</v>
      </c>
      <c r="Q64">
        <f t="array" aca="1" ref="Q64" ca="1">SUM(IF(INDIRECT("output_parsed_hero!t1:t"&amp;$B$1)=$L$1,IF(INDIRECT("output_parsed_hero!u1:u"&amp;$B$1)="Radiant",IF(INDIRECT("output_parsed_hero!j1:n"&amp;$B$1)=$L64,1))))+SUM(IF(INDIRECT("output_parsed_hero!t1:t"&amp;$B$1)=$L$1,IF(INDIRECT("output_parsed_hero!u1:u"&amp;$B$1)="Dire",IF(INDIRECT("output_parsed_hero!e1:i"&amp;$B$1)=$L64,1))))</f>
        <v>3</v>
      </c>
      <c r="R64">
        <f t="array" aca="1" ref="R64" ca="1">SUM(IF(INDIRECT("output_parsed_hero!t1:t"&amp;$B$1)=$L$1,IF(INDIRECT("output_parsed_hero!u1:u"&amp;$B$1)="Radiant",IF(INDIRECT("output_parsed_hero!j1:n"&amp;$B$1)=$L64,IF(INDIRECT("output_parsed_hero!D1:D"&amp;$B$1)=TRUE,1)))))+SUM(IF(INDIRECT("output_parsed_hero!t1:t"&amp;$B$1)=$L$1,IF(INDIRECT("output_parsed_hero!u1:u"&amp;$B$1)="Dire",IF(INDIRECT("output_parsed_hero!e1:i"&amp;$B$1)=$L64,IF(INDIRECT("output_parsed_hero!D1:D"&amp;$B$1)=FALSE,1)))))</f>
        <v>1</v>
      </c>
      <c r="S64">
        <f t="shared" ca="1" si="4"/>
        <v>0.33333333333333331</v>
      </c>
      <c r="Z64" t="s">
        <v>486</v>
      </c>
    </row>
    <row r="65" spans="1:26" x14ac:dyDescent="0.3">
      <c r="A65">
        <f t="shared" si="7"/>
        <v>61</v>
      </c>
      <c r="B65" t="str">
        <f>VLOOKUP(A65,'hero names'!$S$7:$T$209,2,0)</f>
        <v>Broodmother</v>
      </c>
      <c r="C65">
        <f t="array" aca="1" ref="C65" ca="1">COUNT(IF(INDIRECT("output_parsed!E1:N"&amp;$B$1)='Analysis backend'!$A65,INDIRECT("output_parsed!E1:N"&amp;$B$1)))</f>
        <v>5</v>
      </c>
      <c r="D65">
        <f t="array" aca="1" ref="D65" ca="1">COUNT(IF(INDIRECT("output_parsed!o1:s"&amp;$B$1)='Analysis backend'!$A65,INDIRECT("output_parsed!o1:s"&amp;$B$1)))</f>
        <v>14</v>
      </c>
      <c r="E65">
        <f t="shared" ca="1" si="6"/>
        <v>19</v>
      </c>
      <c r="F65">
        <f t="array" aca="1" ref="F65" ca="1">COUNT(IF(INDIRECT("output_parsed!D1:D"&amp;$B$1)=TRUE,IF(INDIRECT("output_parsed!E1:I"&amp;$B$1)='Analysis backend'!$A65,INDIRECT("output_parsed!E1:I"&amp;$B$1))))+COUNT(IF(INDIRECT("output_parsed!D1:D"&amp;$B$1)=FALSE,IF(INDIRECT("output_parsed!J1:N"&amp;$B$1)='Analysis backend'!$A65,INDIRECT("output_parsed!J1:N"&amp;$B$1))))</f>
        <v>2</v>
      </c>
      <c r="L65">
        <f t="shared" si="10"/>
        <v>60</v>
      </c>
      <c r="M65" t="str">
        <f t="shared" si="8"/>
        <v>Night Stalker</v>
      </c>
      <c r="N65">
        <f t="array" aca="1" ref="N65" ca="1">SUM(IF(INDIRECT("output_parsed_hero!t1:t"&amp;$B$1)=$L$1,IF(INDIRECT("output_parsed_hero!u1:u"&amp;$B$1)="Radiant",IF(INDIRECT("output_parsed_hero!E1:I"&amp;$B$1)=$L65,1))))+SUM(IF(INDIRECT("output_parsed_hero!t1:t"&amp;$B$1)=$L$1,IF(INDIRECT("output_parsed_hero!u1:u"&amp;$B$1)="Dire",IF(INDIRECT("output_parsed_hero!j1:n"&amp;$B$1)=$L65,1))))</f>
        <v>0</v>
      </c>
      <c r="O65">
        <f t="array" aca="1" ref="O65" ca="1">SUM(IF(INDIRECT("output_parsed_hero!t1:t"&amp;$B$1)=$L$1,IF(INDIRECT("output_parsed_hero!u1:u"&amp;$B$1)="Radiant",IF(INDIRECT("output_parsed_hero!E1:I"&amp;$B$1)=$L65,IF(INDIRECT("output_parsed_hero!D1:D"&amp;$B$1)=TRUE,1)))))+SUM(IF(INDIRECT("output_parsed_hero!t1:t"&amp;$B$1)=$L$1,IF(INDIRECT("output_parsed_hero!u1:u"&amp;$B$1)="Dire",IF(INDIRECT("output_parsed_hero!j1:N"&amp;$B$1)=$L65,IF(INDIRECT("output_parsed_hero!D1:D"&amp;$B$1)=FALSE,1)))))</f>
        <v>0</v>
      </c>
      <c r="P65">
        <f t="shared" ca="1" si="9"/>
        <v>0</v>
      </c>
      <c r="Q65">
        <f t="array" aca="1" ref="Q65" ca="1">SUM(IF(INDIRECT("output_parsed_hero!t1:t"&amp;$B$1)=$L$1,IF(INDIRECT("output_parsed_hero!u1:u"&amp;$B$1)="Radiant",IF(INDIRECT("output_parsed_hero!j1:n"&amp;$B$1)=$L65,1))))+SUM(IF(INDIRECT("output_parsed_hero!t1:t"&amp;$B$1)=$L$1,IF(INDIRECT("output_parsed_hero!u1:u"&amp;$B$1)="Dire",IF(INDIRECT("output_parsed_hero!e1:i"&amp;$B$1)=$L65,1))))</f>
        <v>1</v>
      </c>
      <c r="R65">
        <f t="array" aca="1" ref="R65" ca="1">SUM(IF(INDIRECT("output_parsed_hero!t1:t"&amp;$B$1)=$L$1,IF(INDIRECT("output_parsed_hero!u1:u"&amp;$B$1)="Radiant",IF(INDIRECT("output_parsed_hero!j1:n"&amp;$B$1)=$L65,IF(INDIRECT("output_parsed_hero!D1:D"&amp;$B$1)=TRUE,1)))))+SUM(IF(INDIRECT("output_parsed_hero!t1:t"&amp;$B$1)=$L$1,IF(INDIRECT("output_parsed_hero!u1:u"&amp;$B$1)="Dire",IF(INDIRECT("output_parsed_hero!e1:i"&amp;$B$1)=$L65,IF(INDIRECT("output_parsed_hero!D1:D"&amp;$B$1)=FALSE,1)))))</f>
        <v>0</v>
      </c>
      <c r="S65">
        <f t="shared" ca="1" si="4"/>
        <v>0</v>
      </c>
      <c r="Z65" t="s">
        <v>450</v>
      </c>
    </row>
    <row r="66" spans="1:26" x14ac:dyDescent="0.3">
      <c r="A66">
        <f t="shared" si="7"/>
        <v>62</v>
      </c>
      <c r="B66" t="str">
        <f>VLOOKUP(A66,'hero names'!$S$7:$T$209,2,0)</f>
        <v>Bounty Hunter</v>
      </c>
      <c r="C66">
        <f t="array" aca="1" ref="C66" ca="1">COUNT(IF(INDIRECT("output_parsed!E1:N"&amp;$B$1)='Analysis backend'!$A66,INDIRECT("output_parsed!E1:N"&amp;$B$1)))</f>
        <v>23</v>
      </c>
      <c r="D66">
        <f t="array" aca="1" ref="D66" ca="1">COUNT(IF(INDIRECT("output_parsed!o1:s"&amp;$B$1)='Analysis backend'!$A66,INDIRECT("output_parsed!o1:s"&amp;$B$1)))</f>
        <v>4</v>
      </c>
      <c r="E66">
        <f t="shared" ca="1" si="6"/>
        <v>27</v>
      </c>
      <c r="F66">
        <f t="array" aca="1" ref="F66" ca="1">COUNT(IF(INDIRECT("output_parsed!D1:D"&amp;$B$1)=TRUE,IF(INDIRECT("output_parsed!E1:I"&amp;$B$1)='Analysis backend'!$A66,INDIRECT("output_parsed!E1:I"&amp;$B$1))))+COUNT(IF(INDIRECT("output_parsed!D1:D"&amp;$B$1)=FALSE,IF(INDIRECT("output_parsed!J1:N"&amp;$B$1)='Analysis backend'!$A66,INDIRECT("output_parsed!J1:N"&amp;$B$1))))</f>
        <v>15</v>
      </c>
      <c r="L66">
        <f t="shared" si="10"/>
        <v>61</v>
      </c>
      <c r="M66" t="str">
        <f t="shared" si="8"/>
        <v>Broodmother</v>
      </c>
      <c r="N66">
        <f t="array" aca="1" ref="N66" ca="1">SUM(IF(INDIRECT("output_parsed_hero!t1:t"&amp;$B$1)=$L$1,IF(INDIRECT("output_parsed_hero!u1:u"&amp;$B$1)="Radiant",IF(INDIRECT("output_parsed_hero!E1:I"&amp;$B$1)=$L66,1))))+SUM(IF(INDIRECT("output_parsed_hero!t1:t"&amp;$B$1)=$L$1,IF(INDIRECT("output_parsed_hero!u1:u"&amp;$B$1)="Dire",IF(INDIRECT("output_parsed_hero!j1:n"&amp;$B$1)=$L66,1))))</f>
        <v>0</v>
      </c>
      <c r="O66">
        <f t="array" aca="1" ref="O66" ca="1">SUM(IF(INDIRECT("output_parsed_hero!t1:t"&amp;$B$1)=$L$1,IF(INDIRECT("output_parsed_hero!u1:u"&amp;$B$1)="Radiant",IF(INDIRECT("output_parsed_hero!E1:I"&amp;$B$1)=$L66,IF(INDIRECT("output_parsed_hero!D1:D"&amp;$B$1)=TRUE,1)))))+SUM(IF(INDIRECT("output_parsed_hero!t1:t"&amp;$B$1)=$L$1,IF(INDIRECT("output_parsed_hero!u1:u"&amp;$B$1)="Dire",IF(INDIRECT("output_parsed_hero!j1:N"&amp;$B$1)=$L66,IF(INDIRECT("output_parsed_hero!D1:D"&amp;$B$1)=FALSE,1)))))</f>
        <v>0</v>
      </c>
      <c r="P66">
        <f t="shared" ca="1" si="9"/>
        <v>0</v>
      </c>
      <c r="Q66">
        <f t="array" aca="1" ref="Q66" ca="1">SUM(IF(INDIRECT("output_parsed_hero!t1:t"&amp;$B$1)=$L$1,IF(INDIRECT("output_parsed_hero!u1:u"&amp;$B$1)="Radiant",IF(INDIRECT("output_parsed_hero!j1:n"&amp;$B$1)=$L66,1))))+SUM(IF(INDIRECT("output_parsed_hero!t1:t"&amp;$B$1)=$L$1,IF(INDIRECT("output_parsed_hero!u1:u"&amp;$B$1)="Dire",IF(INDIRECT("output_parsed_hero!e1:i"&amp;$B$1)=$L66,1))))</f>
        <v>2</v>
      </c>
      <c r="R66">
        <f t="array" aca="1" ref="R66" ca="1">SUM(IF(INDIRECT("output_parsed_hero!t1:t"&amp;$B$1)=$L$1,IF(INDIRECT("output_parsed_hero!u1:u"&amp;$B$1)="Radiant",IF(INDIRECT("output_parsed_hero!j1:n"&amp;$B$1)=$L66,IF(INDIRECT("output_parsed_hero!D1:D"&amp;$B$1)=TRUE,1)))))+SUM(IF(INDIRECT("output_parsed_hero!t1:t"&amp;$B$1)=$L$1,IF(INDIRECT("output_parsed_hero!u1:u"&amp;$B$1)="Dire",IF(INDIRECT("output_parsed_hero!e1:i"&amp;$B$1)=$L66,IF(INDIRECT("output_parsed_hero!D1:D"&amp;$B$1)=FALSE,1)))))</f>
        <v>1</v>
      </c>
      <c r="S66">
        <f t="shared" ca="1" si="4"/>
        <v>0.5</v>
      </c>
      <c r="Z66" t="s">
        <v>433</v>
      </c>
    </row>
    <row r="67" spans="1:26" x14ac:dyDescent="0.3">
      <c r="A67">
        <f t="shared" si="7"/>
        <v>63</v>
      </c>
      <c r="B67" t="str">
        <f>VLOOKUP(A67,'hero names'!$S$7:$T$209,2,0)</f>
        <v>Weaver</v>
      </c>
      <c r="C67">
        <f t="array" aca="1" ref="C67" ca="1">COUNT(IF(INDIRECT("output_parsed!E1:N"&amp;$B$1)='Analysis backend'!$A67,INDIRECT("output_parsed!E1:N"&amp;$B$1)))</f>
        <v>7</v>
      </c>
      <c r="D67">
        <f t="array" aca="1" ref="D67" ca="1">COUNT(IF(INDIRECT("output_parsed!o1:s"&amp;$B$1)='Analysis backend'!$A67,INDIRECT("output_parsed!o1:s"&amp;$B$1)))</f>
        <v>0</v>
      </c>
      <c r="E67">
        <f t="shared" ca="1" si="6"/>
        <v>7</v>
      </c>
      <c r="F67">
        <f t="array" aca="1" ref="F67" ca="1">COUNT(IF(INDIRECT("output_parsed!D1:D"&amp;$B$1)=TRUE,IF(INDIRECT("output_parsed!E1:I"&amp;$B$1)='Analysis backend'!$A67,INDIRECT("output_parsed!E1:I"&amp;$B$1))))+COUNT(IF(INDIRECT("output_parsed!D1:D"&amp;$B$1)=FALSE,IF(INDIRECT("output_parsed!J1:N"&amp;$B$1)='Analysis backend'!$A67,INDIRECT("output_parsed!J1:N"&amp;$B$1))))</f>
        <v>1</v>
      </c>
      <c r="L67">
        <f t="shared" si="10"/>
        <v>62</v>
      </c>
      <c r="M67" t="str">
        <f t="shared" si="8"/>
        <v>Bounty Hunter</v>
      </c>
      <c r="N67">
        <f t="array" aca="1" ref="N67" ca="1">SUM(IF(INDIRECT("output_parsed_hero!t1:t"&amp;$B$1)=$L$1,IF(INDIRECT("output_parsed_hero!u1:u"&amp;$B$1)="Radiant",IF(INDIRECT("output_parsed_hero!E1:I"&amp;$B$1)=$L67,1))))+SUM(IF(INDIRECT("output_parsed_hero!t1:t"&amp;$B$1)=$L$1,IF(INDIRECT("output_parsed_hero!u1:u"&amp;$B$1)="Dire",IF(INDIRECT("output_parsed_hero!j1:n"&amp;$B$1)=$L67,1))))</f>
        <v>4</v>
      </c>
      <c r="O67">
        <f t="array" aca="1" ref="O67" ca="1">SUM(IF(INDIRECT("output_parsed_hero!t1:t"&amp;$B$1)=$L$1,IF(INDIRECT("output_parsed_hero!u1:u"&amp;$B$1)="Radiant",IF(INDIRECT("output_parsed_hero!E1:I"&amp;$B$1)=$L67,IF(INDIRECT("output_parsed_hero!D1:D"&amp;$B$1)=TRUE,1)))))+SUM(IF(INDIRECT("output_parsed_hero!t1:t"&amp;$B$1)=$L$1,IF(INDIRECT("output_parsed_hero!u1:u"&amp;$B$1)="Dire",IF(INDIRECT("output_parsed_hero!j1:N"&amp;$B$1)=$L67,IF(INDIRECT("output_parsed_hero!D1:D"&amp;$B$1)=FALSE,1)))))</f>
        <v>3</v>
      </c>
      <c r="P67">
        <f t="shared" ca="1" si="9"/>
        <v>0.75</v>
      </c>
      <c r="Q67">
        <f t="array" aca="1" ref="Q67" ca="1">SUM(IF(INDIRECT("output_parsed_hero!t1:t"&amp;$B$1)=$L$1,IF(INDIRECT("output_parsed_hero!u1:u"&amp;$B$1)="Radiant",IF(INDIRECT("output_parsed_hero!j1:n"&amp;$B$1)=$L67,1))))+SUM(IF(INDIRECT("output_parsed_hero!t1:t"&amp;$B$1)=$L$1,IF(INDIRECT("output_parsed_hero!u1:u"&amp;$B$1)="Dire",IF(INDIRECT("output_parsed_hero!e1:i"&amp;$B$1)=$L67,1))))</f>
        <v>6</v>
      </c>
      <c r="R67">
        <f t="array" aca="1" ref="R67" ca="1">SUM(IF(INDIRECT("output_parsed_hero!t1:t"&amp;$B$1)=$L$1,IF(INDIRECT("output_parsed_hero!u1:u"&amp;$B$1)="Radiant",IF(INDIRECT("output_parsed_hero!j1:n"&amp;$B$1)=$L67,IF(INDIRECT("output_parsed_hero!D1:D"&amp;$B$1)=TRUE,1)))))+SUM(IF(INDIRECT("output_parsed_hero!t1:t"&amp;$B$1)=$L$1,IF(INDIRECT("output_parsed_hero!u1:u"&amp;$B$1)="Dire",IF(INDIRECT("output_parsed_hero!e1:i"&amp;$B$1)=$L67,IF(INDIRECT("output_parsed_hero!D1:D"&amp;$B$1)=FALSE,1)))))</f>
        <v>2</v>
      </c>
      <c r="S67">
        <f t="shared" ca="1" si="4"/>
        <v>0.33333333333333331</v>
      </c>
      <c r="Z67" t="s">
        <v>457</v>
      </c>
    </row>
    <row r="68" spans="1:26" x14ac:dyDescent="0.3">
      <c r="A68">
        <f t="shared" si="7"/>
        <v>64</v>
      </c>
      <c r="B68" t="str">
        <f>VLOOKUP(A68,'hero names'!$S$7:$T$209,2,0)</f>
        <v>Jakiro</v>
      </c>
      <c r="C68">
        <f t="array" aca="1" ref="C68" ca="1">COUNT(IF(INDIRECT("output_parsed!E1:N"&amp;$B$1)='Analysis backend'!$A68,INDIRECT("output_parsed!E1:N"&amp;$B$1)))</f>
        <v>13</v>
      </c>
      <c r="D68">
        <f t="array" aca="1" ref="D68" ca="1">COUNT(IF(INDIRECT("output_parsed!o1:s"&amp;$B$1)='Analysis backend'!$A68,INDIRECT("output_parsed!o1:s"&amp;$B$1)))</f>
        <v>2</v>
      </c>
      <c r="E68">
        <f t="shared" ca="1" si="6"/>
        <v>15</v>
      </c>
      <c r="F68">
        <f t="array" aca="1" ref="F68" ca="1">COUNT(IF(INDIRECT("output_parsed!D1:D"&amp;$B$1)=TRUE,IF(INDIRECT("output_parsed!E1:I"&amp;$B$1)='Analysis backend'!$A68,INDIRECT("output_parsed!E1:I"&amp;$B$1))))+COUNT(IF(INDIRECT("output_parsed!D1:D"&amp;$B$1)=FALSE,IF(INDIRECT("output_parsed!J1:N"&amp;$B$1)='Analysis backend'!$A68,INDIRECT("output_parsed!J1:N"&amp;$B$1))))</f>
        <v>9</v>
      </c>
      <c r="L68">
        <f t="shared" si="10"/>
        <v>63</v>
      </c>
      <c r="M68" t="str">
        <f t="shared" si="8"/>
        <v>Weaver</v>
      </c>
      <c r="N68">
        <f t="array" aca="1" ref="N68" ca="1">SUM(IF(INDIRECT("output_parsed_hero!t1:t"&amp;$B$1)=$L$1,IF(INDIRECT("output_parsed_hero!u1:u"&amp;$B$1)="Radiant",IF(INDIRECT("output_parsed_hero!E1:I"&amp;$B$1)=$L68,1))))+SUM(IF(INDIRECT("output_parsed_hero!t1:t"&amp;$B$1)=$L$1,IF(INDIRECT("output_parsed_hero!u1:u"&amp;$B$1)="Dire",IF(INDIRECT("output_parsed_hero!j1:n"&amp;$B$1)=$L68,1))))</f>
        <v>0</v>
      </c>
      <c r="O68">
        <f t="array" aca="1" ref="O68" ca="1">SUM(IF(INDIRECT("output_parsed_hero!t1:t"&amp;$B$1)=$L$1,IF(INDIRECT("output_parsed_hero!u1:u"&amp;$B$1)="Radiant",IF(INDIRECT("output_parsed_hero!E1:I"&amp;$B$1)=$L68,IF(INDIRECT("output_parsed_hero!D1:D"&amp;$B$1)=TRUE,1)))))+SUM(IF(INDIRECT("output_parsed_hero!t1:t"&amp;$B$1)=$L$1,IF(INDIRECT("output_parsed_hero!u1:u"&amp;$B$1)="Dire",IF(INDIRECT("output_parsed_hero!j1:N"&amp;$B$1)=$L68,IF(INDIRECT("output_parsed_hero!D1:D"&amp;$B$1)=FALSE,1)))))</f>
        <v>0</v>
      </c>
      <c r="P68">
        <f t="shared" ca="1" si="9"/>
        <v>0</v>
      </c>
      <c r="Q68">
        <f t="array" aca="1" ref="Q68" ca="1">SUM(IF(INDIRECT("output_parsed_hero!t1:t"&amp;$B$1)=$L$1,IF(INDIRECT("output_parsed_hero!u1:u"&amp;$B$1)="Radiant",IF(INDIRECT("output_parsed_hero!j1:n"&amp;$B$1)=$L68,1))))+SUM(IF(INDIRECT("output_parsed_hero!t1:t"&amp;$B$1)=$L$1,IF(INDIRECT("output_parsed_hero!u1:u"&amp;$B$1)="Dire",IF(INDIRECT("output_parsed_hero!e1:i"&amp;$B$1)=$L68,1))))</f>
        <v>1</v>
      </c>
      <c r="R68">
        <f t="array" aca="1" ref="R68" ca="1">SUM(IF(INDIRECT("output_parsed_hero!t1:t"&amp;$B$1)=$L$1,IF(INDIRECT("output_parsed_hero!u1:u"&amp;$B$1)="Radiant",IF(INDIRECT("output_parsed_hero!j1:n"&amp;$B$1)=$L68,IF(INDIRECT("output_parsed_hero!D1:D"&amp;$B$1)=TRUE,1)))))+SUM(IF(INDIRECT("output_parsed_hero!t1:t"&amp;$B$1)=$L$1,IF(INDIRECT("output_parsed_hero!u1:u"&amp;$B$1)="Dire",IF(INDIRECT("output_parsed_hero!e1:i"&amp;$B$1)=$L68,IF(INDIRECT("output_parsed_hero!D1:D"&amp;$B$1)=FALSE,1)))))</f>
        <v>1</v>
      </c>
      <c r="S68">
        <f t="shared" ca="1" si="4"/>
        <v>1</v>
      </c>
      <c r="Z68" t="s">
        <v>485</v>
      </c>
    </row>
    <row r="69" spans="1:26" x14ac:dyDescent="0.3">
      <c r="A69">
        <f t="shared" si="7"/>
        <v>65</v>
      </c>
      <c r="B69" t="str">
        <f>VLOOKUP(A69,'hero names'!$S$7:$T$209,2,0)</f>
        <v>Batrider</v>
      </c>
      <c r="C69">
        <f t="array" aca="1" ref="C69" ca="1">COUNT(IF(INDIRECT("output_parsed!E1:N"&amp;$B$1)='Analysis backend'!$A69,INDIRECT("output_parsed!E1:N"&amp;$B$1)))</f>
        <v>4</v>
      </c>
      <c r="D69">
        <f t="array" aca="1" ref="D69" ca="1">COUNT(IF(INDIRECT("output_parsed!o1:s"&amp;$B$1)='Analysis backend'!$A69,INDIRECT("output_parsed!o1:s"&amp;$B$1)))</f>
        <v>1</v>
      </c>
      <c r="E69">
        <f t="shared" ref="E69:E100" ca="1" si="11">D69+C69</f>
        <v>5</v>
      </c>
      <c r="F69">
        <f t="array" aca="1" ref="F69" ca="1">COUNT(IF(INDIRECT("output_parsed!D1:D"&amp;$B$1)=TRUE,IF(INDIRECT("output_parsed!E1:I"&amp;$B$1)='Analysis backend'!$A69,INDIRECT("output_parsed!E1:I"&amp;$B$1))))+COUNT(IF(INDIRECT("output_parsed!D1:D"&amp;$B$1)=FALSE,IF(INDIRECT("output_parsed!J1:N"&amp;$B$1)='Analysis backend'!$A69,INDIRECT("output_parsed!J1:N"&amp;$B$1))))</f>
        <v>1</v>
      </c>
      <c r="L69">
        <f t="shared" si="10"/>
        <v>64</v>
      </c>
      <c r="M69" t="str">
        <f t="shared" si="8"/>
        <v>Jakiro</v>
      </c>
      <c r="N69">
        <f t="array" aca="1" ref="N69" ca="1">SUM(IF(INDIRECT("output_parsed_hero!t1:t"&amp;$B$1)=$L$1,IF(INDIRECT("output_parsed_hero!u1:u"&amp;$B$1)="Radiant",IF(INDIRECT("output_parsed_hero!E1:I"&amp;$B$1)=$L69,1))))+SUM(IF(INDIRECT("output_parsed_hero!t1:t"&amp;$B$1)=$L$1,IF(INDIRECT("output_parsed_hero!u1:u"&amp;$B$1)="Dire",IF(INDIRECT("output_parsed_hero!j1:n"&amp;$B$1)=$L69,1))))</f>
        <v>1</v>
      </c>
      <c r="O69">
        <f t="array" aca="1" ref="O69" ca="1">SUM(IF(INDIRECT("output_parsed_hero!t1:t"&amp;$B$1)=$L$1,IF(INDIRECT("output_parsed_hero!u1:u"&amp;$B$1)="Radiant",IF(INDIRECT("output_parsed_hero!E1:I"&amp;$B$1)=$L69,IF(INDIRECT("output_parsed_hero!D1:D"&amp;$B$1)=TRUE,1)))))+SUM(IF(INDIRECT("output_parsed_hero!t1:t"&amp;$B$1)=$L$1,IF(INDIRECT("output_parsed_hero!u1:u"&amp;$B$1)="Dire",IF(INDIRECT("output_parsed_hero!j1:N"&amp;$B$1)=$L69,IF(INDIRECT("output_parsed_hero!D1:D"&amp;$B$1)=FALSE,1)))))</f>
        <v>1</v>
      </c>
      <c r="P69">
        <f t="shared" ca="1" si="9"/>
        <v>1</v>
      </c>
      <c r="Q69">
        <f t="array" aca="1" ref="Q69" ca="1">SUM(IF(INDIRECT("output_parsed_hero!t1:t"&amp;$B$1)=$L$1,IF(INDIRECT("output_parsed_hero!u1:u"&amp;$B$1)="Radiant",IF(INDIRECT("output_parsed_hero!j1:n"&amp;$B$1)=$L69,1))))+SUM(IF(INDIRECT("output_parsed_hero!t1:t"&amp;$B$1)=$L$1,IF(INDIRECT("output_parsed_hero!u1:u"&amp;$B$1)="Dire",IF(INDIRECT("output_parsed_hero!e1:i"&amp;$B$1)=$L69,1))))</f>
        <v>5</v>
      </c>
      <c r="R69">
        <f t="array" aca="1" ref="R69" ca="1">SUM(IF(INDIRECT("output_parsed_hero!t1:t"&amp;$B$1)=$L$1,IF(INDIRECT("output_parsed_hero!u1:u"&amp;$B$1)="Radiant",IF(INDIRECT("output_parsed_hero!j1:n"&amp;$B$1)=$L69,IF(INDIRECT("output_parsed_hero!D1:D"&amp;$B$1)=TRUE,1)))))+SUM(IF(INDIRECT("output_parsed_hero!t1:t"&amp;$B$1)=$L$1,IF(INDIRECT("output_parsed_hero!u1:u"&amp;$B$1)="Dire",IF(INDIRECT("output_parsed_hero!e1:i"&amp;$B$1)=$L69,IF(INDIRECT("output_parsed_hero!D1:D"&amp;$B$1)=FALSE,1)))))</f>
        <v>1</v>
      </c>
      <c r="S69">
        <f t="shared" ca="1" si="4"/>
        <v>0.2</v>
      </c>
      <c r="Z69" t="s">
        <v>481</v>
      </c>
    </row>
    <row r="70" spans="1:26" x14ac:dyDescent="0.3">
      <c r="A70">
        <f t="shared" ref="A70:A101" si="12">A69+1</f>
        <v>66</v>
      </c>
      <c r="B70" t="str">
        <f>VLOOKUP(A70,'hero names'!$S$7:$T$209,2,0)</f>
        <v>Chen</v>
      </c>
      <c r="C70">
        <f t="array" aca="1" ref="C70" ca="1">COUNT(IF(INDIRECT("output_parsed!E1:N"&amp;$B$1)='Analysis backend'!$A70,INDIRECT("output_parsed!E1:N"&amp;$B$1)))</f>
        <v>7</v>
      </c>
      <c r="D70">
        <f t="array" aca="1" ref="D70" ca="1">COUNT(IF(INDIRECT("output_parsed!o1:s"&amp;$B$1)='Analysis backend'!$A70,INDIRECT("output_parsed!o1:s"&amp;$B$1)))</f>
        <v>1</v>
      </c>
      <c r="E70">
        <f t="shared" ca="1" si="11"/>
        <v>8</v>
      </c>
      <c r="F70">
        <f t="array" aca="1" ref="F70" ca="1">COUNT(IF(INDIRECT("output_parsed!D1:D"&amp;$B$1)=TRUE,IF(INDIRECT("output_parsed!E1:I"&amp;$B$1)='Analysis backend'!$A70,INDIRECT("output_parsed!E1:I"&amp;$B$1))))+COUNT(IF(INDIRECT("output_parsed!D1:D"&amp;$B$1)=FALSE,IF(INDIRECT("output_parsed!J1:N"&amp;$B$1)='Analysis backend'!$A70,INDIRECT("output_parsed!J1:N"&amp;$B$1))))</f>
        <v>4</v>
      </c>
      <c r="L70">
        <f t="shared" si="10"/>
        <v>65</v>
      </c>
      <c r="M70" t="str">
        <f t="shared" ref="M70:M101" si="13">B69</f>
        <v>Batrider</v>
      </c>
      <c r="N70">
        <f t="array" aca="1" ref="N70" ca="1">SUM(IF(INDIRECT("output_parsed_hero!t1:t"&amp;$B$1)=$L$1,IF(INDIRECT("output_parsed_hero!u1:u"&amp;$B$1)="Radiant",IF(INDIRECT("output_parsed_hero!E1:I"&amp;$B$1)=$L70,1))))+SUM(IF(INDIRECT("output_parsed_hero!t1:t"&amp;$B$1)=$L$1,IF(INDIRECT("output_parsed_hero!u1:u"&amp;$B$1)="Dire",IF(INDIRECT("output_parsed_hero!j1:n"&amp;$B$1)=$L70,1))))</f>
        <v>2</v>
      </c>
      <c r="O70">
        <f t="array" aca="1" ref="O70" ca="1">SUM(IF(INDIRECT("output_parsed_hero!t1:t"&amp;$B$1)=$L$1,IF(INDIRECT("output_parsed_hero!u1:u"&amp;$B$1)="Radiant",IF(INDIRECT("output_parsed_hero!E1:I"&amp;$B$1)=$L70,IF(INDIRECT("output_parsed_hero!D1:D"&amp;$B$1)=TRUE,1)))))+SUM(IF(INDIRECT("output_parsed_hero!t1:t"&amp;$B$1)=$L$1,IF(INDIRECT("output_parsed_hero!u1:u"&amp;$B$1)="Dire",IF(INDIRECT("output_parsed_hero!j1:N"&amp;$B$1)=$L70,IF(INDIRECT("output_parsed_hero!D1:D"&amp;$B$1)=FALSE,1)))))</f>
        <v>0</v>
      </c>
      <c r="P70">
        <f t="shared" ref="P70:P101" ca="1" si="14">IF(ISERROR(O70/N70),0,O70/N70)</f>
        <v>0</v>
      </c>
      <c r="Q70">
        <f t="array" aca="1" ref="Q70" ca="1">SUM(IF(INDIRECT("output_parsed_hero!t1:t"&amp;$B$1)=$L$1,IF(INDIRECT("output_parsed_hero!u1:u"&amp;$B$1)="Radiant",IF(INDIRECT("output_parsed_hero!j1:n"&amp;$B$1)=$L70,1))))+SUM(IF(INDIRECT("output_parsed_hero!t1:t"&amp;$B$1)=$L$1,IF(INDIRECT("output_parsed_hero!u1:u"&amp;$B$1)="Dire",IF(INDIRECT("output_parsed_hero!e1:i"&amp;$B$1)=$L70,1))))</f>
        <v>1</v>
      </c>
      <c r="R70">
        <f t="array" aca="1" ref="R70" ca="1">SUM(IF(INDIRECT("output_parsed_hero!t1:t"&amp;$B$1)=$L$1,IF(INDIRECT("output_parsed_hero!u1:u"&amp;$B$1)="Radiant",IF(INDIRECT("output_parsed_hero!j1:n"&amp;$B$1)=$L70,IF(INDIRECT("output_parsed_hero!D1:D"&amp;$B$1)=TRUE,1)))))+SUM(IF(INDIRECT("output_parsed_hero!t1:t"&amp;$B$1)=$L$1,IF(INDIRECT("output_parsed_hero!u1:u"&amp;$B$1)="Dire",IF(INDIRECT("output_parsed_hero!e1:i"&amp;$B$1)=$L70,IF(INDIRECT("output_parsed_hero!D1:D"&amp;$B$1)=FALSE,1)))))</f>
        <v>0</v>
      </c>
      <c r="S70">
        <f t="shared" ref="S70:S133" ca="1" si="15">IF(ISERROR(R70/Q70),0,R70/Q70)</f>
        <v>0</v>
      </c>
      <c r="Z70" t="s">
        <v>454</v>
      </c>
    </row>
    <row r="71" spans="1:26" x14ac:dyDescent="0.3">
      <c r="A71">
        <f t="shared" si="12"/>
        <v>67</v>
      </c>
      <c r="B71" t="str">
        <f>VLOOKUP(A71,'hero names'!$S$7:$T$209,2,0)</f>
        <v>Spectre</v>
      </c>
      <c r="C71">
        <f t="array" aca="1" ref="C71" ca="1">COUNT(IF(INDIRECT("output_parsed!E1:N"&amp;$B$1)='Analysis backend'!$A71,INDIRECT("output_parsed!E1:N"&amp;$B$1)))</f>
        <v>10</v>
      </c>
      <c r="D71">
        <f t="array" aca="1" ref="D71" ca="1">COUNT(IF(INDIRECT("output_parsed!o1:s"&amp;$B$1)='Analysis backend'!$A71,INDIRECT("output_parsed!o1:s"&amp;$B$1)))</f>
        <v>1</v>
      </c>
      <c r="E71">
        <f t="shared" ca="1" si="11"/>
        <v>11</v>
      </c>
      <c r="F71">
        <f t="array" aca="1" ref="F71" ca="1">COUNT(IF(INDIRECT("output_parsed!D1:D"&amp;$B$1)=TRUE,IF(INDIRECT("output_parsed!E1:I"&amp;$B$1)='Analysis backend'!$A71,INDIRECT("output_parsed!E1:I"&amp;$B$1))))+COUNT(IF(INDIRECT("output_parsed!D1:D"&amp;$B$1)=FALSE,IF(INDIRECT("output_parsed!J1:N"&amp;$B$1)='Analysis backend'!$A71,INDIRECT("output_parsed!J1:N"&amp;$B$1))))</f>
        <v>2</v>
      </c>
      <c r="L71">
        <f t="shared" si="10"/>
        <v>66</v>
      </c>
      <c r="M71" t="str">
        <f t="shared" si="13"/>
        <v>Chen</v>
      </c>
      <c r="N71">
        <f t="array" aca="1" ref="N71" ca="1">SUM(IF(INDIRECT("output_parsed_hero!t1:t"&amp;$B$1)=$L$1,IF(INDIRECT("output_parsed_hero!u1:u"&amp;$B$1)="Radiant",IF(INDIRECT("output_parsed_hero!E1:I"&amp;$B$1)=$L71,1))))+SUM(IF(INDIRECT("output_parsed_hero!t1:t"&amp;$B$1)=$L$1,IF(INDIRECT("output_parsed_hero!u1:u"&amp;$B$1)="Dire",IF(INDIRECT("output_parsed_hero!j1:n"&amp;$B$1)=$L71,1))))</f>
        <v>5</v>
      </c>
      <c r="O71">
        <f t="array" aca="1" ref="O71" ca="1">SUM(IF(INDIRECT("output_parsed_hero!t1:t"&amp;$B$1)=$L$1,IF(INDIRECT("output_parsed_hero!u1:u"&amp;$B$1)="Radiant",IF(INDIRECT("output_parsed_hero!E1:I"&amp;$B$1)=$L71,IF(INDIRECT("output_parsed_hero!D1:D"&amp;$B$1)=TRUE,1)))))+SUM(IF(INDIRECT("output_parsed_hero!t1:t"&amp;$B$1)=$L$1,IF(INDIRECT("output_parsed_hero!u1:u"&amp;$B$1)="Dire",IF(INDIRECT("output_parsed_hero!j1:N"&amp;$B$1)=$L71,IF(INDIRECT("output_parsed_hero!D1:D"&amp;$B$1)=FALSE,1)))))</f>
        <v>4</v>
      </c>
      <c r="P71">
        <f t="shared" ca="1" si="14"/>
        <v>0.8</v>
      </c>
      <c r="Q71">
        <f t="array" aca="1" ref="Q71" ca="1">SUM(IF(INDIRECT("output_parsed_hero!t1:t"&amp;$B$1)=$L$1,IF(INDIRECT("output_parsed_hero!u1:u"&amp;$B$1)="Radiant",IF(INDIRECT("output_parsed_hero!j1:n"&amp;$B$1)=$L71,1))))+SUM(IF(INDIRECT("output_parsed_hero!t1:t"&amp;$B$1)=$L$1,IF(INDIRECT("output_parsed_hero!u1:u"&amp;$B$1)="Dire",IF(INDIRECT("output_parsed_hero!e1:i"&amp;$B$1)=$L71,1))))</f>
        <v>0</v>
      </c>
      <c r="R71">
        <f t="array" aca="1" ref="R71" ca="1">SUM(IF(INDIRECT("output_parsed_hero!t1:t"&amp;$B$1)=$L$1,IF(INDIRECT("output_parsed_hero!u1:u"&amp;$B$1)="Radiant",IF(INDIRECT("output_parsed_hero!j1:n"&amp;$B$1)=$L71,IF(INDIRECT("output_parsed_hero!D1:D"&amp;$B$1)=TRUE,1)))))+SUM(IF(INDIRECT("output_parsed_hero!t1:t"&amp;$B$1)=$L$1,IF(INDIRECT("output_parsed_hero!u1:u"&amp;$B$1)="Dire",IF(INDIRECT("output_parsed_hero!e1:i"&amp;$B$1)=$L71,IF(INDIRECT("output_parsed_hero!D1:D"&amp;$B$1)=FALSE,1)))))</f>
        <v>0</v>
      </c>
      <c r="S71">
        <f t="shared" ca="1" si="15"/>
        <v>0</v>
      </c>
      <c r="Z71" t="s">
        <v>508</v>
      </c>
    </row>
    <row r="72" spans="1:26" x14ac:dyDescent="0.3">
      <c r="A72">
        <f t="shared" si="12"/>
        <v>68</v>
      </c>
      <c r="B72" t="str">
        <f>VLOOKUP(A72,'hero names'!$S$7:$T$209,2,0)</f>
        <v>Ancient Apparition</v>
      </c>
      <c r="C72">
        <f t="array" aca="1" ref="C72" ca="1">COUNT(IF(INDIRECT("output_parsed!E1:N"&amp;$B$1)='Analysis backend'!$A72,INDIRECT("output_parsed!E1:N"&amp;$B$1)))</f>
        <v>9</v>
      </c>
      <c r="D72">
        <f t="array" aca="1" ref="D72" ca="1">COUNT(IF(INDIRECT("output_parsed!o1:s"&amp;$B$1)='Analysis backend'!$A72,INDIRECT("output_parsed!o1:s"&amp;$B$1)))</f>
        <v>1</v>
      </c>
      <c r="E72">
        <f t="shared" ca="1" si="11"/>
        <v>10</v>
      </c>
      <c r="F72">
        <f t="array" aca="1" ref="F72" ca="1">COUNT(IF(INDIRECT("output_parsed!D1:D"&amp;$B$1)=TRUE,IF(INDIRECT("output_parsed!E1:I"&amp;$B$1)='Analysis backend'!$A72,INDIRECT("output_parsed!E1:I"&amp;$B$1))))+COUNT(IF(INDIRECT("output_parsed!D1:D"&amp;$B$1)=FALSE,IF(INDIRECT("output_parsed!J1:N"&amp;$B$1)='Analysis backend'!$A72,INDIRECT("output_parsed!J1:N"&amp;$B$1))))</f>
        <v>6</v>
      </c>
      <c r="L72">
        <f t="shared" ref="L72:L135" si="16">L71+1</f>
        <v>67</v>
      </c>
      <c r="M72" t="str">
        <f t="shared" si="13"/>
        <v>Spectre</v>
      </c>
      <c r="N72">
        <f t="array" aca="1" ref="N72" ca="1">SUM(IF(INDIRECT("output_parsed_hero!t1:t"&amp;$B$1)=$L$1,IF(INDIRECT("output_parsed_hero!u1:u"&amp;$B$1)="Radiant",IF(INDIRECT("output_parsed_hero!E1:I"&amp;$B$1)=$L72,1))))+SUM(IF(INDIRECT("output_parsed_hero!t1:t"&amp;$B$1)=$L$1,IF(INDIRECT("output_parsed_hero!u1:u"&amp;$B$1)="Dire",IF(INDIRECT("output_parsed_hero!j1:n"&amp;$B$1)=$L72,1))))</f>
        <v>0</v>
      </c>
      <c r="O72">
        <f t="array" aca="1" ref="O72" ca="1">SUM(IF(INDIRECT("output_parsed_hero!t1:t"&amp;$B$1)=$L$1,IF(INDIRECT("output_parsed_hero!u1:u"&amp;$B$1)="Radiant",IF(INDIRECT("output_parsed_hero!E1:I"&amp;$B$1)=$L72,IF(INDIRECT("output_parsed_hero!D1:D"&amp;$B$1)=TRUE,1)))))+SUM(IF(INDIRECT("output_parsed_hero!t1:t"&amp;$B$1)=$L$1,IF(INDIRECT("output_parsed_hero!u1:u"&amp;$B$1)="Dire",IF(INDIRECT("output_parsed_hero!j1:N"&amp;$B$1)=$L72,IF(INDIRECT("output_parsed_hero!D1:D"&amp;$B$1)=FALSE,1)))))</f>
        <v>0</v>
      </c>
      <c r="P72">
        <f t="shared" ca="1" si="14"/>
        <v>0</v>
      </c>
      <c r="Q72">
        <f t="array" aca="1" ref="Q72" ca="1">SUM(IF(INDIRECT("output_parsed_hero!t1:t"&amp;$B$1)=$L$1,IF(INDIRECT("output_parsed_hero!u1:u"&amp;$B$1)="Radiant",IF(INDIRECT("output_parsed_hero!j1:n"&amp;$B$1)=$L72,1))))+SUM(IF(INDIRECT("output_parsed_hero!t1:t"&amp;$B$1)=$L$1,IF(INDIRECT("output_parsed_hero!u1:u"&amp;$B$1)="Dire",IF(INDIRECT("output_parsed_hero!e1:i"&amp;$B$1)=$L72,1))))</f>
        <v>3</v>
      </c>
      <c r="R72">
        <f t="array" aca="1" ref="R72" ca="1">SUM(IF(INDIRECT("output_parsed_hero!t1:t"&amp;$B$1)=$L$1,IF(INDIRECT("output_parsed_hero!u1:u"&amp;$B$1)="Radiant",IF(INDIRECT("output_parsed_hero!j1:n"&amp;$B$1)=$L72,IF(INDIRECT("output_parsed_hero!D1:D"&amp;$B$1)=TRUE,1)))))+SUM(IF(INDIRECT("output_parsed_hero!t1:t"&amp;$B$1)=$L$1,IF(INDIRECT("output_parsed_hero!u1:u"&amp;$B$1)="Dire",IF(INDIRECT("output_parsed_hero!e1:i"&amp;$B$1)=$L72,IF(INDIRECT("output_parsed_hero!D1:D"&amp;$B$1)=FALSE,1)))))</f>
        <v>2</v>
      </c>
      <c r="S72">
        <f t="shared" ca="1" si="15"/>
        <v>0.66666666666666663</v>
      </c>
      <c r="Z72" t="s">
        <v>473</v>
      </c>
    </row>
    <row r="73" spans="1:26" x14ac:dyDescent="0.3">
      <c r="A73">
        <f t="shared" si="12"/>
        <v>69</v>
      </c>
      <c r="B73" t="str">
        <f>VLOOKUP(A73,'hero names'!$S$7:$T$209,2,0)</f>
        <v>Doom</v>
      </c>
      <c r="C73">
        <f t="array" aca="1" ref="C73" ca="1">COUNT(IF(INDIRECT("output_parsed!E1:N"&amp;$B$1)='Analysis backend'!$A73,INDIRECT("output_parsed!E1:N"&amp;$B$1)))</f>
        <v>11</v>
      </c>
      <c r="D73">
        <f t="array" aca="1" ref="D73" ca="1">COUNT(IF(INDIRECT("output_parsed!o1:s"&amp;$B$1)='Analysis backend'!$A73,INDIRECT("output_parsed!o1:s"&amp;$B$1)))</f>
        <v>2</v>
      </c>
      <c r="E73">
        <f t="shared" ca="1" si="11"/>
        <v>13</v>
      </c>
      <c r="F73">
        <f t="array" aca="1" ref="F73" ca="1">COUNT(IF(INDIRECT("output_parsed!D1:D"&amp;$B$1)=TRUE,IF(INDIRECT("output_parsed!E1:I"&amp;$B$1)='Analysis backend'!$A73,INDIRECT("output_parsed!E1:I"&amp;$B$1))))+COUNT(IF(INDIRECT("output_parsed!D1:D"&amp;$B$1)=FALSE,IF(INDIRECT("output_parsed!J1:N"&amp;$B$1)='Analysis backend'!$A73,INDIRECT("output_parsed!J1:N"&amp;$B$1))))</f>
        <v>6</v>
      </c>
      <c r="L73">
        <f t="shared" si="16"/>
        <v>68</v>
      </c>
      <c r="M73" t="str">
        <f t="shared" si="13"/>
        <v>Ancient Apparition</v>
      </c>
      <c r="N73">
        <f t="array" aca="1" ref="N73" ca="1">SUM(IF(INDIRECT("output_parsed_hero!t1:t"&amp;$B$1)=$L$1,IF(INDIRECT("output_parsed_hero!u1:u"&amp;$B$1)="Radiant",IF(INDIRECT("output_parsed_hero!E1:I"&amp;$B$1)=$L73,1))))+SUM(IF(INDIRECT("output_parsed_hero!t1:t"&amp;$B$1)=$L$1,IF(INDIRECT("output_parsed_hero!u1:u"&amp;$B$1)="Dire",IF(INDIRECT("output_parsed_hero!j1:n"&amp;$B$1)=$L73,1))))</f>
        <v>2</v>
      </c>
      <c r="O73">
        <f t="array" aca="1" ref="O73" ca="1">SUM(IF(INDIRECT("output_parsed_hero!t1:t"&amp;$B$1)=$L$1,IF(INDIRECT("output_parsed_hero!u1:u"&amp;$B$1)="Radiant",IF(INDIRECT("output_parsed_hero!E1:I"&amp;$B$1)=$L73,IF(INDIRECT("output_parsed_hero!D1:D"&amp;$B$1)=TRUE,1)))))+SUM(IF(INDIRECT("output_parsed_hero!t1:t"&amp;$B$1)=$L$1,IF(INDIRECT("output_parsed_hero!u1:u"&amp;$B$1)="Dire",IF(INDIRECT("output_parsed_hero!j1:N"&amp;$B$1)=$L73,IF(INDIRECT("output_parsed_hero!D1:D"&amp;$B$1)=FALSE,1)))))</f>
        <v>0</v>
      </c>
      <c r="P73">
        <f t="shared" ca="1" si="14"/>
        <v>0</v>
      </c>
      <c r="Q73">
        <f t="array" aca="1" ref="Q73" ca="1">SUM(IF(INDIRECT("output_parsed_hero!t1:t"&amp;$B$1)=$L$1,IF(INDIRECT("output_parsed_hero!u1:u"&amp;$B$1)="Radiant",IF(INDIRECT("output_parsed_hero!j1:n"&amp;$B$1)=$L73,1))))+SUM(IF(INDIRECT("output_parsed_hero!t1:t"&amp;$B$1)=$L$1,IF(INDIRECT("output_parsed_hero!u1:u"&amp;$B$1)="Dire",IF(INDIRECT("output_parsed_hero!e1:i"&amp;$B$1)=$L73,1))))</f>
        <v>2</v>
      </c>
      <c r="R73">
        <f t="array" aca="1" ref="R73" ca="1">SUM(IF(INDIRECT("output_parsed_hero!t1:t"&amp;$B$1)=$L$1,IF(INDIRECT("output_parsed_hero!u1:u"&amp;$B$1)="Radiant",IF(INDIRECT("output_parsed_hero!j1:n"&amp;$B$1)=$L73,IF(INDIRECT("output_parsed_hero!D1:D"&amp;$B$1)=TRUE,1)))))+SUM(IF(INDIRECT("output_parsed_hero!t1:t"&amp;$B$1)=$L$1,IF(INDIRECT("output_parsed_hero!u1:u"&amp;$B$1)="Dire",IF(INDIRECT("output_parsed_hero!e1:i"&amp;$B$1)=$L73,IF(INDIRECT("output_parsed_hero!D1:D"&amp;$B$1)=FALSE,1)))))</f>
        <v>0</v>
      </c>
      <c r="S73">
        <f t="shared" ca="1" si="15"/>
        <v>0</v>
      </c>
      <c r="Z73" t="s">
        <v>513</v>
      </c>
    </row>
    <row r="74" spans="1:26" x14ac:dyDescent="0.3">
      <c r="A74">
        <f t="shared" si="12"/>
        <v>70</v>
      </c>
      <c r="B74" t="str">
        <f>VLOOKUP(A74,'hero names'!$S$7:$T$209,2,0)</f>
        <v>Ursa</v>
      </c>
      <c r="C74">
        <f t="array" aca="1" ref="C74" ca="1">COUNT(IF(INDIRECT("output_parsed!E1:N"&amp;$B$1)='Analysis backend'!$A74,INDIRECT("output_parsed!E1:N"&amp;$B$1)))</f>
        <v>2</v>
      </c>
      <c r="D74">
        <f t="array" aca="1" ref="D74" ca="1">COUNT(IF(INDIRECT("output_parsed!o1:s"&amp;$B$1)='Analysis backend'!$A74,INDIRECT("output_parsed!o1:s"&amp;$B$1)))</f>
        <v>1</v>
      </c>
      <c r="E74">
        <f t="shared" ca="1" si="11"/>
        <v>3</v>
      </c>
      <c r="F74">
        <f t="array" aca="1" ref="F74" ca="1">COUNT(IF(INDIRECT("output_parsed!D1:D"&amp;$B$1)=TRUE,IF(INDIRECT("output_parsed!E1:I"&amp;$B$1)='Analysis backend'!$A74,INDIRECT("output_parsed!E1:I"&amp;$B$1))))+COUNT(IF(INDIRECT("output_parsed!D1:D"&amp;$B$1)=FALSE,IF(INDIRECT("output_parsed!J1:N"&amp;$B$1)='Analysis backend'!$A74,INDIRECT("output_parsed!J1:N"&amp;$B$1))))</f>
        <v>2</v>
      </c>
      <c r="L74">
        <f t="shared" si="16"/>
        <v>69</v>
      </c>
      <c r="M74" t="str">
        <f t="shared" si="13"/>
        <v>Doom</v>
      </c>
      <c r="N74">
        <f t="array" aca="1" ref="N74" ca="1">SUM(IF(INDIRECT("output_parsed_hero!t1:t"&amp;$B$1)=$L$1,IF(INDIRECT("output_parsed_hero!u1:u"&amp;$B$1)="Radiant",IF(INDIRECT("output_parsed_hero!E1:I"&amp;$B$1)=$L74,1))))+SUM(IF(INDIRECT("output_parsed_hero!t1:t"&amp;$B$1)=$L$1,IF(INDIRECT("output_parsed_hero!u1:u"&amp;$B$1)="Dire",IF(INDIRECT("output_parsed_hero!j1:n"&amp;$B$1)=$L74,1))))</f>
        <v>6</v>
      </c>
      <c r="O74">
        <f t="array" aca="1" ref="O74" ca="1">SUM(IF(INDIRECT("output_parsed_hero!t1:t"&amp;$B$1)=$L$1,IF(INDIRECT("output_parsed_hero!u1:u"&amp;$B$1)="Radiant",IF(INDIRECT("output_parsed_hero!E1:I"&amp;$B$1)=$L74,IF(INDIRECT("output_parsed_hero!D1:D"&amp;$B$1)=TRUE,1)))))+SUM(IF(INDIRECT("output_parsed_hero!t1:t"&amp;$B$1)=$L$1,IF(INDIRECT("output_parsed_hero!u1:u"&amp;$B$1)="Dire",IF(INDIRECT("output_parsed_hero!j1:N"&amp;$B$1)=$L74,IF(INDIRECT("output_parsed_hero!D1:D"&amp;$B$1)=FALSE,1)))))</f>
        <v>3</v>
      </c>
      <c r="P74">
        <f t="shared" ca="1" si="14"/>
        <v>0.5</v>
      </c>
      <c r="Q74">
        <f t="array" aca="1" ref="Q74" ca="1">SUM(IF(INDIRECT("output_parsed_hero!t1:t"&amp;$B$1)=$L$1,IF(INDIRECT("output_parsed_hero!u1:u"&amp;$B$1)="Radiant",IF(INDIRECT("output_parsed_hero!j1:n"&amp;$B$1)=$L74,1))))+SUM(IF(INDIRECT("output_parsed_hero!t1:t"&amp;$B$1)=$L$1,IF(INDIRECT("output_parsed_hero!u1:u"&amp;$B$1)="Dire",IF(INDIRECT("output_parsed_hero!e1:i"&amp;$B$1)=$L74,1))))</f>
        <v>1</v>
      </c>
      <c r="R74">
        <f t="array" aca="1" ref="R74" ca="1">SUM(IF(INDIRECT("output_parsed_hero!t1:t"&amp;$B$1)=$L$1,IF(INDIRECT("output_parsed_hero!u1:u"&amp;$B$1)="Radiant",IF(INDIRECT("output_parsed_hero!j1:n"&amp;$B$1)=$L74,IF(INDIRECT("output_parsed_hero!D1:D"&amp;$B$1)=TRUE,1)))))+SUM(IF(INDIRECT("output_parsed_hero!t1:t"&amp;$B$1)=$L$1,IF(INDIRECT("output_parsed_hero!u1:u"&amp;$B$1)="Dire",IF(INDIRECT("output_parsed_hero!e1:i"&amp;$B$1)=$L74,IF(INDIRECT("output_parsed_hero!D1:D"&amp;$B$1)=FALSE,1)))))</f>
        <v>0</v>
      </c>
      <c r="S74">
        <f t="shared" ca="1" si="15"/>
        <v>0</v>
      </c>
      <c r="Z74" t="s">
        <v>441</v>
      </c>
    </row>
    <row r="75" spans="1:26" x14ac:dyDescent="0.3">
      <c r="A75">
        <f t="shared" si="12"/>
        <v>71</v>
      </c>
      <c r="B75" t="str">
        <f>VLOOKUP(A75,'hero names'!$S$7:$T$209,2,0)</f>
        <v>Spirit Breaker</v>
      </c>
      <c r="C75">
        <f t="array" aca="1" ref="C75" ca="1">COUNT(IF(INDIRECT("output_parsed!E1:N"&amp;$B$1)='Analysis backend'!$A75,INDIRECT("output_parsed!E1:N"&amp;$B$1)))</f>
        <v>19</v>
      </c>
      <c r="D75">
        <f t="array" aca="1" ref="D75" ca="1">COUNT(IF(INDIRECT("output_parsed!o1:s"&amp;$B$1)='Analysis backend'!$A75,INDIRECT("output_parsed!o1:s"&amp;$B$1)))</f>
        <v>0</v>
      </c>
      <c r="E75">
        <f t="shared" ca="1" si="11"/>
        <v>19</v>
      </c>
      <c r="F75">
        <f t="array" aca="1" ref="F75" ca="1">COUNT(IF(INDIRECT("output_parsed!D1:D"&amp;$B$1)=TRUE,IF(INDIRECT("output_parsed!E1:I"&amp;$B$1)='Analysis backend'!$A75,INDIRECT("output_parsed!E1:I"&amp;$B$1))))+COUNT(IF(INDIRECT("output_parsed!D1:D"&amp;$B$1)=FALSE,IF(INDIRECT("output_parsed!J1:N"&amp;$B$1)='Analysis backend'!$A75,INDIRECT("output_parsed!J1:N"&amp;$B$1))))</f>
        <v>13</v>
      </c>
      <c r="L75">
        <f t="shared" si="16"/>
        <v>70</v>
      </c>
      <c r="M75" t="str">
        <f t="shared" si="13"/>
        <v>Ursa</v>
      </c>
      <c r="N75">
        <f t="array" aca="1" ref="N75" ca="1">SUM(IF(INDIRECT("output_parsed_hero!t1:t"&amp;$B$1)=$L$1,IF(INDIRECT("output_parsed_hero!u1:u"&amp;$B$1)="Radiant",IF(INDIRECT("output_parsed_hero!E1:I"&amp;$B$1)=$L75,1))))+SUM(IF(INDIRECT("output_parsed_hero!t1:t"&amp;$B$1)=$L$1,IF(INDIRECT("output_parsed_hero!u1:u"&amp;$B$1)="Dire",IF(INDIRECT("output_parsed_hero!j1:n"&amp;$B$1)=$L75,1))))</f>
        <v>1</v>
      </c>
      <c r="O75">
        <f t="array" aca="1" ref="O75" ca="1">SUM(IF(INDIRECT("output_parsed_hero!t1:t"&amp;$B$1)=$L$1,IF(INDIRECT("output_parsed_hero!u1:u"&amp;$B$1)="Radiant",IF(INDIRECT("output_parsed_hero!E1:I"&amp;$B$1)=$L75,IF(INDIRECT("output_parsed_hero!D1:D"&amp;$B$1)=TRUE,1)))))+SUM(IF(INDIRECT("output_parsed_hero!t1:t"&amp;$B$1)=$L$1,IF(INDIRECT("output_parsed_hero!u1:u"&amp;$B$1)="Dire",IF(INDIRECT("output_parsed_hero!j1:N"&amp;$B$1)=$L75,IF(INDIRECT("output_parsed_hero!D1:D"&amp;$B$1)=FALSE,1)))))</f>
        <v>1</v>
      </c>
      <c r="P75">
        <f t="shared" ca="1" si="14"/>
        <v>1</v>
      </c>
      <c r="Q75">
        <f t="array" aca="1" ref="Q75" ca="1">SUM(IF(INDIRECT("output_parsed_hero!t1:t"&amp;$B$1)=$L$1,IF(INDIRECT("output_parsed_hero!u1:u"&amp;$B$1)="Radiant",IF(INDIRECT("output_parsed_hero!j1:n"&amp;$B$1)=$L75,1))))+SUM(IF(INDIRECT("output_parsed_hero!t1:t"&amp;$B$1)=$L$1,IF(INDIRECT("output_parsed_hero!u1:u"&amp;$B$1)="Dire",IF(INDIRECT("output_parsed_hero!e1:i"&amp;$B$1)=$L75,1))))</f>
        <v>0</v>
      </c>
      <c r="R75">
        <f t="array" aca="1" ref="R75" ca="1">SUM(IF(INDIRECT("output_parsed_hero!t1:t"&amp;$B$1)=$L$1,IF(INDIRECT("output_parsed_hero!u1:u"&amp;$B$1)="Radiant",IF(INDIRECT("output_parsed_hero!j1:n"&amp;$B$1)=$L75,IF(INDIRECT("output_parsed_hero!D1:D"&amp;$B$1)=TRUE,1)))))+SUM(IF(INDIRECT("output_parsed_hero!t1:t"&amp;$B$1)=$L$1,IF(INDIRECT("output_parsed_hero!u1:u"&amp;$B$1)="Dire",IF(INDIRECT("output_parsed_hero!e1:i"&amp;$B$1)=$L75,IF(INDIRECT("output_parsed_hero!D1:D"&amp;$B$1)=FALSE,1)))))</f>
        <v>0</v>
      </c>
      <c r="S75">
        <f t="shared" ca="1" si="15"/>
        <v>0</v>
      </c>
      <c r="Z75" t="s">
        <v>410</v>
      </c>
    </row>
    <row r="76" spans="1:26" x14ac:dyDescent="0.3">
      <c r="A76">
        <f t="shared" si="12"/>
        <v>72</v>
      </c>
      <c r="B76" t="str">
        <f>VLOOKUP(A76,'hero names'!$S$7:$T$209,2,0)</f>
        <v>Gyrocopter</v>
      </c>
      <c r="C76">
        <f t="array" aca="1" ref="C76" ca="1">COUNT(IF(INDIRECT("output_parsed!E1:N"&amp;$B$1)='Analysis backend'!$A76,INDIRECT("output_parsed!E1:N"&amp;$B$1)))</f>
        <v>16</v>
      </c>
      <c r="D76">
        <f t="array" aca="1" ref="D76" ca="1">COUNT(IF(INDIRECT("output_parsed!o1:s"&amp;$B$1)='Analysis backend'!$A76,INDIRECT("output_parsed!o1:s"&amp;$B$1)))</f>
        <v>2</v>
      </c>
      <c r="E76">
        <f t="shared" ca="1" si="11"/>
        <v>18</v>
      </c>
      <c r="F76">
        <f t="array" aca="1" ref="F76" ca="1">COUNT(IF(INDIRECT("output_parsed!D1:D"&amp;$B$1)=TRUE,IF(INDIRECT("output_parsed!E1:I"&amp;$B$1)='Analysis backend'!$A76,INDIRECT("output_parsed!E1:I"&amp;$B$1))))+COUNT(IF(INDIRECT("output_parsed!D1:D"&amp;$B$1)=FALSE,IF(INDIRECT("output_parsed!J1:N"&amp;$B$1)='Analysis backend'!$A76,INDIRECT("output_parsed!J1:N"&amp;$B$1))))</f>
        <v>6</v>
      </c>
      <c r="L76">
        <f t="shared" si="16"/>
        <v>71</v>
      </c>
      <c r="M76" t="str">
        <f t="shared" si="13"/>
        <v>Spirit Breaker</v>
      </c>
      <c r="N76">
        <f t="array" aca="1" ref="N76" ca="1">SUM(IF(INDIRECT("output_parsed_hero!t1:t"&amp;$B$1)=$L$1,IF(INDIRECT("output_parsed_hero!u1:u"&amp;$B$1)="Radiant",IF(INDIRECT("output_parsed_hero!E1:I"&amp;$B$1)=$L76,1))))+SUM(IF(INDIRECT("output_parsed_hero!t1:t"&amp;$B$1)=$L$1,IF(INDIRECT("output_parsed_hero!u1:u"&amp;$B$1)="Dire",IF(INDIRECT("output_parsed_hero!j1:n"&amp;$B$1)=$L76,1))))</f>
        <v>6</v>
      </c>
      <c r="O76">
        <f t="array" aca="1" ref="O76" ca="1">SUM(IF(INDIRECT("output_parsed_hero!t1:t"&amp;$B$1)=$L$1,IF(INDIRECT("output_parsed_hero!u1:u"&amp;$B$1)="Radiant",IF(INDIRECT("output_parsed_hero!E1:I"&amp;$B$1)=$L76,IF(INDIRECT("output_parsed_hero!D1:D"&amp;$B$1)=TRUE,1)))))+SUM(IF(INDIRECT("output_parsed_hero!t1:t"&amp;$B$1)=$L$1,IF(INDIRECT("output_parsed_hero!u1:u"&amp;$B$1)="Dire",IF(INDIRECT("output_parsed_hero!j1:N"&amp;$B$1)=$L76,IF(INDIRECT("output_parsed_hero!D1:D"&amp;$B$1)=FALSE,1)))))</f>
        <v>5</v>
      </c>
      <c r="P76">
        <f t="shared" ca="1" si="14"/>
        <v>0.83333333333333337</v>
      </c>
      <c r="Q76">
        <f t="array" aca="1" ref="Q76" ca="1">SUM(IF(INDIRECT("output_parsed_hero!t1:t"&amp;$B$1)=$L$1,IF(INDIRECT("output_parsed_hero!u1:u"&amp;$B$1)="Radiant",IF(INDIRECT("output_parsed_hero!j1:n"&amp;$B$1)=$L76,1))))+SUM(IF(INDIRECT("output_parsed_hero!t1:t"&amp;$B$1)=$L$1,IF(INDIRECT("output_parsed_hero!u1:u"&amp;$B$1)="Dire",IF(INDIRECT("output_parsed_hero!e1:i"&amp;$B$1)=$L76,1))))</f>
        <v>0</v>
      </c>
      <c r="R76">
        <f t="array" aca="1" ref="R76" ca="1">SUM(IF(INDIRECT("output_parsed_hero!t1:t"&amp;$B$1)=$L$1,IF(INDIRECT("output_parsed_hero!u1:u"&amp;$B$1)="Radiant",IF(INDIRECT("output_parsed_hero!j1:n"&amp;$B$1)=$L76,IF(INDIRECT("output_parsed_hero!D1:D"&amp;$B$1)=TRUE,1)))))+SUM(IF(INDIRECT("output_parsed_hero!t1:t"&amp;$B$1)=$L$1,IF(INDIRECT("output_parsed_hero!u1:u"&amp;$B$1)="Dire",IF(INDIRECT("output_parsed_hero!e1:i"&amp;$B$1)=$L76,IF(INDIRECT("output_parsed_hero!D1:D"&amp;$B$1)=FALSE,1)))))</f>
        <v>0</v>
      </c>
      <c r="S76">
        <f t="shared" ca="1" si="15"/>
        <v>0</v>
      </c>
      <c r="Z76" t="s">
        <v>507</v>
      </c>
    </row>
    <row r="77" spans="1:26" x14ac:dyDescent="0.3">
      <c r="A77">
        <f t="shared" si="12"/>
        <v>73</v>
      </c>
      <c r="B77" t="str">
        <f>VLOOKUP(A77,'hero names'!$S$7:$T$209,2,0)</f>
        <v>Alchemist</v>
      </c>
      <c r="C77">
        <f t="array" aca="1" ref="C77" ca="1">COUNT(IF(INDIRECT("output_parsed!E1:N"&amp;$B$1)='Analysis backend'!$A77,INDIRECT("output_parsed!E1:N"&amp;$B$1)))</f>
        <v>1</v>
      </c>
      <c r="D77">
        <f t="array" aca="1" ref="D77" ca="1">COUNT(IF(INDIRECT("output_parsed!o1:s"&amp;$B$1)='Analysis backend'!$A77,INDIRECT("output_parsed!o1:s"&amp;$B$1)))</f>
        <v>0</v>
      </c>
      <c r="E77">
        <f t="shared" ca="1" si="11"/>
        <v>1</v>
      </c>
      <c r="F77">
        <f t="array" aca="1" ref="F77" ca="1">COUNT(IF(INDIRECT("output_parsed!D1:D"&amp;$B$1)=TRUE,IF(INDIRECT("output_parsed!E1:I"&amp;$B$1)='Analysis backend'!$A77,INDIRECT("output_parsed!E1:I"&amp;$B$1))))+COUNT(IF(INDIRECT("output_parsed!D1:D"&amp;$B$1)=FALSE,IF(INDIRECT("output_parsed!J1:N"&amp;$B$1)='Analysis backend'!$A77,INDIRECT("output_parsed!J1:N"&amp;$B$1))))</f>
        <v>0</v>
      </c>
      <c r="L77">
        <f t="shared" si="16"/>
        <v>72</v>
      </c>
      <c r="M77" t="str">
        <f t="shared" si="13"/>
        <v>Gyrocopter</v>
      </c>
      <c r="N77">
        <f t="array" aca="1" ref="N77" ca="1">SUM(IF(INDIRECT("output_parsed_hero!t1:t"&amp;$B$1)=$L$1,IF(INDIRECT("output_parsed_hero!u1:u"&amp;$B$1)="Radiant",IF(INDIRECT("output_parsed_hero!E1:I"&amp;$B$1)=$L77,1))))+SUM(IF(INDIRECT("output_parsed_hero!t1:t"&amp;$B$1)=$L$1,IF(INDIRECT("output_parsed_hero!u1:u"&amp;$B$1)="Dire",IF(INDIRECT("output_parsed_hero!j1:n"&amp;$B$1)=$L77,1))))</f>
        <v>1</v>
      </c>
      <c r="O77">
        <f t="array" aca="1" ref="O77" ca="1">SUM(IF(INDIRECT("output_parsed_hero!t1:t"&amp;$B$1)=$L$1,IF(INDIRECT("output_parsed_hero!u1:u"&amp;$B$1)="Radiant",IF(INDIRECT("output_parsed_hero!E1:I"&amp;$B$1)=$L77,IF(INDIRECT("output_parsed_hero!D1:D"&amp;$B$1)=TRUE,1)))))+SUM(IF(INDIRECT("output_parsed_hero!t1:t"&amp;$B$1)=$L$1,IF(INDIRECT("output_parsed_hero!u1:u"&amp;$B$1)="Dire",IF(INDIRECT("output_parsed_hero!j1:N"&amp;$B$1)=$L77,IF(INDIRECT("output_parsed_hero!D1:D"&amp;$B$1)=FALSE,1)))))</f>
        <v>1</v>
      </c>
      <c r="P77">
        <f t="shared" ca="1" si="14"/>
        <v>1</v>
      </c>
      <c r="Q77">
        <f t="array" aca="1" ref="Q77" ca="1">SUM(IF(INDIRECT("output_parsed_hero!t1:t"&amp;$B$1)=$L$1,IF(INDIRECT("output_parsed_hero!u1:u"&amp;$B$1)="Radiant",IF(INDIRECT("output_parsed_hero!j1:n"&amp;$B$1)=$L77,1))))+SUM(IF(INDIRECT("output_parsed_hero!t1:t"&amp;$B$1)=$L$1,IF(INDIRECT("output_parsed_hero!u1:u"&amp;$B$1)="Dire",IF(INDIRECT("output_parsed_hero!e1:i"&amp;$B$1)=$L77,1))))</f>
        <v>6</v>
      </c>
      <c r="R77">
        <f t="array" aca="1" ref="R77" ca="1">SUM(IF(INDIRECT("output_parsed_hero!t1:t"&amp;$B$1)=$L$1,IF(INDIRECT("output_parsed_hero!u1:u"&amp;$B$1)="Radiant",IF(INDIRECT("output_parsed_hero!j1:n"&amp;$B$1)=$L77,IF(INDIRECT("output_parsed_hero!D1:D"&amp;$B$1)=TRUE,1)))))+SUM(IF(INDIRECT("output_parsed_hero!t1:t"&amp;$B$1)=$L$1,IF(INDIRECT("output_parsed_hero!u1:u"&amp;$B$1)="Dire",IF(INDIRECT("output_parsed_hero!e1:i"&amp;$B$1)=$L77,IF(INDIRECT("output_parsed_hero!D1:D"&amp;$B$1)=FALSE,1)))))</f>
        <v>5</v>
      </c>
      <c r="S77">
        <f t="shared" ca="1" si="15"/>
        <v>0.83333333333333337</v>
      </c>
      <c r="Z77" t="s">
        <v>411</v>
      </c>
    </row>
    <row r="78" spans="1:26" x14ac:dyDescent="0.3">
      <c r="A78">
        <f t="shared" si="12"/>
        <v>74</v>
      </c>
      <c r="B78" t="str">
        <f>VLOOKUP(A78,'hero names'!$S$7:$T$209,2,0)</f>
        <v>Invoker</v>
      </c>
      <c r="C78">
        <f t="array" aca="1" ref="C78" ca="1">COUNT(IF(INDIRECT("output_parsed!E1:N"&amp;$B$1)='Analysis backend'!$A78,INDIRECT("output_parsed!E1:N"&amp;$B$1)))</f>
        <v>24</v>
      </c>
      <c r="D78">
        <f t="array" aca="1" ref="D78" ca="1">COUNT(IF(INDIRECT("output_parsed!o1:s"&amp;$B$1)='Analysis backend'!$A78,INDIRECT("output_parsed!o1:s"&amp;$B$1)))</f>
        <v>1</v>
      </c>
      <c r="E78">
        <f t="shared" ca="1" si="11"/>
        <v>25</v>
      </c>
      <c r="F78">
        <f t="array" aca="1" ref="F78" ca="1">COUNT(IF(INDIRECT("output_parsed!D1:D"&amp;$B$1)=TRUE,IF(INDIRECT("output_parsed!E1:I"&amp;$B$1)='Analysis backend'!$A78,INDIRECT("output_parsed!E1:I"&amp;$B$1))))+COUNT(IF(INDIRECT("output_parsed!D1:D"&amp;$B$1)=FALSE,IF(INDIRECT("output_parsed!J1:N"&amp;$B$1)='Analysis backend'!$A78,INDIRECT("output_parsed!J1:N"&amp;$B$1))))</f>
        <v>11</v>
      </c>
      <c r="L78">
        <f t="shared" si="16"/>
        <v>73</v>
      </c>
      <c r="M78" t="str">
        <f t="shared" si="13"/>
        <v>Alchemist</v>
      </c>
      <c r="N78">
        <f t="array" aca="1" ref="N78" ca="1">SUM(IF(INDIRECT("output_parsed_hero!t1:t"&amp;$B$1)=$L$1,IF(INDIRECT("output_parsed_hero!u1:u"&amp;$B$1)="Radiant",IF(INDIRECT("output_parsed_hero!E1:I"&amp;$B$1)=$L78,1))))+SUM(IF(INDIRECT("output_parsed_hero!t1:t"&amp;$B$1)=$L$1,IF(INDIRECT("output_parsed_hero!u1:u"&amp;$B$1)="Dire",IF(INDIRECT("output_parsed_hero!j1:n"&amp;$B$1)=$L78,1))))</f>
        <v>0</v>
      </c>
      <c r="O78">
        <f t="array" aca="1" ref="O78" ca="1">SUM(IF(INDIRECT("output_parsed_hero!t1:t"&amp;$B$1)=$L$1,IF(INDIRECT("output_parsed_hero!u1:u"&amp;$B$1)="Radiant",IF(INDIRECT("output_parsed_hero!E1:I"&amp;$B$1)=$L78,IF(INDIRECT("output_parsed_hero!D1:D"&amp;$B$1)=TRUE,1)))))+SUM(IF(INDIRECT("output_parsed_hero!t1:t"&amp;$B$1)=$L$1,IF(INDIRECT("output_parsed_hero!u1:u"&amp;$B$1)="Dire",IF(INDIRECT("output_parsed_hero!j1:N"&amp;$B$1)=$L78,IF(INDIRECT("output_parsed_hero!D1:D"&amp;$B$1)=FALSE,1)))))</f>
        <v>0</v>
      </c>
      <c r="P78">
        <f t="shared" ca="1" si="14"/>
        <v>0</v>
      </c>
      <c r="Q78">
        <f t="array" aca="1" ref="Q78" ca="1">SUM(IF(INDIRECT("output_parsed_hero!t1:t"&amp;$B$1)=$L$1,IF(INDIRECT("output_parsed_hero!u1:u"&amp;$B$1)="Radiant",IF(INDIRECT("output_parsed_hero!j1:n"&amp;$B$1)=$L78,1))))+SUM(IF(INDIRECT("output_parsed_hero!t1:t"&amp;$B$1)=$L$1,IF(INDIRECT("output_parsed_hero!u1:u"&amp;$B$1)="Dire",IF(INDIRECT("output_parsed_hero!e1:i"&amp;$B$1)=$L78,1))))</f>
        <v>0</v>
      </c>
      <c r="R78">
        <f t="array" aca="1" ref="R78" ca="1">SUM(IF(INDIRECT("output_parsed_hero!t1:t"&amp;$B$1)=$L$1,IF(INDIRECT("output_parsed_hero!u1:u"&amp;$B$1)="Radiant",IF(INDIRECT("output_parsed_hero!j1:n"&amp;$B$1)=$L78,IF(INDIRECT("output_parsed_hero!D1:D"&amp;$B$1)=TRUE,1)))))+SUM(IF(INDIRECT("output_parsed_hero!t1:t"&amp;$B$1)=$L$1,IF(INDIRECT("output_parsed_hero!u1:u"&amp;$B$1)="Dire",IF(INDIRECT("output_parsed_hero!e1:i"&amp;$B$1)=$L78,IF(INDIRECT("output_parsed_hero!D1:D"&amp;$B$1)=FALSE,1)))))</f>
        <v>0</v>
      </c>
      <c r="S78">
        <f t="shared" ca="1" si="15"/>
        <v>0</v>
      </c>
      <c r="Z78" t="s">
        <v>412</v>
      </c>
    </row>
    <row r="79" spans="1:26" x14ac:dyDescent="0.3">
      <c r="A79">
        <f t="shared" si="12"/>
        <v>75</v>
      </c>
      <c r="B79" t="str">
        <f>VLOOKUP(A79,'hero names'!$S$7:$T$209,2,0)</f>
        <v>Silencer</v>
      </c>
      <c r="C79">
        <f t="array" aca="1" ref="C79" ca="1">COUNT(IF(INDIRECT("output_parsed!E1:N"&amp;$B$1)='Analysis backend'!$A79,INDIRECT("output_parsed!E1:N"&amp;$B$1)))</f>
        <v>17</v>
      </c>
      <c r="D79">
        <f t="array" aca="1" ref="D79" ca="1">COUNT(IF(INDIRECT("output_parsed!o1:s"&amp;$B$1)='Analysis backend'!$A79,INDIRECT("output_parsed!o1:s"&amp;$B$1)))</f>
        <v>3</v>
      </c>
      <c r="E79">
        <f t="shared" ca="1" si="11"/>
        <v>20</v>
      </c>
      <c r="F79">
        <f t="array" aca="1" ref="F79" ca="1">COUNT(IF(INDIRECT("output_parsed!D1:D"&amp;$B$1)=TRUE,IF(INDIRECT("output_parsed!E1:I"&amp;$B$1)='Analysis backend'!$A79,INDIRECT("output_parsed!E1:I"&amp;$B$1))))+COUNT(IF(INDIRECT("output_parsed!D1:D"&amp;$B$1)=FALSE,IF(INDIRECT("output_parsed!J1:N"&amp;$B$1)='Analysis backend'!$A79,INDIRECT("output_parsed!J1:N"&amp;$B$1))))</f>
        <v>9</v>
      </c>
      <c r="L79">
        <f t="shared" si="16"/>
        <v>74</v>
      </c>
      <c r="M79" t="str">
        <f t="shared" si="13"/>
        <v>Invoker</v>
      </c>
      <c r="N79">
        <f t="array" aca="1" ref="N79" ca="1">SUM(IF(INDIRECT("output_parsed_hero!t1:t"&amp;$B$1)=$L$1,IF(INDIRECT("output_parsed_hero!u1:u"&amp;$B$1)="Radiant",IF(INDIRECT("output_parsed_hero!E1:I"&amp;$B$1)=$L79,1))))+SUM(IF(INDIRECT("output_parsed_hero!t1:t"&amp;$B$1)=$L$1,IF(INDIRECT("output_parsed_hero!u1:u"&amp;$B$1)="Dire",IF(INDIRECT("output_parsed_hero!j1:n"&amp;$B$1)=$L79,1))))</f>
        <v>6</v>
      </c>
      <c r="O79">
        <f t="array" aca="1" ref="O79" ca="1">SUM(IF(INDIRECT("output_parsed_hero!t1:t"&amp;$B$1)=$L$1,IF(INDIRECT("output_parsed_hero!u1:u"&amp;$B$1)="Radiant",IF(INDIRECT("output_parsed_hero!E1:I"&amp;$B$1)=$L79,IF(INDIRECT("output_parsed_hero!D1:D"&amp;$B$1)=TRUE,1)))))+SUM(IF(INDIRECT("output_parsed_hero!t1:t"&amp;$B$1)=$L$1,IF(INDIRECT("output_parsed_hero!u1:u"&amp;$B$1)="Dire",IF(INDIRECT("output_parsed_hero!j1:N"&amp;$B$1)=$L79,IF(INDIRECT("output_parsed_hero!D1:D"&amp;$B$1)=FALSE,1)))))</f>
        <v>3</v>
      </c>
      <c r="P79">
        <f t="shared" ca="1" si="14"/>
        <v>0.5</v>
      </c>
      <c r="Q79">
        <f t="array" aca="1" ref="Q79" ca="1">SUM(IF(INDIRECT("output_parsed_hero!t1:t"&amp;$B$1)=$L$1,IF(INDIRECT("output_parsed_hero!u1:u"&amp;$B$1)="Radiant",IF(INDIRECT("output_parsed_hero!j1:n"&amp;$B$1)=$L79,1))))+SUM(IF(INDIRECT("output_parsed_hero!t1:t"&amp;$B$1)=$L$1,IF(INDIRECT("output_parsed_hero!u1:u"&amp;$B$1)="Dire",IF(INDIRECT("output_parsed_hero!e1:i"&amp;$B$1)=$L79,1))))</f>
        <v>7</v>
      </c>
      <c r="R79">
        <f t="array" aca="1" ref="R79" ca="1">SUM(IF(INDIRECT("output_parsed_hero!t1:t"&amp;$B$1)=$L$1,IF(INDIRECT("output_parsed_hero!u1:u"&amp;$B$1)="Radiant",IF(INDIRECT("output_parsed_hero!j1:n"&amp;$B$1)=$L79,IF(INDIRECT("output_parsed_hero!D1:D"&amp;$B$1)=TRUE,1)))))+SUM(IF(INDIRECT("output_parsed_hero!t1:t"&amp;$B$1)=$L$1,IF(INDIRECT("output_parsed_hero!u1:u"&amp;$B$1)="Dire",IF(INDIRECT("output_parsed_hero!e1:i"&amp;$B$1)=$L79,IF(INDIRECT("output_parsed_hero!D1:D"&amp;$B$1)=FALSE,1)))))</f>
        <v>7</v>
      </c>
      <c r="S79">
        <f t="shared" ca="1" si="15"/>
        <v>1</v>
      </c>
      <c r="Z79" t="s">
        <v>442</v>
      </c>
    </row>
    <row r="80" spans="1:26" x14ac:dyDescent="0.3">
      <c r="A80">
        <f t="shared" si="12"/>
        <v>76</v>
      </c>
      <c r="B80" t="str">
        <f>VLOOKUP(A80,'hero names'!$S$7:$T$209,2,0)</f>
        <v>Outworld Devourer</v>
      </c>
      <c r="C80">
        <f t="array" aca="1" ref="C80" ca="1">COUNT(IF(INDIRECT("output_parsed!E1:N"&amp;$B$1)='Analysis backend'!$A80,INDIRECT("output_parsed!E1:N"&amp;$B$1)))</f>
        <v>76</v>
      </c>
      <c r="D80">
        <f t="array" aca="1" ref="D80" ca="1">COUNT(IF(INDIRECT("output_parsed!o1:s"&amp;$B$1)='Analysis backend'!$A80,INDIRECT("output_parsed!o1:s"&amp;$B$1)))</f>
        <v>16</v>
      </c>
      <c r="E80">
        <f t="shared" ca="1" si="11"/>
        <v>92</v>
      </c>
      <c r="F80">
        <f t="array" aca="1" ref="F80" ca="1">COUNT(IF(INDIRECT("output_parsed!D1:D"&amp;$B$1)=TRUE,IF(INDIRECT("output_parsed!E1:I"&amp;$B$1)='Analysis backend'!$A80,INDIRECT("output_parsed!E1:I"&amp;$B$1))))+COUNT(IF(INDIRECT("output_parsed!D1:D"&amp;$B$1)=FALSE,IF(INDIRECT("output_parsed!J1:N"&amp;$B$1)='Analysis backend'!$A80,INDIRECT("output_parsed!J1:N"&amp;$B$1))))</f>
        <v>38</v>
      </c>
      <c r="L80">
        <f t="shared" si="16"/>
        <v>75</v>
      </c>
      <c r="M80" t="str">
        <f t="shared" si="13"/>
        <v>Silencer</v>
      </c>
      <c r="N80">
        <f t="array" aca="1" ref="N80" ca="1">SUM(IF(INDIRECT("output_parsed_hero!t1:t"&amp;$B$1)=$L$1,IF(INDIRECT("output_parsed_hero!u1:u"&amp;$B$1)="Radiant",IF(INDIRECT("output_parsed_hero!E1:I"&amp;$B$1)=$L80,1))))+SUM(IF(INDIRECT("output_parsed_hero!t1:t"&amp;$B$1)=$L$1,IF(INDIRECT("output_parsed_hero!u1:u"&amp;$B$1)="Dire",IF(INDIRECT("output_parsed_hero!j1:n"&amp;$B$1)=$L80,1))))</f>
        <v>6</v>
      </c>
      <c r="O80">
        <f t="array" aca="1" ref="O80" ca="1">SUM(IF(INDIRECT("output_parsed_hero!t1:t"&amp;$B$1)=$L$1,IF(INDIRECT("output_parsed_hero!u1:u"&amp;$B$1)="Radiant",IF(INDIRECT("output_parsed_hero!E1:I"&amp;$B$1)=$L80,IF(INDIRECT("output_parsed_hero!D1:D"&amp;$B$1)=TRUE,1)))))+SUM(IF(INDIRECT("output_parsed_hero!t1:t"&amp;$B$1)=$L$1,IF(INDIRECT("output_parsed_hero!u1:u"&amp;$B$1)="Dire",IF(INDIRECT("output_parsed_hero!j1:N"&amp;$B$1)=$L80,IF(INDIRECT("output_parsed_hero!D1:D"&amp;$B$1)=FALSE,1)))))</f>
        <v>3</v>
      </c>
      <c r="P80">
        <f t="shared" ca="1" si="14"/>
        <v>0.5</v>
      </c>
      <c r="Q80">
        <f t="array" aca="1" ref="Q80" ca="1">SUM(IF(INDIRECT("output_parsed_hero!t1:t"&amp;$B$1)=$L$1,IF(INDIRECT("output_parsed_hero!u1:u"&amp;$B$1)="Radiant",IF(INDIRECT("output_parsed_hero!j1:n"&amp;$B$1)=$L80,1))))+SUM(IF(INDIRECT("output_parsed_hero!t1:t"&amp;$B$1)=$L$1,IF(INDIRECT("output_parsed_hero!u1:u"&amp;$B$1)="Dire",IF(INDIRECT("output_parsed_hero!e1:i"&amp;$B$1)=$L80,1))))</f>
        <v>2</v>
      </c>
      <c r="R80">
        <f t="array" aca="1" ref="R80" ca="1">SUM(IF(INDIRECT("output_parsed_hero!t1:t"&amp;$B$1)=$L$1,IF(INDIRECT("output_parsed_hero!u1:u"&amp;$B$1)="Radiant",IF(INDIRECT("output_parsed_hero!j1:n"&amp;$B$1)=$L80,IF(INDIRECT("output_parsed_hero!D1:D"&amp;$B$1)=TRUE,1)))))+SUM(IF(INDIRECT("output_parsed_hero!t1:t"&amp;$B$1)=$L$1,IF(INDIRECT("output_parsed_hero!u1:u"&amp;$B$1)="Dire",IF(INDIRECT("output_parsed_hero!e1:i"&amp;$B$1)=$L80,IF(INDIRECT("output_parsed_hero!D1:D"&amp;$B$1)=FALSE,1)))))</f>
        <v>1</v>
      </c>
      <c r="S80">
        <f t="shared" ca="1" si="15"/>
        <v>0.5</v>
      </c>
      <c r="Z80" t="s">
        <v>436</v>
      </c>
    </row>
    <row r="81" spans="1:26" x14ac:dyDescent="0.3">
      <c r="A81">
        <f t="shared" si="12"/>
        <v>77</v>
      </c>
      <c r="B81" t="str">
        <f>VLOOKUP(A81,'hero names'!$S$7:$T$209,2,0)</f>
        <v>Lycan</v>
      </c>
      <c r="C81">
        <f t="array" aca="1" ref="C81" ca="1">COUNT(IF(INDIRECT("output_parsed!E1:N"&amp;$B$1)='Analysis backend'!$A81,INDIRECT("output_parsed!E1:N"&amp;$B$1)))</f>
        <v>5</v>
      </c>
      <c r="D81">
        <f t="array" aca="1" ref="D81" ca="1">COUNT(IF(INDIRECT("output_parsed!o1:s"&amp;$B$1)='Analysis backend'!$A81,INDIRECT("output_parsed!o1:s"&amp;$B$1)))</f>
        <v>4</v>
      </c>
      <c r="E81">
        <f t="shared" ca="1" si="11"/>
        <v>9</v>
      </c>
      <c r="F81">
        <f t="array" aca="1" ref="F81" ca="1">COUNT(IF(INDIRECT("output_parsed!D1:D"&amp;$B$1)=TRUE,IF(INDIRECT("output_parsed!E1:I"&amp;$B$1)='Analysis backend'!$A81,INDIRECT("output_parsed!E1:I"&amp;$B$1))))+COUNT(IF(INDIRECT("output_parsed!D1:D"&amp;$B$1)=FALSE,IF(INDIRECT("output_parsed!J1:N"&amp;$B$1)='Analysis backend'!$A81,INDIRECT("output_parsed!J1:N"&amp;$B$1))))</f>
        <v>4</v>
      </c>
      <c r="L81">
        <f t="shared" si="16"/>
        <v>76</v>
      </c>
      <c r="M81" t="str">
        <f t="shared" si="13"/>
        <v>Outworld Devourer</v>
      </c>
      <c r="N81">
        <f t="array" aca="1" ref="N81" ca="1">SUM(IF(INDIRECT("output_parsed_hero!t1:t"&amp;$B$1)=$L$1,IF(INDIRECT("output_parsed_hero!u1:u"&amp;$B$1)="Radiant",IF(INDIRECT("output_parsed_hero!E1:I"&amp;$B$1)=$L81,1))))+SUM(IF(INDIRECT("output_parsed_hero!t1:t"&amp;$B$1)=$L$1,IF(INDIRECT("output_parsed_hero!u1:u"&amp;$B$1)="Dire",IF(INDIRECT("output_parsed_hero!j1:n"&amp;$B$1)=$L81,1))))</f>
        <v>23</v>
      </c>
      <c r="O81">
        <f t="array" aca="1" ref="O81" ca="1">SUM(IF(INDIRECT("output_parsed_hero!t1:t"&amp;$B$1)=$L$1,IF(INDIRECT("output_parsed_hero!u1:u"&amp;$B$1)="Radiant",IF(INDIRECT("output_parsed_hero!E1:I"&amp;$B$1)=$L81,IF(INDIRECT("output_parsed_hero!D1:D"&amp;$B$1)=TRUE,1)))))+SUM(IF(INDIRECT("output_parsed_hero!t1:t"&amp;$B$1)=$L$1,IF(INDIRECT("output_parsed_hero!u1:u"&amp;$B$1)="Dire",IF(INDIRECT("output_parsed_hero!j1:N"&amp;$B$1)=$L81,IF(INDIRECT("output_parsed_hero!D1:D"&amp;$B$1)=FALSE,1)))))</f>
        <v>16</v>
      </c>
      <c r="P81">
        <f t="shared" ca="1" si="14"/>
        <v>0.69565217391304346</v>
      </c>
      <c r="Q81">
        <f t="array" aca="1" ref="Q81" ca="1">SUM(IF(INDIRECT("output_parsed_hero!t1:t"&amp;$B$1)=$L$1,IF(INDIRECT("output_parsed_hero!u1:u"&amp;$B$1)="Radiant",IF(INDIRECT("output_parsed_hero!j1:n"&amp;$B$1)=$L81,1))))+SUM(IF(INDIRECT("output_parsed_hero!t1:t"&amp;$B$1)=$L$1,IF(INDIRECT("output_parsed_hero!u1:u"&amp;$B$1)="Dire",IF(INDIRECT("output_parsed_hero!e1:i"&amp;$B$1)=$L81,1))))</f>
        <v>12</v>
      </c>
      <c r="R81">
        <f t="array" aca="1" ref="R81" ca="1">SUM(IF(INDIRECT("output_parsed_hero!t1:t"&amp;$B$1)=$L$1,IF(INDIRECT("output_parsed_hero!u1:u"&amp;$B$1)="Radiant",IF(INDIRECT("output_parsed_hero!j1:n"&amp;$B$1)=$L81,IF(INDIRECT("output_parsed_hero!D1:D"&amp;$B$1)=TRUE,1)))))+SUM(IF(INDIRECT("output_parsed_hero!t1:t"&amp;$B$1)=$L$1,IF(INDIRECT("output_parsed_hero!u1:u"&amp;$B$1)="Dire",IF(INDIRECT("output_parsed_hero!e1:i"&amp;$B$1)=$L81,IF(INDIRECT("output_parsed_hero!D1:D"&amp;$B$1)=FALSE,1)))))</f>
        <v>7</v>
      </c>
      <c r="S81">
        <f t="shared" ca="1" si="15"/>
        <v>0.58333333333333337</v>
      </c>
      <c r="Z81" t="s">
        <v>413</v>
      </c>
    </row>
    <row r="82" spans="1:26" x14ac:dyDescent="0.3">
      <c r="A82">
        <f t="shared" si="12"/>
        <v>78</v>
      </c>
      <c r="B82" t="str">
        <f>VLOOKUP(A82,'hero names'!$S$7:$T$209,2,0)</f>
        <v>Brewmaster</v>
      </c>
      <c r="C82">
        <f t="array" aca="1" ref="C82" ca="1">COUNT(IF(INDIRECT("output_parsed!E1:N"&amp;$B$1)='Analysis backend'!$A82,INDIRECT("output_parsed!E1:N"&amp;$B$1)))</f>
        <v>46</v>
      </c>
      <c r="D82">
        <f t="array" aca="1" ref="D82" ca="1">COUNT(IF(INDIRECT("output_parsed!o1:s"&amp;$B$1)='Analysis backend'!$A82,INDIRECT("output_parsed!o1:s"&amp;$B$1)))</f>
        <v>9</v>
      </c>
      <c r="E82">
        <f t="shared" ca="1" si="11"/>
        <v>55</v>
      </c>
      <c r="F82">
        <f t="array" aca="1" ref="F82" ca="1">COUNT(IF(INDIRECT("output_parsed!D1:D"&amp;$B$1)=TRUE,IF(INDIRECT("output_parsed!E1:I"&amp;$B$1)='Analysis backend'!$A82,INDIRECT("output_parsed!E1:I"&amp;$B$1))))+COUNT(IF(INDIRECT("output_parsed!D1:D"&amp;$B$1)=FALSE,IF(INDIRECT("output_parsed!J1:N"&amp;$B$1)='Analysis backend'!$A82,INDIRECT("output_parsed!J1:N"&amp;$B$1))))</f>
        <v>19</v>
      </c>
      <c r="L82">
        <f t="shared" si="16"/>
        <v>77</v>
      </c>
      <c r="M82" t="str">
        <f t="shared" si="13"/>
        <v>Lycan</v>
      </c>
      <c r="N82">
        <f t="array" aca="1" ref="N82" ca="1">SUM(IF(INDIRECT("output_parsed_hero!t1:t"&amp;$B$1)=$L$1,IF(INDIRECT("output_parsed_hero!u1:u"&amp;$B$1)="Radiant",IF(INDIRECT("output_parsed_hero!E1:I"&amp;$B$1)=$L82,1))))+SUM(IF(INDIRECT("output_parsed_hero!t1:t"&amp;$B$1)=$L$1,IF(INDIRECT("output_parsed_hero!u1:u"&amp;$B$1)="Dire",IF(INDIRECT("output_parsed_hero!j1:n"&amp;$B$1)=$L82,1))))</f>
        <v>0</v>
      </c>
      <c r="O82">
        <f t="array" aca="1" ref="O82" ca="1">SUM(IF(INDIRECT("output_parsed_hero!t1:t"&amp;$B$1)=$L$1,IF(INDIRECT("output_parsed_hero!u1:u"&amp;$B$1)="Radiant",IF(INDIRECT("output_parsed_hero!E1:I"&amp;$B$1)=$L82,IF(INDIRECT("output_parsed_hero!D1:D"&amp;$B$1)=TRUE,1)))))+SUM(IF(INDIRECT("output_parsed_hero!t1:t"&amp;$B$1)=$L$1,IF(INDIRECT("output_parsed_hero!u1:u"&amp;$B$1)="Dire",IF(INDIRECT("output_parsed_hero!j1:N"&amp;$B$1)=$L82,IF(INDIRECT("output_parsed_hero!D1:D"&amp;$B$1)=FALSE,1)))))</f>
        <v>0</v>
      </c>
      <c r="P82">
        <f t="shared" ca="1" si="14"/>
        <v>0</v>
      </c>
      <c r="Q82">
        <f t="array" aca="1" ref="Q82" ca="1">SUM(IF(INDIRECT("output_parsed_hero!t1:t"&amp;$B$1)=$L$1,IF(INDIRECT("output_parsed_hero!u1:u"&amp;$B$1)="Radiant",IF(INDIRECT("output_parsed_hero!j1:n"&amp;$B$1)=$L82,1))))+SUM(IF(INDIRECT("output_parsed_hero!t1:t"&amp;$B$1)=$L$1,IF(INDIRECT("output_parsed_hero!u1:u"&amp;$B$1)="Dire",IF(INDIRECT("output_parsed_hero!e1:i"&amp;$B$1)=$L82,1))))</f>
        <v>2</v>
      </c>
      <c r="R82">
        <f t="array" aca="1" ref="R82" ca="1">SUM(IF(INDIRECT("output_parsed_hero!t1:t"&amp;$B$1)=$L$1,IF(INDIRECT("output_parsed_hero!u1:u"&amp;$B$1)="Radiant",IF(INDIRECT("output_parsed_hero!j1:n"&amp;$B$1)=$L82,IF(INDIRECT("output_parsed_hero!D1:D"&amp;$B$1)=TRUE,1)))))+SUM(IF(INDIRECT("output_parsed_hero!t1:t"&amp;$B$1)=$L$1,IF(INDIRECT("output_parsed_hero!u1:u"&amp;$B$1)="Dire",IF(INDIRECT("output_parsed_hero!e1:i"&amp;$B$1)=$L82,IF(INDIRECT("output_parsed_hero!D1:D"&amp;$B$1)=FALSE,1)))))</f>
        <v>1</v>
      </c>
      <c r="S82">
        <f t="shared" ca="1" si="15"/>
        <v>0.5</v>
      </c>
      <c r="Z82" t="s">
        <v>429</v>
      </c>
    </row>
    <row r="83" spans="1:26" x14ac:dyDescent="0.3">
      <c r="A83">
        <f t="shared" si="12"/>
        <v>79</v>
      </c>
      <c r="B83" t="str">
        <f>VLOOKUP(A83,'hero names'!$S$7:$T$209,2,0)</f>
        <v>Shadow Demon</v>
      </c>
      <c r="C83">
        <f t="array" aca="1" ref="C83" ca="1">COUNT(IF(INDIRECT("output_parsed!E1:N"&amp;$B$1)='Analysis backend'!$A83,INDIRECT("output_parsed!E1:N"&amp;$B$1)))</f>
        <v>17</v>
      </c>
      <c r="D83">
        <f t="array" aca="1" ref="D83" ca="1">COUNT(IF(INDIRECT("output_parsed!o1:s"&amp;$B$1)='Analysis backend'!$A83,INDIRECT("output_parsed!o1:s"&amp;$B$1)))</f>
        <v>1</v>
      </c>
      <c r="E83">
        <f t="shared" ca="1" si="11"/>
        <v>18</v>
      </c>
      <c r="F83">
        <f t="array" aca="1" ref="F83" ca="1">COUNT(IF(INDIRECT("output_parsed!D1:D"&amp;$B$1)=TRUE,IF(INDIRECT("output_parsed!E1:I"&amp;$B$1)='Analysis backend'!$A83,INDIRECT("output_parsed!E1:I"&amp;$B$1))))+COUNT(IF(INDIRECT("output_parsed!D1:D"&amp;$B$1)=FALSE,IF(INDIRECT("output_parsed!J1:N"&amp;$B$1)='Analysis backend'!$A83,INDIRECT("output_parsed!J1:N"&amp;$B$1))))</f>
        <v>8</v>
      </c>
      <c r="L83">
        <f t="shared" si="16"/>
        <v>78</v>
      </c>
      <c r="M83" t="str">
        <f t="shared" si="13"/>
        <v>Brewmaster</v>
      </c>
      <c r="N83">
        <f t="array" aca="1" ref="N83" ca="1">SUM(IF(INDIRECT("output_parsed_hero!t1:t"&amp;$B$1)=$L$1,IF(INDIRECT("output_parsed_hero!u1:u"&amp;$B$1)="Radiant",IF(INDIRECT("output_parsed_hero!E1:I"&amp;$B$1)=$L83,1))))+SUM(IF(INDIRECT("output_parsed_hero!t1:t"&amp;$B$1)=$L$1,IF(INDIRECT("output_parsed_hero!u1:u"&amp;$B$1)="Dire",IF(INDIRECT("output_parsed_hero!j1:n"&amp;$B$1)=$L83,1))))</f>
        <v>10</v>
      </c>
      <c r="O83">
        <f t="array" aca="1" ref="O83" ca="1">SUM(IF(INDIRECT("output_parsed_hero!t1:t"&amp;$B$1)=$L$1,IF(INDIRECT("output_parsed_hero!u1:u"&amp;$B$1)="Radiant",IF(INDIRECT("output_parsed_hero!E1:I"&amp;$B$1)=$L83,IF(INDIRECT("output_parsed_hero!D1:D"&amp;$B$1)=TRUE,1)))))+SUM(IF(INDIRECT("output_parsed_hero!t1:t"&amp;$B$1)=$L$1,IF(INDIRECT("output_parsed_hero!u1:u"&amp;$B$1)="Dire",IF(INDIRECT("output_parsed_hero!j1:N"&amp;$B$1)=$L83,IF(INDIRECT("output_parsed_hero!D1:D"&amp;$B$1)=FALSE,1)))))</f>
        <v>6</v>
      </c>
      <c r="P83">
        <f t="shared" ca="1" si="14"/>
        <v>0.6</v>
      </c>
      <c r="Q83">
        <f t="array" aca="1" ref="Q83" ca="1">SUM(IF(INDIRECT("output_parsed_hero!t1:t"&amp;$B$1)=$L$1,IF(INDIRECT("output_parsed_hero!u1:u"&amp;$B$1)="Radiant",IF(INDIRECT("output_parsed_hero!j1:n"&amp;$B$1)=$L83,1))))+SUM(IF(INDIRECT("output_parsed_hero!t1:t"&amp;$B$1)=$L$1,IF(INDIRECT("output_parsed_hero!u1:u"&amp;$B$1)="Dire",IF(INDIRECT("output_parsed_hero!e1:i"&amp;$B$1)=$L83,1))))</f>
        <v>12</v>
      </c>
      <c r="R83">
        <f t="array" aca="1" ref="R83" ca="1">SUM(IF(INDIRECT("output_parsed_hero!t1:t"&amp;$B$1)=$L$1,IF(INDIRECT("output_parsed_hero!u1:u"&amp;$B$1)="Radiant",IF(INDIRECT("output_parsed_hero!j1:n"&amp;$B$1)=$L83,IF(INDIRECT("output_parsed_hero!D1:D"&amp;$B$1)=TRUE,1)))))+SUM(IF(INDIRECT("output_parsed_hero!t1:t"&amp;$B$1)=$L$1,IF(INDIRECT("output_parsed_hero!u1:u"&amp;$B$1)="Dire",IF(INDIRECT("output_parsed_hero!e1:i"&amp;$B$1)=$L83,IF(INDIRECT("output_parsed_hero!D1:D"&amp;$B$1)=FALSE,1)))))</f>
        <v>9</v>
      </c>
      <c r="S83">
        <f t="shared" ca="1" si="15"/>
        <v>0.75</v>
      </c>
      <c r="Z83" t="s">
        <v>483</v>
      </c>
    </row>
    <row r="84" spans="1:26" x14ac:dyDescent="0.3">
      <c r="A84">
        <f t="shared" si="12"/>
        <v>80</v>
      </c>
      <c r="B84" t="str">
        <f>VLOOKUP(A84,'hero names'!$S$7:$T$209,2,0)</f>
        <v>Lone Druid</v>
      </c>
      <c r="C84">
        <f t="array" aca="1" ref="C84" ca="1">COUNT(IF(INDIRECT("output_parsed!E1:N"&amp;$B$1)='Analysis backend'!$A84,INDIRECT("output_parsed!E1:N"&amp;$B$1)))</f>
        <v>21</v>
      </c>
      <c r="D84">
        <f t="array" aca="1" ref="D84" ca="1">COUNT(IF(INDIRECT("output_parsed!o1:s"&amp;$B$1)='Analysis backend'!$A84,INDIRECT("output_parsed!o1:s"&amp;$B$1)))</f>
        <v>15</v>
      </c>
      <c r="E84">
        <f t="shared" ca="1" si="11"/>
        <v>36</v>
      </c>
      <c r="F84">
        <f t="array" aca="1" ref="F84" ca="1">COUNT(IF(INDIRECT("output_parsed!D1:D"&amp;$B$1)=TRUE,IF(INDIRECT("output_parsed!E1:I"&amp;$B$1)='Analysis backend'!$A84,INDIRECT("output_parsed!E1:I"&amp;$B$1))))+COUNT(IF(INDIRECT("output_parsed!D1:D"&amp;$B$1)=FALSE,IF(INDIRECT("output_parsed!J1:N"&amp;$B$1)='Analysis backend'!$A84,INDIRECT("output_parsed!J1:N"&amp;$B$1))))</f>
        <v>6</v>
      </c>
      <c r="L84">
        <f t="shared" si="16"/>
        <v>79</v>
      </c>
      <c r="M84" t="str">
        <f t="shared" si="13"/>
        <v>Shadow Demon</v>
      </c>
      <c r="N84">
        <f t="array" aca="1" ref="N84" ca="1">SUM(IF(INDIRECT("output_parsed_hero!t1:t"&amp;$B$1)=$L$1,IF(INDIRECT("output_parsed_hero!u1:u"&amp;$B$1)="Radiant",IF(INDIRECT("output_parsed_hero!E1:I"&amp;$B$1)=$L84,1))))+SUM(IF(INDIRECT("output_parsed_hero!t1:t"&amp;$B$1)=$L$1,IF(INDIRECT("output_parsed_hero!u1:u"&amp;$B$1)="Dire",IF(INDIRECT("output_parsed_hero!j1:n"&amp;$B$1)=$L84,1))))</f>
        <v>6</v>
      </c>
      <c r="O84">
        <f t="array" aca="1" ref="O84" ca="1">SUM(IF(INDIRECT("output_parsed_hero!t1:t"&amp;$B$1)=$L$1,IF(INDIRECT("output_parsed_hero!u1:u"&amp;$B$1)="Radiant",IF(INDIRECT("output_parsed_hero!E1:I"&amp;$B$1)=$L84,IF(INDIRECT("output_parsed_hero!D1:D"&amp;$B$1)=TRUE,1)))))+SUM(IF(INDIRECT("output_parsed_hero!t1:t"&amp;$B$1)=$L$1,IF(INDIRECT("output_parsed_hero!u1:u"&amp;$B$1)="Dire",IF(INDIRECT("output_parsed_hero!j1:N"&amp;$B$1)=$L84,IF(INDIRECT("output_parsed_hero!D1:D"&amp;$B$1)=FALSE,1)))))</f>
        <v>2</v>
      </c>
      <c r="P84">
        <f t="shared" ca="1" si="14"/>
        <v>0.33333333333333331</v>
      </c>
      <c r="Q84">
        <f t="array" aca="1" ref="Q84" ca="1">SUM(IF(INDIRECT("output_parsed_hero!t1:t"&amp;$B$1)=$L$1,IF(INDIRECT("output_parsed_hero!u1:u"&amp;$B$1)="Radiant",IF(INDIRECT("output_parsed_hero!j1:n"&amp;$B$1)=$L84,1))))+SUM(IF(INDIRECT("output_parsed_hero!t1:t"&amp;$B$1)=$L$1,IF(INDIRECT("output_parsed_hero!u1:u"&amp;$B$1)="Dire",IF(INDIRECT("output_parsed_hero!e1:i"&amp;$B$1)=$L84,1))))</f>
        <v>4</v>
      </c>
      <c r="R84">
        <f t="array" aca="1" ref="R84" ca="1">SUM(IF(INDIRECT("output_parsed_hero!t1:t"&amp;$B$1)=$L$1,IF(INDIRECT("output_parsed_hero!u1:u"&amp;$B$1)="Radiant",IF(INDIRECT("output_parsed_hero!j1:n"&amp;$B$1)=$L84,IF(INDIRECT("output_parsed_hero!D1:D"&amp;$B$1)=TRUE,1)))))+SUM(IF(INDIRECT("output_parsed_hero!t1:t"&amp;$B$1)=$L$1,IF(INDIRECT("output_parsed_hero!u1:u"&amp;$B$1)="Dire",IF(INDIRECT("output_parsed_hero!e1:i"&amp;$B$1)=$L84,IF(INDIRECT("output_parsed_hero!D1:D"&amp;$B$1)=FALSE,1)))))</f>
        <v>2</v>
      </c>
      <c r="S84">
        <f t="shared" ca="1" si="15"/>
        <v>0.5</v>
      </c>
      <c r="Z84" t="s">
        <v>414</v>
      </c>
    </row>
    <row r="85" spans="1:26" x14ac:dyDescent="0.3">
      <c r="A85">
        <f t="shared" si="12"/>
        <v>81</v>
      </c>
      <c r="B85" t="str">
        <f>VLOOKUP(A85,'hero names'!$S$7:$T$209,2,0)</f>
        <v>Chaos Knight</v>
      </c>
      <c r="C85">
        <f t="array" aca="1" ref="C85" ca="1">COUNT(IF(INDIRECT("output_parsed!E1:N"&amp;$B$1)='Analysis backend'!$A85,INDIRECT("output_parsed!E1:N"&amp;$B$1)))</f>
        <v>3</v>
      </c>
      <c r="D85">
        <f t="array" aca="1" ref="D85" ca="1">COUNT(IF(INDIRECT("output_parsed!o1:s"&amp;$B$1)='Analysis backend'!$A85,INDIRECT("output_parsed!o1:s"&amp;$B$1)))</f>
        <v>0</v>
      </c>
      <c r="E85">
        <f t="shared" ca="1" si="11"/>
        <v>3</v>
      </c>
      <c r="F85">
        <f t="array" aca="1" ref="F85" ca="1">COUNT(IF(INDIRECT("output_parsed!D1:D"&amp;$B$1)=TRUE,IF(INDIRECT("output_parsed!E1:I"&amp;$B$1)='Analysis backend'!$A85,INDIRECT("output_parsed!E1:I"&amp;$B$1))))+COUNT(IF(INDIRECT("output_parsed!D1:D"&amp;$B$1)=FALSE,IF(INDIRECT("output_parsed!J1:N"&amp;$B$1)='Analysis backend'!$A85,INDIRECT("output_parsed!J1:N"&amp;$B$1))))</f>
        <v>3</v>
      </c>
      <c r="L85">
        <f t="shared" si="16"/>
        <v>80</v>
      </c>
      <c r="M85" t="str">
        <f t="shared" si="13"/>
        <v>Lone Druid</v>
      </c>
      <c r="N85">
        <f t="array" aca="1" ref="N85" ca="1">SUM(IF(INDIRECT("output_parsed_hero!t1:t"&amp;$B$1)=$L$1,IF(INDIRECT("output_parsed_hero!u1:u"&amp;$B$1)="Radiant",IF(INDIRECT("output_parsed_hero!E1:I"&amp;$B$1)=$L85,1))))+SUM(IF(INDIRECT("output_parsed_hero!t1:t"&amp;$B$1)=$L$1,IF(INDIRECT("output_parsed_hero!u1:u"&amp;$B$1)="Dire",IF(INDIRECT("output_parsed_hero!j1:n"&amp;$B$1)=$L85,1))))</f>
        <v>1</v>
      </c>
      <c r="O85">
        <f t="array" aca="1" ref="O85" ca="1">SUM(IF(INDIRECT("output_parsed_hero!t1:t"&amp;$B$1)=$L$1,IF(INDIRECT("output_parsed_hero!u1:u"&amp;$B$1)="Radiant",IF(INDIRECT("output_parsed_hero!E1:I"&amp;$B$1)=$L85,IF(INDIRECT("output_parsed_hero!D1:D"&amp;$B$1)=TRUE,1)))))+SUM(IF(INDIRECT("output_parsed_hero!t1:t"&amp;$B$1)=$L$1,IF(INDIRECT("output_parsed_hero!u1:u"&amp;$B$1)="Dire",IF(INDIRECT("output_parsed_hero!j1:N"&amp;$B$1)=$L85,IF(INDIRECT("output_parsed_hero!D1:D"&amp;$B$1)=FALSE,1)))))</f>
        <v>0</v>
      </c>
      <c r="P85">
        <f t="shared" ca="1" si="14"/>
        <v>0</v>
      </c>
      <c r="Q85">
        <f t="array" aca="1" ref="Q85" ca="1">SUM(IF(INDIRECT("output_parsed_hero!t1:t"&amp;$B$1)=$L$1,IF(INDIRECT("output_parsed_hero!u1:u"&amp;$B$1)="Radiant",IF(INDIRECT("output_parsed_hero!j1:n"&amp;$B$1)=$L85,1))))+SUM(IF(INDIRECT("output_parsed_hero!t1:t"&amp;$B$1)=$L$1,IF(INDIRECT("output_parsed_hero!u1:u"&amp;$B$1)="Dire",IF(INDIRECT("output_parsed_hero!e1:i"&amp;$B$1)=$L85,1))))</f>
        <v>7</v>
      </c>
      <c r="R85">
        <f t="array" aca="1" ref="R85" ca="1">SUM(IF(INDIRECT("output_parsed_hero!t1:t"&amp;$B$1)=$L$1,IF(INDIRECT("output_parsed_hero!u1:u"&amp;$B$1)="Radiant",IF(INDIRECT("output_parsed_hero!j1:n"&amp;$B$1)=$L85,IF(INDIRECT("output_parsed_hero!D1:D"&amp;$B$1)=TRUE,1)))))+SUM(IF(INDIRECT("output_parsed_hero!t1:t"&amp;$B$1)=$L$1,IF(INDIRECT("output_parsed_hero!u1:u"&amp;$B$1)="Dire",IF(INDIRECT("output_parsed_hero!e1:i"&amp;$B$1)=$L85,IF(INDIRECT("output_parsed_hero!D1:D"&amp;$B$1)=FALSE,1)))))</f>
        <v>6</v>
      </c>
      <c r="S85">
        <f t="shared" ca="1" si="15"/>
        <v>0.8571428571428571</v>
      </c>
      <c r="Z85" t="s">
        <v>476</v>
      </c>
    </row>
    <row r="86" spans="1:26" x14ac:dyDescent="0.3">
      <c r="A86">
        <f t="shared" si="12"/>
        <v>82</v>
      </c>
      <c r="B86" t="str">
        <f>VLOOKUP(A86,'hero names'!$S$7:$T$209,2,0)</f>
        <v>Meepo</v>
      </c>
      <c r="C86">
        <f t="array" aca="1" ref="C86" ca="1">COUNT(IF(INDIRECT("output_parsed!E1:N"&amp;$B$1)='Analysis backend'!$A86,INDIRECT("output_parsed!E1:N"&amp;$B$1)))</f>
        <v>11</v>
      </c>
      <c r="D86">
        <f t="array" aca="1" ref="D86" ca="1">COUNT(IF(INDIRECT("output_parsed!o1:s"&amp;$B$1)='Analysis backend'!$A86,INDIRECT("output_parsed!o1:s"&amp;$B$1)))</f>
        <v>35</v>
      </c>
      <c r="E86">
        <f t="shared" ca="1" si="11"/>
        <v>46</v>
      </c>
      <c r="F86">
        <f t="array" aca="1" ref="F86" ca="1">COUNT(IF(INDIRECT("output_parsed!D1:D"&amp;$B$1)=TRUE,IF(INDIRECT("output_parsed!E1:I"&amp;$B$1)='Analysis backend'!$A86,INDIRECT("output_parsed!E1:I"&amp;$B$1))))+COUNT(IF(INDIRECT("output_parsed!D1:D"&amp;$B$1)=FALSE,IF(INDIRECT("output_parsed!J1:N"&amp;$B$1)='Analysis backend'!$A86,INDIRECT("output_parsed!J1:N"&amp;$B$1))))</f>
        <v>6</v>
      </c>
      <c r="L86">
        <f t="shared" si="16"/>
        <v>81</v>
      </c>
      <c r="M86" t="str">
        <f t="shared" si="13"/>
        <v>Chaos Knight</v>
      </c>
      <c r="N86">
        <f t="array" aca="1" ref="N86" ca="1">SUM(IF(INDIRECT("output_parsed_hero!t1:t"&amp;$B$1)=$L$1,IF(INDIRECT("output_parsed_hero!u1:u"&amp;$B$1)="Radiant",IF(INDIRECT("output_parsed_hero!E1:I"&amp;$B$1)=$L86,1))))+SUM(IF(INDIRECT("output_parsed_hero!t1:t"&amp;$B$1)=$L$1,IF(INDIRECT("output_parsed_hero!u1:u"&amp;$B$1)="Dire",IF(INDIRECT("output_parsed_hero!j1:n"&amp;$B$1)=$L86,1))))</f>
        <v>1</v>
      </c>
      <c r="O86">
        <f t="array" aca="1" ref="O86" ca="1">SUM(IF(INDIRECT("output_parsed_hero!t1:t"&amp;$B$1)=$L$1,IF(INDIRECT("output_parsed_hero!u1:u"&amp;$B$1)="Radiant",IF(INDIRECT("output_parsed_hero!E1:I"&amp;$B$1)=$L86,IF(INDIRECT("output_parsed_hero!D1:D"&amp;$B$1)=TRUE,1)))))+SUM(IF(INDIRECT("output_parsed_hero!t1:t"&amp;$B$1)=$L$1,IF(INDIRECT("output_parsed_hero!u1:u"&amp;$B$1)="Dire",IF(INDIRECT("output_parsed_hero!j1:N"&amp;$B$1)=$L86,IF(INDIRECT("output_parsed_hero!D1:D"&amp;$B$1)=FALSE,1)))))</f>
        <v>1</v>
      </c>
      <c r="P86">
        <f t="shared" ca="1" si="14"/>
        <v>1</v>
      </c>
      <c r="Q86">
        <f t="array" aca="1" ref="Q86" ca="1">SUM(IF(INDIRECT("output_parsed_hero!t1:t"&amp;$B$1)=$L$1,IF(INDIRECT("output_parsed_hero!u1:u"&amp;$B$1)="Radiant",IF(INDIRECT("output_parsed_hero!j1:n"&amp;$B$1)=$L86,1))))+SUM(IF(INDIRECT("output_parsed_hero!t1:t"&amp;$B$1)=$L$1,IF(INDIRECT("output_parsed_hero!u1:u"&amp;$B$1)="Dire",IF(INDIRECT("output_parsed_hero!e1:i"&amp;$B$1)=$L86,1))))</f>
        <v>0</v>
      </c>
      <c r="R86">
        <f t="array" aca="1" ref="R86" ca="1">SUM(IF(INDIRECT("output_parsed_hero!t1:t"&amp;$B$1)=$L$1,IF(INDIRECT("output_parsed_hero!u1:u"&amp;$B$1)="Radiant",IF(INDIRECT("output_parsed_hero!j1:n"&amp;$B$1)=$L86,IF(INDIRECT("output_parsed_hero!D1:D"&amp;$B$1)=TRUE,1)))))+SUM(IF(INDIRECT("output_parsed_hero!t1:t"&amp;$B$1)=$L$1,IF(INDIRECT("output_parsed_hero!u1:u"&amp;$B$1)="Dire",IF(INDIRECT("output_parsed_hero!e1:i"&amp;$B$1)=$L86,IF(INDIRECT("output_parsed_hero!D1:D"&amp;$B$1)=FALSE,1)))))</f>
        <v>0</v>
      </c>
      <c r="S86">
        <f t="shared" ca="1" si="15"/>
        <v>0</v>
      </c>
      <c r="Z86" t="s">
        <v>409</v>
      </c>
    </row>
    <row r="87" spans="1:26" x14ac:dyDescent="0.3">
      <c r="A87">
        <f t="shared" si="12"/>
        <v>83</v>
      </c>
      <c r="B87" t="str">
        <f>VLOOKUP(A87,'hero names'!$S$7:$T$209,2,0)</f>
        <v>Treant Protector</v>
      </c>
      <c r="C87">
        <f t="array" aca="1" ref="C87" ca="1">COUNT(IF(INDIRECT("output_parsed!E1:N"&amp;$B$1)='Analysis backend'!$A87,INDIRECT("output_parsed!E1:N"&amp;$B$1)))</f>
        <v>7</v>
      </c>
      <c r="D87">
        <f t="array" aca="1" ref="D87" ca="1">COUNT(IF(INDIRECT("output_parsed!o1:s"&amp;$B$1)='Analysis backend'!$A87,INDIRECT("output_parsed!o1:s"&amp;$B$1)))</f>
        <v>3</v>
      </c>
      <c r="E87">
        <f t="shared" ca="1" si="11"/>
        <v>10</v>
      </c>
      <c r="F87">
        <f t="array" aca="1" ref="F87" ca="1">COUNT(IF(INDIRECT("output_parsed!D1:D"&amp;$B$1)=TRUE,IF(INDIRECT("output_parsed!E1:I"&amp;$B$1)='Analysis backend'!$A87,INDIRECT("output_parsed!E1:I"&amp;$B$1))))+COUNT(IF(INDIRECT("output_parsed!D1:D"&amp;$B$1)=FALSE,IF(INDIRECT("output_parsed!J1:N"&amp;$B$1)='Analysis backend'!$A87,INDIRECT("output_parsed!J1:N"&amp;$B$1))))</f>
        <v>4</v>
      </c>
      <c r="L87">
        <f t="shared" si="16"/>
        <v>82</v>
      </c>
      <c r="M87" t="str">
        <f t="shared" si="13"/>
        <v>Meepo</v>
      </c>
      <c r="N87">
        <f t="array" aca="1" ref="N87" ca="1">SUM(IF(INDIRECT("output_parsed_hero!t1:t"&amp;$B$1)=$L$1,IF(INDIRECT("output_parsed_hero!u1:u"&amp;$B$1)="Radiant",IF(INDIRECT("output_parsed_hero!E1:I"&amp;$B$1)=$L87,1))))+SUM(IF(INDIRECT("output_parsed_hero!t1:t"&amp;$B$1)=$L$1,IF(INDIRECT("output_parsed_hero!u1:u"&amp;$B$1)="Dire",IF(INDIRECT("output_parsed_hero!j1:n"&amp;$B$1)=$L87,1))))</f>
        <v>1</v>
      </c>
      <c r="O87">
        <f t="array" aca="1" ref="O87" ca="1">SUM(IF(INDIRECT("output_parsed_hero!t1:t"&amp;$B$1)=$L$1,IF(INDIRECT("output_parsed_hero!u1:u"&amp;$B$1)="Radiant",IF(INDIRECT("output_parsed_hero!E1:I"&amp;$B$1)=$L87,IF(INDIRECT("output_parsed_hero!D1:D"&amp;$B$1)=TRUE,1)))))+SUM(IF(INDIRECT("output_parsed_hero!t1:t"&amp;$B$1)=$L$1,IF(INDIRECT("output_parsed_hero!u1:u"&amp;$B$1)="Dire",IF(INDIRECT("output_parsed_hero!j1:N"&amp;$B$1)=$L87,IF(INDIRECT("output_parsed_hero!D1:D"&amp;$B$1)=FALSE,1)))))</f>
        <v>1</v>
      </c>
      <c r="P87">
        <f t="shared" ca="1" si="14"/>
        <v>1</v>
      </c>
      <c r="Q87">
        <f t="array" aca="1" ref="Q87" ca="1">SUM(IF(INDIRECT("output_parsed_hero!t1:t"&amp;$B$1)=$L$1,IF(INDIRECT("output_parsed_hero!u1:u"&amp;$B$1)="Radiant",IF(INDIRECT("output_parsed_hero!j1:n"&amp;$B$1)=$L87,1))))+SUM(IF(INDIRECT("output_parsed_hero!t1:t"&amp;$B$1)=$L$1,IF(INDIRECT("output_parsed_hero!u1:u"&amp;$B$1)="Dire",IF(INDIRECT("output_parsed_hero!e1:i"&amp;$B$1)=$L87,1))))</f>
        <v>2</v>
      </c>
      <c r="R87">
        <f t="array" aca="1" ref="R87" ca="1">SUM(IF(INDIRECT("output_parsed_hero!t1:t"&amp;$B$1)=$L$1,IF(INDIRECT("output_parsed_hero!u1:u"&amp;$B$1)="Radiant",IF(INDIRECT("output_parsed_hero!j1:n"&amp;$B$1)=$L87,IF(INDIRECT("output_parsed_hero!D1:D"&amp;$B$1)=TRUE,1)))))+SUM(IF(INDIRECT("output_parsed_hero!t1:t"&amp;$B$1)=$L$1,IF(INDIRECT("output_parsed_hero!u1:u"&amp;$B$1)="Dire",IF(INDIRECT("output_parsed_hero!e1:i"&amp;$B$1)=$L87,IF(INDIRECT("output_parsed_hero!D1:D"&amp;$B$1)=FALSE,1)))))</f>
        <v>1</v>
      </c>
      <c r="S87">
        <f t="shared" ca="1" si="15"/>
        <v>0.5</v>
      </c>
      <c r="Z87" t="s">
        <v>424</v>
      </c>
    </row>
    <row r="88" spans="1:26" x14ac:dyDescent="0.3">
      <c r="A88">
        <f t="shared" si="12"/>
        <v>84</v>
      </c>
      <c r="B88" t="str">
        <f>VLOOKUP(A88,'hero names'!$S$7:$T$209,2,0)</f>
        <v>Ogre Magi</v>
      </c>
      <c r="C88">
        <f t="array" aca="1" ref="C88" ca="1">COUNT(IF(INDIRECT("output_parsed!E1:N"&amp;$B$1)='Analysis backend'!$A88,INDIRECT("output_parsed!E1:N"&amp;$B$1)))</f>
        <v>19</v>
      </c>
      <c r="D88">
        <f t="array" aca="1" ref="D88" ca="1">COUNT(IF(INDIRECT("output_parsed!o1:s"&amp;$B$1)='Analysis backend'!$A88,INDIRECT("output_parsed!o1:s"&amp;$B$1)))</f>
        <v>0</v>
      </c>
      <c r="E88">
        <f t="shared" ca="1" si="11"/>
        <v>19</v>
      </c>
      <c r="F88">
        <f t="array" aca="1" ref="F88" ca="1">COUNT(IF(INDIRECT("output_parsed!D1:D"&amp;$B$1)=TRUE,IF(INDIRECT("output_parsed!E1:I"&amp;$B$1)='Analysis backend'!$A88,INDIRECT("output_parsed!E1:I"&amp;$B$1))))+COUNT(IF(INDIRECT("output_parsed!D1:D"&amp;$B$1)=FALSE,IF(INDIRECT("output_parsed!J1:N"&amp;$B$1)='Analysis backend'!$A88,INDIRECT("output_parsed!J1:N"&amp;$B$1))))</f>
        <v>9</v>
      </c>
      <c r="L88">
        <f t="shared" si="16"/>
        <v>83</v>
      </c>
      <c r="M88" t="str">
        <f t="shared" si="13"/>
        <v>Treant Protector</v>
      </c>
      <c r="N88">
        <f t="array" aca="1" ref="N88" ca="1">SUM(IF(INDIRECT("output_parsed_hero!t1:t"&amp;$B$1)=$L$1,IF(INDIRECT("output_parsed_hero!u1:u"&amp;$B$1)="Radiant",IF(INDIRECT("output_parsed_hero!E1:I"&amp;$B$1)=$L88,1))))+SUM(IF(INDIRECT("output_parsed_hero!t1:t"&amp;$B$1)=$L$1,IF(INDIRECT("output_parsed_hero!u1:u"&amp;$B$1)="Dire",IF(INDIRECT("output_parsed_hero!j1:n"&amp;$B$1)=$L88,1))))</f>
        <v>1</v>
      </c>
      <c r="O88">
        <f t="array" aca="1" ref="O88" ca="1">SUM(IF(INDIRECT("output_parsed_hero!t1:t"&amp;$B$1)=$L$1,IF(INDIRECT("output_parsed_hero!u1:u"&amp;$B$1)="Radiant",IF(INDIRECT("output_parsed_hero!E1:I"&amp;$B$1)=$L88,IF(INDIRECT("output_parsed_hero!D1:D"&amp;$B$1)=TRUE,1)))))+SUM(IF(INDIRECT("output_parsed_hero!t1:t"&amp;$B$1)=$L$1,IF(INDIRECT("output_parsed_hero!u1:u"&amp;$B$1)="Dire",IF(INDIRECT("output_parsed_hero!j1:N"&amp;$B$1)=$L88,IF(INDIRECT("output_parsed_hero!D1:D"&amp;$B$1)=FALSE,1)))))</f>
        <v>0</v>
      </c>
      <c r="P88">
        <f t="shared" ca="1" si="14"/>
        <v>0</v>
      </c>
      <c r="Q88">
        <f t="array" aca="1" ref="Q88" ca="1">SUM(IF(INDIRECT("output_parsed_hero!t1:t"&amp;$B$1)=$L$1,IF(INDIRECT("output_parsed_hero!u1:u"&amp;$B$1)="Radiant",IF(INDIRECT("output_parsed_hero!j1:n"&amp;$B$1)=$L88,1))))+SUM(IF(INDIRECT("output_parsed_hero!t1:t"&amp;$B$1)=$L$1,IF(INDIRECT("output_parsed_hero!u1:u"&amp;$B$1)="Dire",IF(INDIRECT("output_parsed_hero!e1:i"&amp;$B$1)=$L88,1))))</f>
        <v>3</v>
      </c>
      <c r="R88">
        <f t="array" aca="1" ref="R88" ca="1">SUM(IF(INDIRECT("output_parsed_hero!t1:t"&amp;$B$1)=$L$1,IF(INDIRECT("output_parsed_hero!u1:u"&amp;$B$1)="Radiant",IF(INDIRECT("output_parsed_hero!j1:n"&amp;$B$1)=$L88,IF(INDIRECT("output_parsed_hero!D1:D"&amp;$B$1)=TRUE,1)))))+SUM(IF(INDIRECT("output_parsed_hero!t1:t"&amp;$B$1)=$L$1,IF(INDIRECT("output_parsed_hero!u1:u"&amp;$B$1)="Dire",IF(INDIRECT("output_parsed_hero!e1:i"&amp;$B$1)=$L88,IF(INDIRECT("output_parsed_hero!D1:D"&amp;$B$1)=FALSE,1)))))</f>
        <v>1</v>
      </c>
      <c r="S88">
        <f t="shared" ca="1" si="15"/>
        <v>0.33333333333333331</v>
      </c>
      <c r="Z88" t="s">
        <v>472</v>
      </c>
    </row>
    <row r="89" spans="1:26" x14ac:dyDescent="0.3">
      <c r="A89">
        <f t="shared" si="12"/>
        <v>85</v>
      </c>
      <c r="B89" t="str">
        <f>VLOOKUP(A89,'hero names'!$S$7:$T$209,2,0)</f>
        <v>Undying</v>
      </c>
      <c r="C89">
        <f t="array" aca="1" ref="C89" ca="1">COUNT(IF(INDIRECT("output_parsed!E1:N"&amp;$B$1)='Analysis backend'!$A89,INDIRECT("output_parsed!E1:N"&amp;$B$1)))</f>
        <v>34</v>
      </c>
      <c r="D89">
        <f t="array" aca="1" ref="D89" ca="1">COUNT(IF(INDIRECT("output_parsed!o1:s"&amp;$B$1)='Analysis backend'!$A89,INDIRECT("output_parsed!o1:s"&amp;$B$1)))</f>
        <v>5</v>
      </c>
      <c r="E89">
        <f t="shared" ca="1" si="11"/>
        <v>39</v>
      </c>
      <c r="F89">
        <f t="array" aca="1" ref="F89" ca="1">COUNT(IF(INDIRECT("output_parsed!D1:D"&amp;$B$1)=TRUE,IF(INDIRECT("output_parsed!E1:I"&amp;$B$1)='Analysis backend'!$A89,INDIRECT("output_parsed!E1:I"&amp;$B$1))))+COUNT(IF(INDIRECT("output_parsed!D1:D"&amp;$B$1)=FALSE,IF(INDIRECT("output_parsed!J1:N"&amp;$B$1)='Analysis backend'!$A89,INDIRECT("output_parsed!J1:N"&amp;$B$1))))</f>
        <v>19</v>
      </c>
      <c r="L89">
        <f t="shared" si="16"/>
        <v>84</v>
      </c>
      <c r="M89" t="str">
        <f t="shared" si="13"/>
        <v>Ogre Magi</v>
      </c>
      <c r="N89">
        <f t="array" aca="1" ref="N89" ca="1">SUM(IF(INDIRECT("output_parsed_hero!t1:t"&amp;$B$1)=$L$1,IF(INDIRECT("output_parsed_hero!u1:u"&amp;$B$1)="Radiant",IF(INDIRECT("output_parsed_hero!E1:I"&amp;$B$1)=$L89,1))))+SUM(IF(INDIRECT("output_parsed_hero!t1:t"&amp;$B$1)=$L$1,IF(INDIRECT("output_parsed_hero!u1:u"&amp;$B$1)="Dire",IF(INDIRECT("output_parsed_hero!j1:n"&amp;$B$1)=$L89,1))))</f>
        <v>2</v>
      </c>
      <c r="O89">
        <f t="array" aca="1" ref="O89" ca="1">SUM(IF(INDIRECT("output_parsed_hero!t1:t"&amp;$B$1)=$L$1,IF(INDIRECT("output_parsed_hero!u1:u"&amp;$B$1)="Radiant",IF(INDIRECT("output_parsed_hero!E1:I"&amp;$B$1)=$L89,IF(INDIRECT("output_parsed_hero!D1:D"&amp;$B$1)=TRUE,1)))))+SUM(IF(INDIRECT("output_parsed_hero!t1:t"&amp;$B$1)=$L$1,IF(INDIRECT("output_parsed_hero!u1:u"&amp;$B$1)="Dire",IF(INDIRECT("output_parsed_hero!j1:N"&amp;$B$1)=$L89,IF(INDIRECT("output_parsed_hero!D1:D"&amp;$B$1)=FALSE,1)))))</f>
        <v>0</v>
      </c>
      <c r="P89">
        <f t="shared" ca="1" si="14"/>
        <v>0</v>
      </c>
      <c r="Q89">
        <f t="array" aca="1" ref="Q89" ca="1">SUM(IF(INDIRECT("output_parsed_hero!t1:t"&amp;$B$1)=$L$1,IF(INDIRECT("output_parsed_hero!u1:u"&amp;$B$1)="Radiant",IF(INDIRECT("output_parsed_hero!j1:n"&amp;$B$1)=$L89,1))))+SUM(IF(INDIRECT("output_parsed_hero!t1:t"&amp;$B$1)=$L$1,IF(INDIRECT("output_parsed_hero!u1:u"&amp;$B$1)="Dire",IF(INDIRECT("output_parsed_hero!e1:i"&amp;$B$1)=$L89,1))))</f>
        <v>6</v>
      </c>
      <c r="R89">
        <f t="array" aca="1" ref="R89" ca="1">SUM(IF(INDIRECT("output_parsed_hero!t1:t"&amp;$B$1)=$L$1,IF(INDIRECT("output_parsed_hero!u1:u"&amp;$B$1)="Radiant",IF(INDIRECT("output_parsed_hero!j1:n"&amp;$B$1)=$L89,IF(INDIRECT("output_parsed_hero!D1:D"&amp;$B$1)=TRUE,1)))))+SUM(IF(INDIRECT("output_parsed_hero!t1:t"&amp;$B$1)=$L$1,IF(INDIRECT("output_parsed_hero!u1:u"&amp;$B$1)="Dire",IF(INDIRECT("output_parsed_hero!e1:i"&amp;$B$1)=$L89,IF(INDIRECT("output_parsed_hero!D1:D"&amp;$B$1)=FALSE,1)))))</f>
        <v>1</v>
      </c>
      <c r="S89">
        <f t="shared" ca="1" si="15"/>
        <v>0.16666666666666666</v>
      </c>
      <c r="Z89" t="s">
        <v>498</v>
      </c>
    </row>
    <row r="90" spans="1:26" x14ac:dyDescent="0.3">
      <c r="A90">
        <f t="shared" si="12"/>
        <v>86</v>
      </c>
      <c r="B90" t="str">
        <f>VLOOKUP(A90,'hero names'!$S$7:$T$209,2,0)</f>
        <v>Rubick</v>
      </c>
      <c r="C90">
        <f t="array" aca="1" ref="C90" ca="1">COUNT(IF(INDIRECT("output_parsed!E1:N"&amp;$B$1)='Analysis backend'!$A90,INDIRECT("output_parsed!E1:N"&amp;$B$1)))</f>
        <v>129</v>
      </c>
      <c r="D90">
        <f t="array" aca="1" ref="D90" ca="1">COUNT(IF(INDIRECT("output_parsed!o1:s"&amp;$B$1)='Analysis backend'!$A90,INDIRECT("output_parsed!o1:s"&amp;$B$1)))</f>
        <v>5</v>
      </c>
      <c r="E90">
        <f t="shared" ca="1" si="11"/>
        <v>134</v>
      </c>
      <c r="F90">
        <f t="array" aca="1" ref="F90" ca="1">COUNT(IF(INDIRECT("output_parsed!D1:D"&amp;$B$1)=TRUE,IF(INDIRECT("output_parsed!E1:I"&amp;$B$1)='Analysis backend'!$A90,INDIRECT("output_parsed!E1:I"&amp;$B$1))))+COUNT(IF(INDIRECT("output_parsed!D1:D"&amp;$B$1)=FALSE,IF(INDIRECT("output_parsed!J1:N"&amp;$B$1)='Analysis backend'!$A90,INDIRECT("output_parsed!J1:N"&amp;$B$1))))</f>
        <v>56</v>
      </c>
      <c r="L90">
        <f t="shared" si="16"/>
        <v>85</v>
      </c>
      <c r="M90" t="str">
        <f t="shared" si="13"/>
        <v>Undying</v>
      </c>
      <c r="N90">
        <f t="array" aca="1" ref="N90" ca="1">SUM(IF(INDIRECT("output_parsed_hero!t1:t"&amp;$B$1)=$L$1,IF(INDIRECT("output_parsed_hero!u1:u"&amp;$B$1)="Radiant",IF(INDIRECT("output_parsed_hero!E1:I"&amp;$B$1)=$L90,1))))+SUM(IF(INDIRECT("output_parsed_hero!t1:t"&amp;$B$1)=$L$1,IF(INDIRECT("output_parsed_hero!u1:u"&amp;$B$1)="Dire",IF(INDIRECT("output_parsed_hero!j1:n"&amp;$B$1)=$L90,1))))</f>
        <v>6</v>
      </c>
      <c r="O90">
        <f t="array" aca="1" ref="O90" ca="1">SUM(IF(INDIRECT("output_parsed_hero!t1:t"&amp;$B$1)=$L$1,IF(INDIRECT("output_parsed_hero!u1:u"&amp;$B$1)="Radiant",IF(INDIRECT("output_parsed_hero!E1:I"&amp;$B$1)=$L90,IF(INDIRECT("output_parsed_hero!D1:D"&amp;$B$1)=TRUE,1)))))+SUM(IF(INDIRECT("output_parsed_hero!t1:t"&amp;$B$1)=$L$1,IF(INDIRECT("output_parsed_hero!u1:u"&amp;$B$1)="Dire",IF(INDIRECT("output_parsed_hero!j1:N"&amp;$B$1)=$L90,IF(INDIRECT("output_parsed_hero!D1:D"&amp;$B$1)=FALSE,1)))))</f>
        <v>4</v>
      </c>
      <c r="P90">
        <f t="shared" ca="1" si="14"/>
        <v>0.66666666666666663</v>
      </c>
      <c r="Q90">
        <f t="array" aca="1" ref="Q90" ca="1">SUM(IF(INDIRECT("output_parsed_hero!t1:t"&amp;$B$1)=$L$1,IF(INDIRECT("output_parsed_hero!u1:u"&amp;$B$1)="Radiant",IF(INDIRECT("output_parsed_hero!j1:n"&amp;$B$1)=$L90,1))))+SUM(IF(INDIRECT("output_parsed_hero!t1:t"&amp;$B$1)=$L$1,IF(INDIRECT("output_parsed_hero!u1:u"&amp;$B$1)="Dire",IF(INDIRECT("output_parsed_hero!e1:i"&amp;$B$1)=$L90,1))))</f>
        <v>12</v>
      </c>
      <c r="R90">
        <f t="array" aca="1" ref="R90" ca="1">SUM(IF(INDIRECT("output_parsed_hero!t1:t"&amp;$B$1)=$L$1,IF(INDIRECT("output_parsed_hero!u1:u"&amp;$B$1)="Radiant",IF(INDIRECT("output_parsed_hero!j1:n"&amp;$B$1)=$L90,IF(INDIRECT("output_parsed_hero!D1:D"&amp;$B$1)=TRUE,1)))))+SUM(IF(INDIRECT("output_parsed_hero!t1:t"&amp;$B$1)=$L$1,IF(INDIRECT("output_parsed_hero!u1:u"&amp;$B$1)="Dire",IF(INDIRECT("output_parsed_hero!e1:i"&amp;$B$1)=$L90,IF(INDIRECT("output_parsed_hero!D1:D"&amp;$B$1)=FALSE,1)))))</f>
        <v>6</v>
      </c>
      <c r="S90">
        <f t="shared" ca="1" si="15"/>
        <v>0.5</v>
      </c>
      <c r="Z90" t="s">
        <v>425</v>
      </c>
    </row>
    <row r="91" spans="1:26" x14ac:dyDescent="0.3">
      <c r="A91">
        <f t="shared" si="12"/>
        <v>87</v>
      </c>
      <c r="B91" t="str">
        <f>VLOOKUP(A91,'hero names'!$S$7:$T$209,2,0)</f>
        <v>Disruptor</v>
      </c>
      <c r="C91">
        <f t="array" aca="1" ref="C91" ca="1">COUNT(IF(INDIRECT("output_parsed!E1:N"&amp;$B$1)='Analysis backend'!$A91,INDIRECT("output_parsed!E1:N"&amp;$B$1)))</f>
        <v>16</v>
      </c>
      <c r="D91">
        <f t="array" aca="1" ref="D91" ca="1">COUNT(IF(INDIRECT("output_parsed!o1:s"&amp;$B$1)='Analysis backend'!$A91,INDIRECT("output_parsed!o1:s"&amp;$B$1)))</f>
        <v>1</v>
      </c>
      <c r="E91">
        <f t="shared" ca="1" si="11"/>
        <v>17</v>
      </c>
      <c r="F91">
        <f t="array" aca="1" ref="F91" ca="1">COUNT(IF(INDIRECT("output_parsed!D1:D"&amp;$B$1)=TRUE,IF(INDIRECT("output_parsed!E1:I"&amp;$B$1)='Analysis backend'!$A91,INDIRECT("output_parsed!E1:I"&amp;$B$1))))+COUNT(IF(INDIRECT("output_parsed!D1:D"&amp;$B$1)=FALSE,IF(INDIRECT("output_parsed!J1:N"&amp;$B$1)='Analysis backend'!$A91,INDIRECT("output_parsed!J1:N"&amp;$B$1))))</f>
        <v>9</v>
      </c>
      <c r="L91">
        <f t="shared" si="16"/>
        <v>86</v>
      </c>
      <c r="M91" t="str">
        <f t="shared" si="13"/>
        <v>Rubick</v>
      </c>
      <c r="N91">
        <f t="array" aca="1" ref="N91" ca="1">SUM(IF(INDIRECT("output_parsed_hero!t1:t"&amp;$B$1)=$L$1,IF(INDIRECT("output_parsed_hero!u1:u"&amp;$B$1)="Radiant",IF(INDIRECT("output_parsed_hero!E1:I"&amp;$B$1)=$L91,1))))+SUM(IF(INDIRECT("output_parsed_hero!t1:t"&amp;$B$1)=$L$1,IF(INDIRECT("output_parsed_hero!u1:u"&amp;$B$1)="Dire",IF(INDIRECT("output_parsed_hero!j1:n"&amp;$B$1)=$L91,1))))</f>
        <v>37</v>
      </c>
      <c r="O91">
        <f t="array" aca="1" ref="O91" ca="1">SUM(IF(INDIRECT("output_parsed_hero!t1:t"&amp;$B$1)=$L$1,IF(INDIRECT("output_parsed_hero!u1:u"&amp;$B$1)="Radiant",IF(INDIRECT("output_parsed_hero!E1:I"&amp;$B$1)=$L91,IF(INDIRECT("output_parsed_hero!D1:D"&amp;$B$1)=TRUE,1)))))+SUM(IF(INDIRECT("output_parsed_hero!t1:t"&amp;$B$1)=$L$1,IF(INDIRECT("output_parsed_hero!u1:u"&amp;$B$1)="Dire",IF(INDIRECT("output_parsed_hero!j1:N"&amp;$B$1)=$L91,IF(INDIRECT("output_parsed_hero!D1:D"&amp;$B$1)=FALSE,1)))))</f>
        <v>19</v>
      </c>
      <c r="P91">
        <f t="shared" ca="1" si="14"/>
        <v>0.51351351351351349</v>
      </c>
      <c r="Q91">
        <f t="array" aca="1" ref="Q91" ca="1">SUM(IF(INDIRECT("output_parsed_hero!t1:t"&amp;$B$1)=$L$1,IF(INDIRECT("output_parsed_hero!u1:u"&amp;$B$1)="Radiant",IF(INDIRECT("output_parsed_hero!j1:n"&amp;$B$1)=$L91,1))))+SUM(IF(INDIRECT("output_parsed_hero!t1:t"&amp;$B$1)=$L$1,IF(INDIRECT("output_parsed_hero!u1:u"&amp;$B$1)="Dire",IF(INDIRECT("output_parsed_hero!e1:i"&amp;$B$1)=$L91,1))))</f>
        <v>31</v>
      </c>
      <c r="R91">
        <f t="array" aca="1" ref="R91" ca="1">SUM(IF(INDIRECT("output_parsed_hero!t1:t"&amp;$B$1)=$L$1,IF(INDIRECT("output_parsed_hero!u1:u"&amp;$B$1)="Radiant",IF(INDIRECT("output_parsed_hero!j1:n"&amp;$B$1)=$L91,IF(INDIRECT("output_parsed_hero!D1:D"&amp;$B$1)=TRUE,1)))))+SUM(IF(INDIRECT("output_parsed_hero!t1:t"&amp;$B$1)=$L$1,IF(INDIRECT("output_parsed_hero!u1:u"&amp;$B$1)="Dire",IF(INDIRECT("output_parsed_hero!e1:i"&amp;$B$1)=$L91,IF(INDIRECT("output_parsed_hero!D1:D"&amp;$B$1)=FALSE,1)))))</f>
        <v>21</v>
      </c>
      <c r="S91">
        <f t="shared" ca="1" si="15"/>
        <v>0.67741935483870963</v>
      </c>
      <c r="Z91" t="s">
        <v>490</v>
      </c>
    </row>
    <row r="92" spans="1:26" x14ac:dyDescent="0.3">
      <c r="A92">
        <f t="shared" si="12"/>
        <v>88</v>
      </c>
      <c r="B92" t="str">
        <f>VLOOKUP(A92,'hero names'!$S$7:$T$209,2,0)</f>
        <v>Nyx Assassin</v>
      </c>
      <c r="C92">
        <f t="array" aca="1" ref="C92" ca="1">COUNT(IF(INDIRECT("output_parsed!E1:N"&amp;$B$1)='Analysis backend'!$A92,INDIRECT("output_parsed!E1:N"&amp;$B$1)))</f>
        <v>8</v>
      </c>
      <c r="D92">
        <f t="array" aca="1" ref="D92" ca="1">COUNT(IF(INDIRECT("output_parsed!o1:s"&amp;$B$1)='Analysis backend'!$A92,INDIRECT("output_parsed!o1:s"&amp;$B$1)))</f>
        <v>3</v>
      </c>
      <c r="E92">
        <f t="shared" ca="1" si="11"/>
        <v>11</v>
      </c>
      <c r="F92">
        <f t="array" aca="1" ref="F92" ca="1">COUNT(IF(INDIRECT("output_parsed!D1:D"&amp;$B$1)=TRUE,IF(INDIRECT("output_parsed!E1:I"&amp;$B$1)='Analysis backend'!$A92,INDIRECT("output_parsed!E1:I"&amp;$B$1))))+COUNT(IF(INDIRECT("output_parsed!D1:D"&amp;$B$1)=FALSE,IF(INDIRECT("output_parsed!J1:N"&amp;$B$1)='Analysis backend'!$A92,INDIRECT("output_parsed!J1:N"&amp;$B$1))))</f>
        <v>4</v>
      </c>
      <c r="L92">
        <f t="shared" si="16"/>
        <v>87</v>
      </c>
      <c r="M92" t="str">
        <f t="shared" si="13"/>
        <v>Disruptor</v>
      </c>
      <c r="N92">
        <f t="array" aca="1" ref="N92" ca="1">SUM(IF(INDIRECT("output_parsed_hero!t1:t"&amp;$B$1)=$L$1,IF(INDIRECT("output_parsed_hero!u1:u"&amp;$B$1)="Radiant",IF(INDIRECT("output_parsed_hero!E1:I"&amp;$B$1)=$L92,1))))+SUM(IF(INDIRECT("output_parsed_hero!t1:t"&amp;$B$1)=$L$1,IF(INDIRECT("output_parsed_hero!u1:u"&amp;$B$1)="Dire",IF(INDIRECT("output_parsed_hero!j1:n"&amp;$B$1)=$L92,1))))</f>
        <v>6</v>
      </c>
      <c r="O92">
        <f t="array" aca="1" ref="O92" ca="1">SUM(IF(INDIRECT("output_parsed_hero!t1:t"&amp;$B$1)=$L$1,IF(INDIRECT("output_parsed_hero!u1:u"&amp;$B$1)="Radiant",IF(INDIRECT("output_parsed_hero!E1:I"&amp;$B$1)=$L92,IF(INDIRECT("output_parsed_hero!D1:D"&amp;$B$1)=TRUE,1)))))+SUM(IF(INDIRECT("output_parsed_hero!t1:t"&amp;$B$1)=$L$1,IF(INDIRECT("output_parsed_hero!u1:u"&amp;$B$1)="Dire",IF(INDIRECT("output_parsed_hero!j1:N"&amp;$B$1)=$L92,IF(INDIRECT("output_parsed_hero!D1:D"&amp;$B$1)=FALSE,1)))))</f>
        <v>2</v>
      </c>
      <c r="P92">
        <f t="shared" ca="1" si="14"/>
        <v>0.33333333333333331</v>
      </c>
      <c r="Q92">
        <f t="array" aca="1" ref="Q92" ca="1">SUM(IF(INDIRECT("output_parsed_hero!t1:t"&amp;$B$1)=$L$1,IF(INDIRECT("output_parsed_hero!u1:u"&amp;$B$1)="Radiant",IF(INDIRECT("output_parsed_hero!j1:n"&amp;$B$1)=$L92,1))))+SUM(IF(INDIRECT("output_parsed_hero!t1:t"&amp;$B$1)=$L$1,IF(INDIRECT("output_parsed_hero!u1:u"&amp;$B$1)="Dire",IF(INDIRECT("output_parsed_hero!e1:i"&amp;$B$1)=$L92,1))))</f>
        <v>3</v>
      </c>
      <c r="R92">
        <f t="array" aca="1" ref="R92" ca="1">SUM(IF(INDIRECT("output_parsed_hero!t1:t"&amp;$B$1)=$L$1,IF(INDIRECT("output_parsed_hero!u1:u"&amp;$B$1)="Radiant",IF(INDIRECT("output_parsed_hero!j1:n"&amp;$B$1)=$L92,IF(INDIRECT("output_parsed_hero!D1:D"&amp;$B$1)=TRUE,1)))))+SUM(IF(INDIRECT("output_parsed_hero!t1:t"&amp;$B$1)=$L$1,IF(INDIRECT("output_parsed_hero!u1:u"&amp;$B$1)="Dire",IF(INDIRECT("output_parsed_hero!e1:i"&amp;$B$1)=$L92,IF(INDIRECT("output_parsed_hero!D1:D"&amp;$B$1)=FALSE,1)))))</f>
        <v>3</v>
      </c>
      <c r="S92">
        <f t="shared" ca="1" si="15"/>
        <v>1</v>
      </c>
      <c r="Z92" t="s">
        <v>432</v>
      </c>
    </row>
    <row r="93" spans="1:26" x14ac:dyDescent="0.3">
      <c r="A93">
        <f t="shared" si="12"/>
        <v>89</v>
      </c>
      <c r="B93" t="str">
        <f>VLOOKUP(A93,'hero names'!$S$7:$T$209,2,0)</f>
        <v>Naga Siren</v>
      </c>
      <c r="C93">
        <f t="array" aca="1" ref="C93" ca="1">COUNT(IF(INDIRECT("output_parsed!E1:N"&amp;$B$1)='Analysis backend'!$A93,INDIRECT("output_parsed!E1:N"&amp;$B$1)))</f>
        <v>9</v>
      </c>
      <c r="D93">
        <f t="array" aca="1" ref="D93" ca="1">COUNT(IF(INDIRECT("output_parsed!o1:s"&amp;$B$1)='Analysis backend'!$A93,INDIRECT("output_parsed!o1:s"&amp;$B$1)))</f>
        <v>4</v>
      </c>
      <c r="E93">
        <f t="shared" ca="1" si="11"/>
        <v>13</v>
      </c>
      <c r="F93">
        <f t="array" aca="1" ref="F93" ca="1">COUNT(IF(INDIRECT("output_parsed!D1:D"&amp;$B$1)=TRUE,IF(INDIRECT("output_parsed!E1:I"&amp;$B$1)='Analysis backend'!$A93,INDIRECT("output_parsed!E1:I"&amp;$B$1))))+COUNT(IF(INDIRECT("output_parsed!D1:D"&amp;$B$1)=FALSE,IF(INDIRECT("output_parsed!J1:N"&amp;$B$1)='Analysis backend'!$A93,INDIRECT("output_parsed!J1:N"&amp;$B$1))))</f>
        <v>5</v>
      </c>
      <c r="L93">
        <f t="shared" si="16"/>
        <v>88</v>
      </c>
      <c r="M93" t="str">
        <f t="shared" si="13"/>
        <v>Nyx Assassin</v>
      </c>
      <c r="N93">
        <f t="array" aca="1" ref="N93" ca="1">SUM(IF(INDIRECT("output_parsed_hero!t1:t"&amp;$B$1)=$L$1,IF(INDIRECT("output_parsed_hero!u1:u"&amp;$B$1)="Radiant",IF(INDIRECT("output_parsed_hero!E1:I"&amp;$B$1)=$L93,1))))+SUM(IF(INDIRECT("output_parsed_hero!t1:t"&amp;$B$1)=$L$1,IF(INDIRECT("output_parsed_hero!u1:u"&amp;$B$1)="Dire",IF(INDIRECT("output_parsed_hero!j1:n"&amp;$B$1)=$L93,1))))</f>
        <v>6</v>
      </c>
      <c r="O93">
        <f t="array" aca="1" ref="O93" ca="1">SUM(IF(INDIRECT("output_parsed_hero!t1:t"&amp;$B$1)=$L$1,IF(INDIRECT("output_parsed_hero!u1:u"&amp;$B$1)="Radiant",IF(INDIRECT("output_parsed_hero!E1:I"&amp;$B$1)=$L93,IF(INDIRECT("output_parsed_hero!D1:D"&amp;$B$1)=TRUE,1)))))+SUM(IF(INDIRECT("output_parsed_hero!t1:t"&amp;$B$1)=$L$1,IF(INDIRECT("output_parsed_hero!u1:u"&amp;$B$1)="Dire",IF(INDIRECT("output_parsed_hero!j1:N"&amp;$B$1)=$L93,IF(INDIRECT("output_parsed_hero!D1:D"&amp;$B$1)=FALSE,1)))))</f>
        <v>3</v>
      </c>
      <c r="P93">
        <f t="shared" ca="1" si="14"/>
        <v>0.5</v>
      </c>
      <c r="Q93">
        <f t="array" aca="1" ref="Q93" ca="1">SUM(IF(INDIRECT("output_parsed_hero!t1:t"&amp;$B$1)=$L$1,IF(INDIRECT("output_parsed_hero!u1:u"&amp;$B$1)="Radiant",IF(INDIRECT("output_parsed_hero!j1:n"&amp;$B$1)=$L93,1))))+SUM(IF(INDIRECT("output_parsed_hero!t1:t"&amp;$B$1)=$L$1,IF(INDIRECT("output_parsed_hero!u1:u"&amp;$B$1)="Dire",IF(INDIRECT("output_parsed_hero!e1:i"&amp;$B$1)=$L93,1))))</f>
        <v>0</v>
      </c>
      <c r="R93">
        <f t="array" aca="1" ref="R93" ca="1">SUM(IF(INDIRECT("output_parsed_hero!t1:t"&amp;$B$1)=$L$1,IF(INDIRECT("output_parsed_hero!u1:u"&amp;$B$1)="Radiant",IF(INDIRECT("output_parsed_hero!j1:n"&amp;$B$1)=$L93,IF(INDIRECT("output_parsed_hero!D1:D"&amp;$B$1)=TRUE,1)))))+SUM(IF(INDIRECT("output_parsed_hero!t1:t"&amp;$B$1)=$L$1,IF(INDIRECT("output_parsed_hero!u1:u"&amp;$B$1)="Dire",IF(INDIRECT("output_parsed_hero!e1:i"&amp;$B$1)=$L93,IF(INDIRECT("output_parsed_hero!D1:D"&amp;$B$1)=FALSE,1)))))</f>
        <v>0</v>
      </c>
      <c r="S93">
        <f t="shared" ca="1" si="15"/>
        <v>0</v>
      </c>
      <c r="Z93" t="s">
        <v>464</v>
      </c>
    </row>
    <row r="94" spans="1:26" x14ac:dyDescent="0.3">
      <c r="A94">
        <f t="shared" si="12"/>
        <v>90</v>
      </c>
      <c r="B94" t="str">
        <f>VLOOKUP(A94,'hero names'!$S$7:$T$209,2,0)</f>
        <v>Keeper of the Light</v>
      </c>
      <c r="C94">
        <f t="array" aca="1" ref="C94" ca="1">COUNT(IF(INDIRECT("output_parsed!E1:N"&amp;$B$1)='Analysis backend'!$A94,INDIRECT("output_parsed!E1:N"&amp;$B$1)))</f>
        <v>28</v>
      </c>
      <c r="D94">
        <f t="array" aca="1" ref="D94" ca="1">COUNT(IF(INDIRECT("output_parsed!o1:s"&amp;$B$1)='Analysis backend'!$A94,INDIRECT("output_parsed!o1:s"&amp;$B$1)))</f>
        <v>0</v>
      </c>
      <c r="E94">
        <f t="shared" ca="1" si="11"/>
        <v>28</v>
      </c>
      <c r="F94">
        <f t="array" aca="1" ref="F94" ca="1">COUNT(IF(INDIRECT("output_parsed!D1:D"&amp;$B$1)=TRUE,IF(INDIRECT("output_parsed!E1:I"&amp;$B$1)='Analysis backend'!$A94,INDIRECT("output_parsed!E1:I"&amp;$B$1))))+COUNT(IF(INDIRECT("output_parsed!D1:D"&amp;$B$1)=FALSE,IF(INDIRECT("output_parsed!J1:N"&amp;$B$1)='Analysis backend'!$A94,INDIRECT("output_parsed!J1:N"&amp;$B$1))))</f>
        <v>11</v>
      </c>
      <c r="L94">
        <f t="shared" si="16"/>
        <v>89</v>
      </c>
      <c r="M94" t="str">
        <f t="shared" si="13"/>
        <v>Naga Siren</v>
      </c>
      <c r="N94">
        <f t="array" aca="1" ref="N94" ca="1">SUM(IF(INDIRECT("output_parsed_hero!t1:t"&amp;$B$1)=$L$1,IF(INDIRECT("output_parsed_hero!u1:u"&amp;$B$1)="Radiant",IF(INDIRECT("output_parsed_hero!E1:I"&amp;$B$1)=$L94,1))))+SUM(IF(INDIRECT("output_parsed_hero!t1:t"&amp;$B$1)=$L$1,IF(INDIRECT("output_parsed_hero!u1:u"&amp;$B$1)="Dire",IF(INDIRECT("output_parsed_hero!j1:n"&amp;$B$1)=$L94,1))))</f>
        <v>0</v>
      </c>
      <c r="O94">
        <f t="array" aca="1" ref="O94" ca="1">SUM(IF(INDIRECT("output_parsed_hero!t1:t"&amp;$B$1)=$L$1,IF(INDIRECT("output_parsed_hero!u1:u"&amp;$B$1)="Radiant",IF(INDIRECT("output_parsed_hero!E1:I"&amp;$B$1)=$L94,IF(INDIRECT("output_parsed_hero!D1:D"&amp;$B$1)=TRUE,1)))))+SUM(IF(INDIRECT("output_parsed_hero!t1:t"&amp;$B$1)=$L$1,IF(INDIRECT("output_parsed_hero!u1:u"&amp;$B$1)="Dire",IF(INDIRECT("output_parsed_hero!j1:N"&amp;$B$1)=$L94,IF(INDIRECT("output_parsed_hero!D1:D"&amp;$B$1)=FALSE,1)))))</f>
        <v>0</v>
      </c>
      <c r="P94">
        <f t="shared" ca="1" si="14"/>
        <v>0</v>
      </c>
      <c r="Q94">
        <f t="array" aca="1" ref="Q94" ca="1">SUM(IF(INDIRECT("output_parsed_hero!t1:t"&amp;$B$1)=$L$1,IF(INDIRECT("output_parsed_hero!u1:u"&amp;$B$1)="Radiant",IF(INDIRECT("output_parsed_hero!j1:n"&amp;$B$1)=$L94,1))))+SUM(IF(INDIRECT("output_parsed_hero!t1:t"&amp;$B$1)=$L$1,IF(INDIRECT("output_parsed_hero!u1:u"&amp;$B$1)="Dire",IF(INDIRECT("output_parsed_hero!e1:i"&amp;$B$1)=$L94,1))))</f>
        <v>1</v>
      </c>
      <c r="R94">
        <f t="array" aca="1" ref="R94" ca="1">SUM(IF(INDIRECT("output_parsed_hero!t1:t"&amp;$B$1)=$L$1,IF(INDIRECT("output_parsed_hero!u1:u"&amp;$B$1)="Radiant",IF(INDIRECT("output_parsed_hero!j1:n"&amp;$B$1)=$L94,IF(INDIRECT("output_parsed_hero!D1:D"&amp;$B$1)=TRUE,1)))))+SUM(IF(INDIRECT("output_parsed_hero!t1:t"&amp;$B$1)=$L$1,IF(INDIRECT("output_parsed_hero!u1:u"&amp;$B$1)="Dire",IF(INDIRECT("output_parsed_hero!e1:i"&amp;$B$1)=$L94,IF(INDIRECT("output_parsed_hero!D1:D"&amp;$B$1)=FALSE,1)))))</f>
        <v>1</v>
      </c>
      <c r="S94">
        <f t="shared" ca="1" si="15"/>
        <v>1</v>
      </c>
      <c r="Z94" t="s">
        <v>468</v>
      </c>
    </row>
    <row r="95" spans="1:26" x14ac:dyDescent="0.3">
      <c r="A95">
        <f t="shared" si="12"/>
        <v>91</v>
      </c>
      <c r="B95" t="str">
        <f>VLOOKUP(A95,'hero names'!$S$7:$T$209,2,0)</f>
        <v>Io</v>
      </c>
      <c r="C95">
        <f t="array" aca="1" ref="C95" ca="1">COUNT(IF(INDIRECT("output_parsed!E1:N"&amp;$B$1)='Analysis backend'!$A95,INDIRECT("output_parsed!E1:N"&amp;$B$1)))</f>
        <v>26</v>
      </c>
      <c r="D95">
        <f t="array" aca="1" ref="D95" ca="1">COUNT(IF(INDIRECT("output_parsed!o1:s"&amp;$B$1)='Analysis backend'!$A95,INDIRECT("output_parsed!o1:s"&amp;$B$1)))</f>
        <v>6</v>
      </c>
      <c r="E95">
        <f t="shared" ca="1" si="11"/>
        <v>32</v>
      </c>
      <c r="F95">
        <f t="array" aca="1" ref="F95" ca="1">COUNT(IF(INDIRECT("output_parsed!D1:D"&amp;$B$1)=TRUE,IF(INDIRECT("output_parsed!E1:I"&amp;$B$1)='Analysis backend'!$A95,INDIRECT("output_parsed!E1:I"&amp;$B$1))))+COUNT(IF(INDIRECT("output_parsed!D1:D"&amp;$B$1)=FALSE,IF(INDIRECT("output_parsed!J1:N"&amp;$B$1)='Analysis backend'!$A95,INDIRECT("output_parsed!J1:N"&amp;$B$1))))</f>
        <v>9</v>
      </c>
      <c r="L95">
        <f t="shared" si="16"/>
        <v>90</v>
      </c>
      <c r="M95" t="str">
        <f t="shared" si="13"/>
        <v>Keeper of the Light</v>
      </c>
      <c r="N95">
        <f t="array" aca="1" ref="N95" ca="1">SUM(IF(INDIRECT("output_parsed_hero!t1:t"&amp;$B$1)=$L$1,IF(INDIRECT("output_parsed_hero!u1:u"&amp;$B$1)="Radiant",IF(INDIRECT("output_parsed_hero!E1:I"&amp;$B$1)=$L95,1))))+SUM(IF(INDIRECT("output_parsed_hero!t1:t"&amp;$B$1)=$L$1,IF(INDIRECT("output_parsed_hero!u1:u"&amp;$B$1)="Dire",IF(INDIRECT("output_parsed_hero!j1:n"&amp;$B$1)=$L95,1))))</f>
        <v>10</v>
      </c>
      <c r="O95">
        <f t="array" aca="1" ref="O95" ca="1">SUM(IF(INDIRECT("output_parsed_hero!t1:t"&amp;$B$1)=$L$1,IF(INDIRECT("output_parsed_hero!u1:u"&amp;$B$1)="Radiant",IF(INDIRECT("output_parsed_hero!E1:I"&amp;$B$1)=$L95,IF(INDIRECT("output_parsed_hero!D1:D"&amp;$B$1)=TRUE,1)))))+SUM(IF(INDIRECT("output_parsed_hero!t1:t"&amp;$B$1)=$L$1,IF(INDIRECT("output_parsed_hero!u1:u"&amp;$B$1)="Dire",IF(INDIRECT("output_parsed_hero!j1:N"&amp;$B$1)=$L95,IF(INDIRECT("output_parsed_hero!D1:D"&amp;$B$1)=FALSE,1)))))</f>
        <v>4</v>
      </c>
      <c r="P95">
        <f t="shared" ca="1" si="14"/>
        <v>0.4</v>
      </c>
      <c r="Q95">
        <f t="array" aca="1" ref="Q95" ca="1">SUM(IF(INDIRECT("output_parsed_hero!t1:t"&amp;$B$1)=$L$1,IF(INDIRECT("output_parsed_hero!u1:u"&amp;$B$1)="Radiant",IF(INDIRECT("output_parsed_hero!j1:n"&amp;$B$1)=$L95,1))))+SUM(IF(INDIRECT("output_parsed_hero!t1:t"&amp;$B$1)=$L$1,IF(INDIRECT("output_parsed_hero!u1:u"&amp;$B$1)="Dire",IF(INDIRECT("output_parsed_hero!e1:i"&amp;$B$1)=$L95,1))))</f>
        <v>6</v>
      </c>
      <c r="R95">
        <f t="array" aca="1" ref="R95" ca="1">SUM(IF(INDIRECT("output_parsed_hero!t1:t"&amp;$B$1)=$L$1,IF(INDIRECT("output_parsed_hero!u1:u"&amp;$B$1)="Radiant",IF(INDIRECT("output_parsed_hero!j1:n"&amp;$B$1)=$L95,IF(INDIRECT("output_parsed_hero!D1:D"&amp;$B$1)=TRUE,1)))))+SUM(IF(INDIRECT("output_parsed_hero!t1:t"&amp;$B$1)=$L$1,IF(INDIRECT("output_parsed_hero!u1:u"&amp;$B$1)="Dire",IF(INDIRECT("output_parsed_hero!e1:i"&amp;$B$1)=$L95,IF(INDIRECT("output_parsed_hero!D1:D"&amp;$B$1)=FALSE,1)))))</f>
        <v>4</v>
      </c>
      <c r="S95">
        <f t="shared" ca="1" si="15"/>
        <v>0.66666666666666663</v>
      </c>
      <c r="Z95" t="s">
        <v>415</v>
      </c>
    </row>
    <row r="96" spans="1:26" x14ac:dyDescent="0.3">
      <c r="A96">
        <f t="shared" si="12"/>
        <v>92</v>
      </c>
      <c r="B96" t="str">
        <f>VLOOKUP(A96,'hero names'!$S$7:$T$209,2,0)</f>
        <v>Visage</v>
      </c>
      <c r="C96">
        <f t="array" aca="1" ref="C96" ca="1">COUNT(IF(INDIRECT("output_parsed!E1:N"&amp;$B$1)='Analysis backend'!$A96,INDIRECT("output_parsed!E1:N"&amp;$B$1)))</f>
        <v>4</v>
      </c>
      <c r="D96">
        <f t="array" aca="1" ref="D96" ca="1">COUNT(IF(INDIRECT("output_parsed!o1:s"&amp;$B$1)='Analysis backend'!$A96,INDIRECT("output_parsed!o1:s"&amp;$B$1)))</f>
        <v>0</v>
      </c>
      <c r="E96">
        <f t="shared" ca="1" si="11"/>
        <v>4</v>
      </c>
      <c r="F96">
        <f t="array" aca="1" ref="F96" ca="1">COUNT(IF(INDIRECT("output_parsed!D1:D"&amp;$B$1)=TRUE,IF(INDIRECT("output_parsed!E1:I"&amp;$B$1)='Analysis backend'!$A96,INDIRECT("output_parsed!E1:I"&amp;$B$1))))+COUNT(IF(INDIRECT("output_parsed!D1:D"&amp;$B$1)=FALSE,IF(INDIRECT("output_parsed!J1:N"&amp;$B$1)='Analysis backend'!$A96,INDIRECT("output_parsed!J1:N"&amp;$B$1))))</f>
        <v>2</v>
      </c>
      <c r="L96">
        <f t="shared" si="16"/>
        <v>91</v>
      </c>
      <c r="M96" t="str">
        <f t="shared" si="13"/>
        <v>Io</v>
      </c>
      <c r="N96">
        <f t="array" aca="1" ref="N96" ca="1">SUM(IF(INDIRECT("output_parsed_hero!t1:t"&amp;$B$1)=$L$1,IF(INDIRECT("output_parsed_hero!u1:u"&amp;$B$1)="Radiant",IF(INDIRECT("output_parsed_hero!E1:I"&amp;$B$1)=$L96,1))))+SUM(IF(INDIRECT("output_parsed_hero!t1:t"&amp;$B$1)=$L$1,IF(INDIRECT("output_parsed_hero!u1:u"&amp;$B$1)="Dire",IF(INDIRECT("output_parsed_hero!j1:n"&amp;$B$1)=$L96,1))))</f>
        <v>2</v>
      </c>
      <c r="O96">
        <f t="array" aca="1" ref="O96" ca="1">SUM(IF(INDIRECT("output_parsed_hero!t1:t"&amp;$B$1)=$L$1,IF(INDIRECT("output_parsed_hero!u1:u"&amp;$B$1)="Radiant",IF(INDIRECT("output_parsed_hero!E1:I"&amp;$B$1)=$L96,IF(INDIRECT("output_parsed_hero!D1:D"&amp;$B$1)=TRUE,1)))))+SUM(IF(INDIRECT("output_parsed_hero!t1:t"&amp;$B$1)=$L$1,IF(INDIRECT("output_parsed_hero!u1:u"&amp;$B$1)="Dire",IF(INDIRECT("output_parsed_hero!j1:N"&amp;$B$1)=$L96,IF(INDIRECT("output_parsed_hero!D1:D"&amp;$B$1)=FALSE,1)))))</f>
        <v>2</v>
      </c>
      <c r="P96">
        <f t="shared" ca="1" si="14"/>
        <v>1</v>
      </c>
      <c r="Q96">
        <f t="array" aca="1" ref="Q96" ca="1">SUM(IF(INDIRECT("output_parsed_hero!t1:t"&amp;$B$1)=$L$1,IF(INDIRECT("output_parsed_hero!u1:u"&amp;$B$1)="Radiant",IF(INDIRECT("output_parsed_hero!j1:n"&amp;$B$1)=$L96,1))))+SUM(IF(INDIRECT("output_parsed_hero!t1:t"&amp;$B$1)=$L$1,IF(INDIRECT("output_parsed_hero!u1:u"&amp;$B$1)="Dire",IF(INDIRECT("output_parsed_hero!e1:i"&amp;$B$1)=$L96,1))))</f>
        <v>11</v>
      </c>
      <c r="R96">
        <f t="array" aca="1" ref="R96" ca="1">SUM(IF(INDIRECT("output_parsed_hero!t1:t"&amp;$B$1)=$L$1,IF(INDIRECT("output_parsed_hero!u1:u"&amp;$B$1)="Radiant",IF(INDIRECT("output_parsed_hero!j1:n"&amp;$B$1)=$L96,IF(INDIRECT("output_parsed_hero!D1:D"&amp;$B$1)=TRUE,1)))))+SUM(IF(INDIRECT("output_parsed_hero!t1:t"&amp;$B$1)=$L$1,IF(INDIRECT("output_parsed_hero!u1:u"&amp;$B$1)="Dire",IF(INDIRECT("output_parsed_hero!e1:i"&amp;$B$1)=$L96,IF(INDIRECT("output_parsed_hero!D1:D"&amp;$B$1)=FALSE,1)))))</f>
        <v>9</v>
      </c>
      <c r="S96">
        <f t="shared" ca="1" si="15"/>
        <v>0.81818181818181823</v>
      </c>
      <c r="Z96" t="s">
        <v>416</v>
      </c>
    </row>
    <row r="97" spans="1:26" x14ac:dyDescent="0.3">
      <c r="A97">
        <f t="shared" si="12"/>
        <v>93</v>
      </c>
      <c r="B97" t="str">
        <f>VLOOKUP(A97,'hero names'!$S$7:$T$209,2,0)</f>
        <v>Slark</v>
      </c>
      <c r="C97">
        <f t="array" aca="1" ref="C97" ca="1">COUNT(IF(INDIRECT("output_parsed!E1:N"&amp;$B$1)='Analysis backend'!$A97,INDIRECT("output_parsed!E1:N"&amp;$B$1)))</f>
        <v>72</v>
      </c>
      <c r="D97">
        <f t="array" aca="1" ref="D97" ca="1">COUNT(IF(INDIRECT("output_parsed!o1:s"&amp;$B$1)='Analysis backend'!$A97,INDIRECT("output_parsed!o1:s"&amp;$B$1)))</f>
        <v>31</v>
      </c>
      <c r="E97">
        <f t="shared" ca="1" si="11"/>
        <v>103</v>
      </c>
      <c r="F97">
        <f t="array" aca="1" ref="F97" ca="1">COUNT(IF(INDIRECT("output_parsed!D1:D"&amp;$B$1)=TRUE,IF(INDIRECT("output_parsed!E1:I"&amp;$B$1)='Analysis backend'!$A97,INDIRECT("output_parsed!E1:I"&amp;$B$1))))+COUNT(IF(INDIRECT("output_parsed!D1:D"&amp;$B$1)=FALSE,IF(INDIRECT("output_parsed!J1:N"&amp;$B$1)='Analysis backend'!$A97,INDIRECT("output_parsed!J1:N"&amp;$B$1))))</f>
        <v>33</v>
      </c>
      <c r="L97">
        <f t="shared" si="16"/>
        <v>92</v>
      </c>
      <c r="M97" t="str">
        <f t="shared" si="13"/>
        <v>Visage</v>
      </c>
      <c r="N97">
        <f t="array" aca="1" ref="N97" ca="1">SUM(IF(INDIRECT("output_parsed_hero!t1:t"&amp;$B$1)=$L$1,IF(INDIRECT("output_parsed_hero!u1:u"&amp;$B$1)="Radiant",IF(INDIRECT("output_parsed_hero!E1:I"&amp;$B$1)=$L97,1))))+SUM(IF(INDIRECT("output_parsed_hero!t1:t"&amp;$B$1)=$L$1,IF(INDIRECT("output_parsed_hero!u1:u"&amp;$B$1)="Dire",IF(INDIRECT("output_parsed_hero!j1:n"&amp;$B$1)=$L97,1))))</f>
        <v>2</v>
      </c>
      <c r="O97">
        <f t="array" aca="1" ref="O97" ca="1">SUM(IF(INDIRECT("output_parsed_hero!t1:t"&amp;$B$1)=$L$1,IF(INDIRECT("output_parsed_hero!u1:u"&amp;$B$1)="Radiant",IF(INDIRECT("output_parsed_hero!E1:I"&amp;$B$1)=$L97,IF(INDIRECT("output_parsed_hero!D1:D"&amp;$B$1)=TRUE,1)))))+SUM(IF(INDIRECT("output_parsed_hero!t1:t"&amp;$B$1)=$L$1,IF(INDIRECT("output_parsed_hero!u1:u"&amp;$B$1)="Dire",IF(INDIRECT("output_parsed_hero!j1:N"&amp;$B$1)=$L97,IF(INDIRECT("output_parsed_hero!D1:D"&amp;$B$1)=FALSE,1)))))</f>
        <v>0</v>
      </c>
      <c r="P97">
        <f t="shared" ca="1" si="14"/>
        <v>0</v>
      </c>
      <c r="Q97">
        <f t="array" aca="1" ref="Q97" ca="1">SUM(IF(INDIRECT("output_parsed_hero!t1:t"&amp;$B$1)=$L$1,IF(INDIRECT("output_parsed_hero!u1:u"&amp;$B$1)="Radiant",IF(INDIRECT("output_parsed_hero!j1:n"&amp;$B$1)=$L97,1))))+SUM(IF(INDIRECT("output_parsed_hero!t1:t"&amp;$B$1)=$L$1,IF(INDIRECT("output_parsed_hero!u1:u"&amp;$B$1)="Dire",IF(INDIRECT("output_parsed_hero!e1:i"&amp;$B$1)=$L97,1))))</f>
        <v>1</v>
      </c>
      <c r="R97">
        <f t="array" aca="1" ref="R97" ca="1">SUM(IF(INDIRECT("output_parsed_hero!t1:t"&amp;$B$1)=$L$1,IF(INDIRECT("output_parsed_hero!u1:u"&amp;$B$1)="Radiant",IF(INDIRECT("output_parsed_hero!j1:n"&amp;$B$1)=$L97,IF(INDIRECT("output_parsed_hero!D1:D"&amp;$B$1)=TRUE,1)))))+SUM(IF(INDIRECT("output_parsed_hero!t1:t"&amp;$B$1)=$L$1,IF(INDIRECT("output_parsed_hero!u1:u"&amp;$B$1)="Dire",IF(INDIRECT("output_parsed_hero!e1:i"&amp;$B$1)=$L97,IF(INDIRECT("output_parsed_hero!D1:D"&amp;$B$1)=FALSE,1)))))</f>
        <v>0</v>
      </c>
      <c r="S97">
        <f t="shared" ca="1" si="15"/>
        <v>0</v>
      </c>
      <c r="Z97" t="s">
        <v>502</v>
      </c>
    </row>
    <row r="98" spans="1:26" x14ac:dyDescent="0.3">
      <c r="A98">
        <f t="shared" si="12"/>
        <v>94</v>
      </c>
      <c r="B98" t="str">
        <f>VLOOKUP(A98,'hero names'!$S$7:$T$209,2,0)</f>
        <v>Medusa</v>
      </c>
      <c r="C98">
        <f t="array" aca="1" ref="C98" ca="1">COUNT(IF(INDIRECT("output_parsed!E1:N"&amp;$B$1)='Analysis backend'!$A98,INDIRECT("output_parsed!E1:N"&amp;$B$1)))</f>
        <v>17</v>
      </c>
      <c r="D98">
        <f t="array" aca="1" ref="D98" ca="1">COUNT(IF(INDIRECT("output_parsed!o1:s"&amp;$B$1)='Analysis backend'!$A98,INDIRECT("output_parsed!o1:s"&amp;$B$1)))</f>
        <v>3</v>
      </c>
      <c r="E98">
        <f t="shared" ca="1" si="11"/>
        <v>20</v>
      </c>
      <c r="F98">
        <f t="array" aca="1" ref="F98" ca="1">COUNT(IF(INDIRECT("output_parsed!D1:D"&amp;$B$1)=TRUE,IF(INDIRECT("output_parsed!E1:I"&amp;$B$1)='Analysis backend'!$A98,INDIRECT("output_parsed!E1:I"&amp;$B$1))))+COUNT(IF(INDIRECT("output_parsed!D1:D"&amp;$B$1)=FALSE,IF(INDIRECT("output_parsed!J1:N"&amp;$B$1)='Analysis backend'!$A98,INDIRECT("output_parsed!J1:N"&amp;$B$1))))</f>
        <v>9</v>
      </c>
      <c r="L98">
        <f t="shared" si="16"/>
        <v>93</v>
      </c>
      <c r="M98" t="str">
        <f t="shared" si="13"/>
        <v>Slark</v>
      </c>
      <c r="N98">
        <f t="array" aca="1" ref="N98" ca="1">SUM(IF(INDIRECT("output_parsed_hero!t1:t"&amp;$B$1)=$L$1,IF(INDIRECT("output_parsed_hero!u1:u"&amp;$B$1)="Radiant",IF(INDIRECT("output_parsed_hero!E1:I"&amp;$B$1)=$L98,1))))+SUM(IF(INDIRECT("output_parsed_hero!t1:t"&amp;$B$1)=$L$1,IF(INDIRECT("output_parsed_hero!u1:u"&amp;$B$1)="Dire",IF(INDIRECT("output_parsed_hero!j1:n"&amp;$B$1)=$L98,1))))</f>
        <v>2</v>
      </c>
      <c r="O98">
        <f t="array" aca="1" ref="O98" ca="1">SUM(IF(INDIRECT("output_parsed_hero!t1:t"&amp;$B$1)=$L$1,IF(INDIRECT("output_parsed_hero!u1:u"&amp;$B$1)="Radiant",IF(INDIRECT("output_parsed_hero!E1:I"&amp;$B$1)=$L98,IF(INDIRECT("output_parsed_hero!D1:D"&amp;$B$1)=TRUE,1)))))+SUM(IF(INDIRECT("output_parsed_hero!t1:t"&amp;$B$1)=$L$1,IF(INDIRECT("output_parsed_hero!u1:u"&amp;$B$1)="Dire",IF(INDIRECT("output_parsed_hero!j1:N"&amp;$B$1)=$L98,IF(INDIRECT("output_parsed_hero!D1:D"&amp;$B$1)=FALSE,1)))))</f>
        <v>1</v>
      </c>
      <c r="P98">
        <f t="shared" ca="1" si="14"/>
        <v>0.5</v>
      </c>
      <c r="Q98">
        <f t="array" aca="1" ref="Q98" ca="1">SUM(IF(INDIRECT("output_parsed_hero!t1:t"&amp;$B$1)=$L$1,IF(INDIRECT("output_parsed_hero!u1:u"&amp;$B$1)="Radiant",IF(INDIRECT("output_parsed_hero!j1:n"&amp;$B$1)=$L98,1))))+SUM(IF(INDIRECT("output_parsed_hero!t1:t"&amp;$B$1)=$L$1,IF(INDIRECT("output_parsed_hero!u1:u"&amp;$B$1)="Dire",IF(INDIRECT("output_parsed_hero!e1:i"&amp;$B$1)=$L98,1))))</f>
        <v>31</v>
      </c>
      <c r="R98">
        <f t="array" aca="1" ref="R98" ca="1">SUM(IF(INDIRECT("output_parsed_hero!t1:t"&amp;$B$1)=$L$1,IF(INDIRECT("output_parsed_hero!u1:u"&amp;$B$1)="Radiant",IF(INDIRECT("output_parsed_hero!j1:n"&amp;$B$1)=$L98,IF(INDIRECT("output_parsed_hero!D1:D"&amp;$B$1)=TRUE,1)))))+SUM(IF(INDIRECT("output_parsed_hero!t1:t"&amp;$B$1)=$L$1,IF(INDIRECT("output_parsed_hero!u1:u"&amp;$B$1)="Dire",IF(INDIRECT("output_parsed_hero!e1:i"&amp;$B$1)=$L98,IF(INDIRECT("output_parsed_hero!D1:D"&amp;$B$1)=FALSE,1)))))</f>
        <v>14</v>
      </c>
      <c r="S98">
        <f t="shared" ca="1" si="15"/>
        <v>0.45161290322580644</v>
      </c>
      <c r="Z98" t="s">
        <v>443</v>
      </c>
    </row>
    <row r="99" spans="1:26" x14ac:dyDescent="0.3">
      <c r="A99">
        <f t="shared" si="12"/>
        <v>95</v>
      </c>
      <c r="B99" t="str">
        <f>VLOOKUP(A99,'hero names'!$S$7:$T$209,2,0)</f>
        <v>Troll Warlord</v>
      </c>
      <c r="C99">
        <f t="array" aca="1" ref="C99" ca="1">COUNT(IF(INDIRECT("output_parsed!E1:N"&amp;$B$1)='Analysis backend'!$A99,INDIRECT("output_parsed!E1:N"&amp;$B$1)))</f>
        <v>18</v>
      </c>
      <c r="D99">
        <f t="array" aca="1" ref="D99" ca="1">COUNT(IF(INDIRECT("output_parsed!o1:s"&amp;$B$1)='Analysis backend'!$A99,INDIRECT("output_parsed!o1:s"&amp;$B$1)))</f>
        <v>2</v>
      </c>
      <c r="E99">
        <f t="shared" ca="1" si="11"/>
        <v>20</v>
      </c>
      <c r="F99">
        <f t="array" aca="1" ref="F99" ca="1">COUNT(IF(INDIRECT("output_parsed!D1:D"&amp;$B$1)=TRUE,IF(INDIRECT("output_parsed!E1:I"&amp;$B$1)='Analysis backend'!$A99,INDIRECT("output_parsed!E1:I"&amp;$B$1))))+COUNT(IF(INDIRECT("output_parsed!D1:D"&amp;$B$1)=FALSE,IF(INDIRECT("output_parsed!J1:N"&amp;$B$1)='Analysis backend'!$A99,INDIRECT("output_parsed!J1:N"&amp;$B$1))))</f>
        <v>8</v>
      </c>
      <c r="L99">
        <f t="shared" si="16"/>
        <v>94</v>
      </c>
      <c r="M99" t="str">
        <f t="shared" si="13"/>
        <v>Medusa</v>
      </c>
      <c r="N99">
        <f t="array" aca="1" ref="N99" ca="1">SUM(IF(INDIRECT("output_parsed_hero!t1:t"&amp;$B$1)=$L$1,IF(INDIRECT("output_parsed_hero!u1:u"&amp;$B$1)="Radiant",IF(INDIRECT("output_parsed_hero!E1:I"&amp;$B$1)=$L99,1))))+SUM(IF(INDIRECT("output_parsed_hero!t1:t"&amp;$B$1)=$L$1,IF(INDIRECT("output_parsed_hero!u1:u"&amp;$B$1)="Dire",IF(INDIRECT("output_parsed_hero!j1:n"&amp;$B$1)=$L99,1))))</f>
        <v>2</v>
      </c>
      <c r="O99">
        <f t="array" aca="1" ref="O99" ca="1">SUM(IF(INDIRECT("output_parsed_hero!t1:t"&amp;$B$1)=$L$1,IF(INDIRECT("output_parsed_hero!u1:u"&amp;$B$1)="Radiant",IF(INDIRECT("output_parsed_hero!E1:I"&amp;$B$1)=$L99,IF(INDIRECT("output_parsed_hero!D1:D"&amp;$B$1)=TRUE,1)))))+SUM(IF(INDIRECT("output_parsed_hero!t1:t"&amp;$B$1)=$L$1,IF(INDIRECT("output_parsed_hero!u1:u"&amp;$B$1)="Dire",IF(INDIRECT("output_parsed_hero!j1:N"&amp;$B$1)=$L99,IF(INDIRECT("output_parsed_hero!D1:D"&amp;$B$1)=FALSE,1)))))</f>
        <v>2</v>
      </c>
      <c r="P99">
        <f t="shared" ca="1" si="14"/>
        <v>1</v>
      </c>
      <c r="Q99">
        <f t="array" aca="1" ref="Q99" ca="1">SUM(IF(INDIRECT("output_parsed_hero!t1:t"&amp;$B$1)=$L$1,IF(INDIRECT("output_parsed_hero!u1:u"&amp;$B$1)="Radiant",IF(INDIRECT("output_parsed_hero!j1:n"&amp;$B$1)=$L99,1))))+SUM(IF(INDIRECT("output_parsed_hero!t1:t"&amp;$B$1)=$L$1,IF(INDIRECT("output_parsed_hero!u1:u"&amp;$B$1)="Dire",IF(INDIRECT("output_parsed_hero!e1:i"&amp;$B$1)=$L99,1))))</f>
        <v>8</v>
      </c>
      <c r="R99">
        <f t="array" aca="1" ref="R99" ca="1">SUM(IF(INDIRECT("output_parsed_hero!t1:t"&amp;$B$1)=$L$1,IF(INDIRECT("output_parsed_hero!u1:u"&amp;$B$1)="Radiant",IF(INDIRECT("output_parsed_hero!j1:n"&amp;$B$1)=$L99,IF(INDIRECT("output_parsed_hero!D1:D"&amp;$B$1)=TRUE,1)))))+SUM(IF(INDIRECT("output_parsed_hero!t1:t"&amp;$B$1)=$L$1,IF(INDIRECT("output_parsed_hero!u1:u"&amp;$B$1)="Dire",IF(INDIRECT("output_parsed_hero!e1:i"&amp;$B$1)=$L99,IF(INDIRECT("output_parsed_hero!D1:D"&amp;$B$1)=FALSE,1)))))</f>
        <v>4</v>
      </c>
      <c r="S99">
        <f t="shared" ca="1" si="15"/>
        <v>0.5</v>
      </c>
      <c r="Z99" t="s">
        <v>506</v>
      </c>
    </row>
    <row r="100" spans="1:26" x14ac:dyDescent="0.3">
      <c r="A100">
        <f t="shared" si="12"/>
        <v>96</v>
      </c>
      <c r="B100" t="str">
        <f>VLOOKUP(A100,'hero names'!$S$7:$T$209,2,0)</f>
        <v>Centaur Warrunner</v>
      </c>
      <c r="C100">
        <f t="array" aca="1" ref="C100" ca="1">COUNT(IF(INDIRECT("output_parsed!E1:N"&amp;$B$1)='Analysis backend'!$A100,INDIRECT("output_parsed!E1:N"&amp;$B$1)))</f>
        <v>17</v>
      </c>
      <c r="D100">
        <f t="array" aca="1" ref="D100" ca="1">COUNT(IF(INDIRECT("output_parsed!o1:s"&amp;$B$1)='Analysis backend'!$A100,INDIRECT("output_parsed!o1:s"&amp;$B$1)))</f>
        <v>1</v>
      </c>
      <c r="E100">
        <f t="shared" ca="1" si="11"/>
        <v>18</v>
      </c>
      <c r="F100">
        <f t="array" aca="1" ref="F100" ca="1">COUNT(IF(INDIRECT("output_parsed!D1:D"&amp;$B$1)=TRUE,IF(INDIRECT("output_parsed!E1:I"&amp;$B$1)='Analysis backend'!$A100,INDIRECT("output_parsed!E1:I"&amp;$B$1))))+COUNT(IF(INDIRECT("output_parsed!D1:D"&amp;$B$1)=FALSE,IF(INDIRECT("output_parsed!J1:N"&amp;$B$1)='Analysis backend'!$A100,INDIRECT("output_parsed!J1:N"&amp;$B$1))))</f>
        <v>8</v>
      </c>
      <c r="L100">
        <f t="shared" si="16"/>
        <v>95</v>
      </c>
      <c r="M100" t="str">
        <f t="shared" si="13"/>
        <v>Troll Warlord</v>
      </c>
      <c r="N100">
        <f t="array" aca="1" ref="N100" ca="1">SUM(IF(INDIRECT("output_parsed_hero!t1:t"&amp;$B$1)=$L$1,IF(INDIRECT("output_parsed_hero!u1:u"&amp;$B$1)="Radiant",IF(INDIRECT("output_parsed_hero!E1:I"&amp;$B$1)=$L100,1))))+SUM(IF(INDIRECT("output_parsed_hero!t1:t"&amp;$B$1)=$L$1,IF(INDIRECT("output_parsed_hero!u1:u"&amp;$B$1)="Dire",IF(INDIRECT("output_parsed_hero!j1:n"&amp;$B$1)=$L100,1))))</f>
        <v>1</v>
      </c>
      <c r="O100">
        <f t="array" aca="1" ref="O100" ca="1">SUM(IF(INDIRECT("output_parsed_hero!t1:t"&amp;$B$1)=$L$1,IF(INDIRECT("output_parsed_hero!u1:u"&amp;$B$1)="Radiant",IF(INDIRECT("output_parsed_hero!E1:I"&amp;$B$1)=$L100,IF(INDIRECT("output_parsed_hero!D1:D"&amp;$B$1)=TRUE,1)))))+SUM(IF(INDIRECT("output_parsed_hero!t1:t"&amp;$B$1)=$L$1,IF(INDIRECT("output_parsed_hero!u1:u"&amp;$B$1)="Dire",IF(INDIRECT("output_parsed_hero!j1:N"&amp;$B$1)=$L100,IF(INDIRECT("output_parsed_hero!D1:D"&amp;$B$1)=FALSE,1)))))</f>
        <v>0</v>
      </c>
      <c r="P100">
        <f t="shared" ca="1" si="14"/>
        <v>0</v>
      </c>
      <c r="Q100">
        <f t="array" aca="1" ref="Q100" ca="1">SUM(IF(INDIRECT("output_parsed_hero!t1:t"&amp;$B$1)=$L$1,IF(INDIRECT("output_parsed_hero!u1:u"&amp;$B$1)="Radiant",IF(INDIRECT("output_parsed_hero!j1:n"&amp;$B$1)=$L100,1))))+SUM(IF(INDIRECT("output_parsed_hero!t1:t"&amp;$B$1)=$L$1,IF(INDIRECT("output_parsed_hero!u1:u"&amp;$B$1)="Dire",IF(INDIRECT("output_parsed_hero!e1:i"&amp;$B$1)=$L100,1))))</f>
        <v>6</v>
      </c>
      <c r="R100">
        <f t="array" aca="1" ref="R100" ca="1">SUM(IF(INDIRECT("output_parsed_hero!t1:t"&amp;$B$1)=$L$1,IF(INDIRECT("output_parsed_hero!u1:u"&amp;$B$1)="Radiant",IF(INDIRECT("output_parsed_hero!j1:n"&amp;$B$1)=$L100,IF(INDIRECT("output_parsed_hero!D1:D"&amp;$B$1)=TRUE,1)))))+SUM(IF(INDIRECT("output_parsed_hero!t1:t"&amp;$B$1)=$L$1,IF(INDIRECT("output_parsed_hero!u1:u"&amp;$B$1)="Dire",IF(INDIRECT("output_parsed_hero!e1:i"&amp;$B$1)=$L100,IF(INDIRECT("output_parsed_hero!D1:D"&amp;$B$1)=FALSE,1)))))</f>
        <v>3</v>
      </c>
      <c r="S100">
        <f t="shared" ca="1" si="15"/>
        <v>0.5</v>
      </c>
      <c r="Z100" t="s">
        <v>426</v>
      </c>
    </row>
    <row r="101" spans="1:26" x14ac:dyDescent="0.3">
      <c r="A101">
        <f t="shared" si="12"/>
        <v>97</v>
      </c>
      <c r="B101" t="str">
        <f>VLOOKUP(A101,'hero names'!$S$7:$T$209,2,0)</f>
        <v>Magnus</v>
      </c>
      <c r="C101">
        <f t="array" aca="1" ref="C101" ca="1">COUNT(IF(INDIRECT("output_parsed!E1:N"&amp;$B$1)='Analysis backend'!$A101,INDIRECT("output_parsed!E1:N"&amp;$B$1)))</f>
        <v>138</v>
      </c>
      <c r="D101">
        <f t="array" aca="1" ref="D101" ca="1">COUNT(IF(INDIRECT("output_parsed!o1:s"&amp;$B$1)='Analysis backend'!$A101,INDIRECT("output_parsed!o1:s"&amp;$B$1)))</f>
        <v>97</v>
      </c>
      <c r="E101">
        <f t="shared" ref="E101:E132" ca="1" si="17">D101+C101</f>
        <v>235</v>
      </c>
      <c r="F101">
        <f t="array" aca="1" ref="F101" ca="1">COUNT(IF(INDIRECT("output_parsed!D1:D"&amp;$B$1)=TRUE,IF(INDIRECT("output_parsed!E1:I"&amp;$B$1)='Analysis backend'!$A101,INDIRECT("output_parsed!E1:I"&amp;$B$1))))+COUNT(IF(INDIRECT("output_parsed!D1:D"&amp;$B$1)=FALSE,IF(INDIRECT("output_parsed!J1:N"&amp;$B$1)='Analysis backend'!$A101,INDIRECT("output_parsed!J1:N"&amp;$B$1))))</f>
        <v>87</v>
      </c>
      <c r="L101">
        <f t="shared" si="16"/>
        <v>96</v>
      </c>
      <c r="M101" t="str">
        <f t="shared" si="13"/>
        <v>Centaur Warrunner</v>
      </c>
      <c r="N101">
        <f t="array" aca="1" ref="N101" ca="1">SUM(IF(INDIRECT("output_parsed_hero!t1:t"&amp;$B$1)=$L$1,IF(INDIRECT("output_parsed_hero!u1:u"&amp;$B$1)="Radiant",IF(INDIRECT("output_parsed_hero!E1:I"&amp;$B$1)=$L101,1))))+SUM(IF(INDIRECT("output_parsed_hero!t1:t"&amp;$B$1)=$L$1,IF(INDIRECT("output_parsed_hero!u1:u"&amp;$B$1)="Dire",IF(INDIRECT("output_parsed_hero!j1:n"&amp;$B$1)=$L101,1))))</f>
        <v>4</v>
      </c>
      <c r="O101">
        <f t="array" aca="1" ref="O101" ca="1">SUM(IF(INDIRECT("output_parsed_hero!t1:t"&amp;$B$1)=$L$1,IF(INDIRECT("output_parsed_hero!u1:u"&amp;$B$1)="Radiant",IF(INDIRECT("output_parsed_hero!E1:I"&amp;$B$1)=$L101,IF(INDIRECT("output_parsed_hero!D1:D"&amp;$B$1)=TRUE,1)))))+SUM(IF(INDIRECT("output_parsed_hero!t1:t"&amp;$B$1)=$L$1,IF(INDIRECT("output_parsed_hero!u1:u"&amp;$B$1)="Dire",IF(INDIRECT("output_parsed_hero!j1:N"&amp;$B$1)=$L101,IF(INDIRECT("output_parsed_hero!D1:D"&amp;$B$1)=FALSE,1)))))</f>
        <v>2</v>
      </c>
      <c r="P101">
        <f t="shared" ca="1" si="14"/>
        <v>0.5</v>
      </c>
      <c r="Q101">
        <f t="array" aca="1" ref="Q101" ca="1">SUM(IF(INDIRECT("output_parsed_hero!t1:t"&amp;$B$1)=$L$1,IF(INDIRECT("output_parsed_hero!u1:u"&amp;$B$1)="Radiant",IF(INDIRECT("output_parsed_hero!j1:n"&amp;$B$1)=$L101,1))))+SUM(IF(INDIRECT("output_parsed_hero!t1:t"&amp;$B$1)=$L$1,IF(INDIRECT("output_parsed_hero!u1:u"&amp;$B$1)="Dire",IF(INDIRECT("output_parsed_hero!e1:i"&amp;$B$1)=$L101,1))))</f>
        <v>4</v>
      </c>
      <c r="R101">
        <f t="array" aca="1" ref="R101" ca="1">SUM(IF(INDIRECT("output_parsed_hero!t1:t"&amp;$B$1)=$L$1,IF(INDIRECT("output_parsed_hero!u1:u"&amp;$B$1)="Radiant",IF(INDIRECT("output_parsed_hero!j1:n"&amp;$B$1)=$L101,IF(INDIRECT("output_parsed_hero!D1:D"&amp;$B$1)=TRUE,1)))))+SUM(IF(INDIRECT("output_parsed_hero!t1:t"&amp;$B$1)=$L$1,IF(INDIRECT("output_parsed_hero!u1:u"&amp;$B$1)="Dire",IF(INDIRECT("output_parsed_hero!e1:i"&amp;$B$1)=$L101,IF(INDIRECT("output_parsed_hero!D1:D"&amp;$B$1)=FALSE,1)))))</f>
        <v>2</v>
      </c>
      <c r="S101">
        <f t="shared" ca="1" si="15"/>
        <v>0.5</v>
      </c>
      <c r="Z101" t="s">
        <v>495</v>
      </c>
    </row>
    <row r="102" spans="1:26" x14ac:dyDescent="0.3">
      <c r="A102">
        <f t="shared" ref="A102:A136" si="18">A101+1</f>
        <v>98</v>
      </c>
      <c r="B102" t="str">
        <f>VLOOKUP(A102,'hero names'!$S$7:$T$209,2,0)</f>
        <v>Timbersaw</v>
      </c>
      <c r="C102">
        <f t="array" aca="1" ref="C102" ca="1">COUNT(IF(INDIRECT("output_parsed!E1:N"&amp;$B$1)='Analysis backend'!$A102,INDIRECT("output_parsed!E1:N"&amp;$B$1)))</f>
        <v>16</v>
      </c>
      <c r="D102">
        <f t="array" aca="1" ref="D102" ca="1">COUNT(IF(INDIRECT("output_parsed!o1:s"&amp;$B$1)='Analysis backend'!$A102,INDIRECT("output_parsed!o1:s"&amp;$B$1)))</f>
        <v>0</v>
      </c>
      <c r="E102">
        <f t="shared" ca="1" si="17"/>
        <v>16</v>
      </c>
      <c r="F102">
        <f t="array" aca="1" ref="F102" ca="1">COUNT(IF(INDIRECT("output_parsed!D1:D"&amp;$B$1)=TRUE,IF(INDIRECT("output_parsed!E1:I"&amp;$B$1)='Analysis backend'!$A102,INDIRECT("output_parsed!E1:I"&amp;$B$1))))+COUNT(IF(INDIRECT("output_parsed!D1:D"&amp;$B$1)=FALSE,IF(INDIRECT("output_parsed!J1:N"&amp;$B$1)='Analysis backend'!$A102,INDIRECT("output_parsed!J1:N"&amp;$B$1))))</f>
        <v>5</v>
      </c>
      <c r="L102">
        <f t="shared" si="16"/>
        <v>97</v>
      </c>
      <c r="M102" t="str">
        <f t="shared" ref="M102:M137" si="19">B101</f>
        <v>Magnus</v>
      </c>
      <c r="N102">
        <f t="array" aca="1" ref="N102" ca="1">SUM(IF(INDIRECT("output_parsed_hero!t1:t"&amp;$B$1)=$L$1,IF(INDIRECT("output_parsed_hero!u1:u"&amp;$B$1)="Radiant",IF(INDIRECT("output_parsed_hero!E1:I"&amp;$B$1)=$L102,1))))+SUM(IF(INDIRECT("output_parsed_hero!t1:t"&amp;$B$1)=$L$1,IF(INDIRECT("output_parsed_hero!u1:u"&amp;$B$1)="Dire",IF(INDIRECT("output_parsed_hero!j1:n"&amp;$B$1)=$L102,1))))</f>
        <v>40</v>
      </c>
      <c r="O102">
        <f t="array" aca="1" ref="O102" ca="1">SUM(IF(INDIRECT("output_parsed_hero!t1:t"&amp;$B$1)=$L$1,IF(INDIRECT("output_parsed_hero!u1:u"&amp;$B$1)="Radiant",IF(INDIRECT("output_parsed_hero!E1:I"&amp;$B$1)=$L102,IF(INDIRECT("output_parsed_hero!D1:D"&amp;$B$1)=TRUE,1)))))+SUM(IF(INDIRECT("output_parsed_hero!t1:t"&amp;$B$1)=$L$1,IF(INDIRECT("output_parsed_hero!u1:u"&amp;$B$1)="Dire",IF(INDIRECT("output_parsed_hero!j1:N"&amp;$B$1)=$L102,IF(INDIRECT("output_parsed_hero!D1:D"&amp;$B$1)=FALSE,1)))))</f>
        <v>26</v>
      </c>
      <c r="P102">
        <f t="shared" ref="P102:P133" ca="1" si="20">IF(ISERROR(O102/N102),0,O102/N102)</f>
        <v>0.65</v>
      </c>
      <c r="Q102">
        <f t="array" aca="1" ref="Q102" ca="1">SUM(IF(INDIRECT("output_parsed_hero!t1:t"&amp;$B$1)=$L$1,IF(INDIRECT("output_parsed_hero!u1:u"&amp;$B$1)="Radiant",IF(INDIRECT("output_parsed_hero!j1:n"&amp;$B$1)=$L102,1))))+SUM(IF(INDIRECT("output_parsed_hero!t1:t"&amp;$B$1)=$L$1,IF(INDIRECT("output_parsed_hero!u1:u"&amp;$B$1)="Dire",IF(INDIRECT("output_parsed_hero!e1:i"&amp;$B$1)=$L102,1))))</f>
        <v>45</v>
      </c>
      <c r="R102">
        <f t="array" aca="1" ref="R102" ca="1">SUM(IF(INDIRECT("output_parsed_hero!t1:t"&amp;$B$1)=$L$1,IF(INDIRECT("output_parsed_hero!u1:u"&amp;$B$1)="Radiant",IF(INDIRECT("output_parsed_hero!j1:n"&amp;$B$1)=$L102,IF(INDIRECT("output_parsed_hero!D1:D"&amp;$B$1)=TRUE,1)))))+SUM(IF(INDIRECT("output_parsed_hero!t1:t"&amp;$B$1)=$L$1,IF(INDIRECT("output_parsed_hero!u1:u"&amp;$B$1)="Dire",IF(INDIRECT("output_parsed_hero!e1:i"&amp;$B$1)=$L102,IF(INDIRECT("output_parsed_hero!D1:D"&amp;$B$1)=FALSE,1)))))</f>
        <v>19</v>
      </c>
      <c r="S102">
        <f t="shared" ca="1" si="15"/>
        <v>0.42222222222222222</v>
      </c>
      <c r="Z102" t="s">
        <v>431</v>
      </c>
    </row>
    <row r="103" spans="1:26" x14ac:dyDescent="0.3">
      <c r="A103">
        <f t="shared" si="18"/>
        <v>99</v>
      </c>
      <c r="B103" t="str">
        <f>VLOOKUP(A103,'hero names'!$S$7:$T$209,2,0)</f>
        <v>Bristleback</v>
      </c>
      <c r="C103">
        <f t="array" aca="1" ref="C103" ca="1">COUNT(IF(INDIRECT("output_parsed!E1:N"&amp;$B$1)='Analysis backend'!$A103,INDIRECT("output_parsed!E1:N"&amp;$B$1)))</f>
        <v>3</v>
      </c>
      <c r="D103">
        <f t="array" aca="1" ref="D103" ca="1">COUNT(IF(INDIRECT("output_parsed!o1:s"&amp;$B$1)='Analysis backend'!$A103,INDIRECT("output_parsed!o1:s"&amp;$B$1)))</f>
        <v>0</v>
      </c>
      <c r="E103">
        <f t="shared" ca="1" si="17"/>
        <v>3</v>
      </c>
      <c r="F103">
        <f t="array" aca="1" ref="F103" ca="1">COUNT(IF(INDIRECT("output_parsed!D1:D"&amp;$B$1)=TRUE,IF(INDIRECT("output_parsed!E1:I"&amp;$B$1)='Analysis backend'!$A103,INDIRECT("output_parsed!E1:I"&amp;$B$1))))+COUNT(IF(INDIRECT("output_parsed!D1:D"&amp;$B$1)=FALSE,IF(INDIRECT("output_parsed!J1:N"&amp;$B$1)='Analysis backend'!$A103,INDIRECT("output_parsed!J1:N"&amp;$B$1))))</f>
        <v>1</v>
      </c>
      <c r="L103">
        <f t="shared" si="16"/>
        <v>98</v>
      </c>
      <c r="M103" t="str">
        <f t="shared" si="19"/>
        <v>Timbersaw</v>
      </c>
      <c r="N103">
        <f t="array" aca="1" ref="N103" ca="1">SUM(IF(INDIRECT("output_parsed_hero!t1:t"&amp;$B$1)=$L$1,IF(INDIRECT("output_parsed_hero!u1:u"&amp;$B$1)="Radiant",IF(INDIRECT("output_parsed_hero!E1:I"&amp;$B$1)=$L103,1))))+SUM(IF(INDIRECT("output_parsed_hero!t1:t"&amp;$B$1)=$L$1,IF(INDIRECT("output_parsed_hero!u1:u"&amp;$B$1)="Dire",IF(INDIRECT("output_parsed_hero!j1:n"&amp;$B$1)=$L103,1))))</f>
        <v>2</v>
      </c>
      <c r="O103">
        <f t="array" aca="1" ref="O103" ca="1">SUM(IF(INDIRECT("output_parsed_hero!t1:t"&amp;$B$1)=$L$1,IF(INDIRECT("output_parsed_hero!u1:u"&amp;$B$1)="Radiant",IF(INDIRECT("output_parsed_hero!E1:I"&amp;$B$1)=$L103,IF(INDIRECT("output_parsed_hero!D1:D"&amp;$B$1)=TRUE,1)))))+SUM(IF(INDIRECT("output_parsed_hero!t1:t"&amp;$B$1)=$L$1,IF(INDIRECT("output_parsed_hero!u1:u"&amp;$B$1)="Dire",IF(INDIRECT("output_parsed_hero!j1:N"&amp;$B$1)=$L103,IF(INDIRECT("output_parsed_hero!D1:D"&amp;$B$1)=FALSE,1)))))</f>
        <v>1</v>
      </c>
      <c r="P103">
        <f t="shared" ca="1" si="20"/>
        <v>0.5</v>
      </c>
      <c r="Q103">
        <f t="array" aca="1" ref="Q103" ca="1">SUM(IF(INDIRECT("output_parsed_hero!t1:t"&amp;$B$1)=$L$1,IF(INDIRECT("output_parsed_hero!u1:u"&amp;$B$1)="Radiant",IF(INDIRECT("output_parsed_hero!j1:n"&amp;$B$1)=$L103,1))))+SUM(IF(INDIRECT("output_parsed_hero!t1:t"&amp;$B$1)=$L$1,IF(INDIRECT("output_parsed_hero!u1:u"&amp;$B$1)="Dire",IF(INDIRECT("output_parsed_hero!e1:i"&amp;$B$1)=$L103,1))))</f>
        <v>3</v>
      </c>
      <c r="R103">
        <f t="array" aca="1" ref="R103" ca="1">SUM(IF(INDIRECT("output_parsed_hero!t1:t"&amp;$B$1)=$L$1,IF(INDIRECT("output_parsed_hero!u1:u"&amp;$B$1)="Radiant",IF(INDIRECT("output_parsed_hero!j1:n"&amp;$B$1)=$L103,IF(INDIRECT("output_parsed_hero!D1:D"&amp;$B$1)=TRUE,1)))))+SUM(IF(INDIRECT("output_parsed_hero!t1:t"&amp;$B$1)=$L$1,IF(INDIRECT("output_parsed_hero!u1:u"&amp;$B$1)="Dire",IF(INDIRECT("output_parsed_hero!e1:i"&amp;$B$1)=$L103,IF(INDIRECT("output_parsed_hero!D1:D"&amp;$B$1)=FALSE,1)))))</f>
        <v>3</v>
      </c>
      <c r="S103">
        <f t="shared" ca="1" si="15"/>
        <v>1</v>
      </c>
      <c r="Z103" t="s">
        <v>417</v>
      </c>
    </row>
    <row r="104" spans="1:26" x14ac:dyDescent="0.3">
      <c r="A104">
        <f t="shared" si="18"/>
        <v>100</v>
      </c>
      <c r="B104" t="str">
        <f>VLOOKUP(A104,'hero names'!$S$7:$T$209,2,0)</f>
        <v>Tusk</v>
      </c>
      <c r="C104">
        <f t="array" aca="1" ref="C104" ca="1">COUNT(IF(INDIRECT("output_parsed!E1:N"&amp;$B$1)='Analysis backend'!$A104,INDIRECT("output_parsed!E1:N"&amp;$B$1)))</f>
        <v>59</v>
      </c>
      <c r="D104">
        <f t="array" aca="1" ref="D104" ca="1">COUNT(IF(INDIRECT("output_parsed!o1:s"&amp;$B$1)='Analysis backend'!$A104,INDIRECT("output_parsed!o1:s"&amp;$B$1)))</f>
        <v>2</v>
      </c>
      <c r="E104">
        <f t="shared" ca="1" si="17"/>
        <v>61</v>
      </c>
      <c r="F104">
        <f t="array" aca="1" ref="F104" ca="1">COUNT(IF(INDIRECT("output_parsed!D1:D"&amp;$B$1)=TRUE,IF(INDIRECT("output_parsed!E1:I"&amp;$B$1)='Analysis backend'!$A104,INDIRECT("output_parsed!E1:I"&amp;$B$1))))+COUNT(IF(INDIRECT("output_parsed!D1:D"&amp;$B$1)=FALSE,IF(INDIRECT("output_parsed!J1:N"&amp;$B$1)='Analysis backend'!$A104,INDIRECT("output_parsed!J1:N"&amp;$B$1))))</f>
        <v>29</v>
      </c>
      <c r="L104">
        <f t="shared" si="16"/>
        <v>99</v>
      </c>
      <c r="M104" t="str">
        <f t="shared" si="19"/>
        <v>Bristleback</v>
      </c>
      <c r="N104">
        <f t="array" aca="1" ref="N104" ca="1">SUM(IF(INDIRECT("output_parsed_hero!t1:t"&amp;$B$1)=$L$1,IF(INDIRECT("output_parsed_hero!u1:u"&amp;$B$1)="Radiant",IF(INDIRECT("output_parsed_hero!E1:I"&amp;$B$1)=$L104,1))))+SUM(IF(INDIRECT("output_parsed_hero!t1:t"&amp;$B$1)=$L$1,IF(INDIRECT("output_parsed_hero!u1:u"&amp;$B$1)="Dire",IF(INDIRECT("output_parsed_hero!j1:n"&amp;$B$1)=$L104,1))))</f>
        <v>0</v>
      </c>
      <c r="O104">
        <f t="array" aca="1" ref="O104" ca="1">SUM(IF(INDIRECT("output_parsed_hero!t1:t"&amp;$B$1)=$L$1,IF(INDIRECT("output_parsed_hero!u1:u"&amp;$B$1)="Radiant",IF(INDIRECT("output_parsed_hero!E1:I"&amp;$B$1)=$L104,IF(INDIRECT("output_parsed_hero!D1:D"&amp;$B$1)=TRUE,1)))))+SUM(IF(INDIRECT("output_parsed_hero!t1:t"&amp;$B$1)=$L$1,IF(INDIRECT("output_parsed_hero!u1:u"&amp;$B$1)="Dire",IF(INDIRECT("output_parsed_hero!j1:N"&amp;$B$1)=$L104,IF(INDIRECT("output_parsed_hero!D1:D"&amp;$B$1)=FALSE,1)))))</f>
        <v>0</v>
      </c>
      <c r="P104">
        <f t="shared" ca="1" si="20"/>
        <v>0</v>
      </c>
      <c r="Q104">
        <f t="array" aca="1" ref="Q104" ca="1">SUM(IF(INDIRECT("output_parsed_hero!t1:t"&amp;$B$1)=$L$1,IF(INDIRECT("output_parsed_hero!u1:u"&amp;$B$1)="Radiant",IF(INDIRECT("output_parsed_hero!j1:n"&amp;$B$1)=$L104,1))))+SUM(IF(INDIRECT("output_parsed_hero!t1:t"&amp;$B$1)=$L$1,IF(INDIRECT("output_parsed_hero!u1:u"&amp;$B$1)="Dire",IF(INDIRECT("output_parsed_hero!e1:i"&amp;$B$1)=$L104,1))))</f>
        <v>0</v>
      </c>
      <c r="R104">
        <f t="array" aca="1" ref="R104" ca="1">SUM(IF(INDIRECT("output_parsed_hero!t1:t"&amp;$B$1)=$L$1,IF(INDIRECT("output_parsed_hero!u1:u"&amp;$B$1)="Radiant",IF(INDIRECT("output_parsed_hero!j1:n"&amp;$B$1)=$L104,IF(INDIRECT("output_parsed_hero!D1:D"&amp;$B$1)=TRUE,1)))))+SUM(IF(INDIRECT("output_parsed_hero!t1:t"&amp;$B$1)=$L$1,IF(INDIRECT("output_parsed_hero!u1:u"&amp;$B$1)="Dire",IF(INDIRECT("output_parsed_hero!e1:i"&amp;$B$1)=$L104,IF(INDIRECT("output_parsed_hero!D1:D"&amp;$B$1)=FALSE,1)))))</f>
        <v>0</v>
      </c>
      <c r="S104">
        <f t="shared" ca="1" si="15"/>
        <v>0</v>
      </c>
      <c r="Z104" t="s">
        <v>480</v>
      </c>
    </row>
    <row r="105" spans="1:26" x14ac:dyDescent="0.3">
      <c r="A105">
        <f t="shared" si="18"/>
        <v>101</v>
      </c>
      <c r="B105" t="str">
        <f>VLOOKUP(A105,'hero names'!$S$7:$T$209,2,0)</f>
        <v>Skywrath Mage</v>
      </c>
      <c r="C105">
        <f t="array" aca="1" ref="C105" ca="1">COUNT(IF(INDIRECT("output_parsed!E1:N"&amp;$B$1)='Analysis backend'!$A105,INDIRECT("output_parsed!E1:N"&amp;$B$1)))</f>
        <v>56</v>
      </c>
      <c r="D105">
        <f t="array" aca="1" ref="D105" ca="1">COUNT(IF(INDIRECT("output_parsed!o1:s"&amp;$B$1)='Analysis backend'!$A105,INDIRECT("output_parsed!o1:s"&amp;$B$1)))</f>
        <v>2</v>
      </c>
      <c r="E105">
        <f t="shared" ca="1" si="17"/>
        <v>58</v>
      </c>
      <c r="F105">
        <f t="array" aca="1" ref="F105" ca="1">COUNT(IF(INDIRECT("output_parsed!D1:D"&amp;$B$1)=TRUE,IF(INDIRECT("output_parsed!E1:I"&amp;$B$1)='Analysis backend'!$A105,INDIRECT("output_parsed!E1:I"&amp;$B$1))))+COUNT(IF(INDIRECT("output_parsed!D1:D"&amp;$B$1)=FALSE,IF(INDIRECT("output_parsed!J1:N"&amp;$B$1)='Analysis backend'!$A105,INDIRECT("output_parsed!J1:N"&amp;$B$1))))</f>
        <v>24</v>
      </c>
      <c r="L105">
        <f t="shared" si="16"/>
        <v>100</v>
      </c>
      <c r="M105" t="str">
        <f t="shared" si="19"/>
        <v>Tusk</v>
      </c>
      <c r="N105">
        <f t="array" aca="1" ref="N105" ca="1">SUM(IF(INDIRECT("output_parsed_hero!t1:t"&amp;$B$1)=$L$1,IF(INDIRECT("output_parsed_hero!u1:u"&amp;$B$1)="Radiant",IF(INDIRECT("output_parsed_hero!E1:I"&amp;$B$1)=$L105,1))))+SUM(IF(INDIRECT("output_parsed_hero!t1:t"&amp;$B$1)=$L$1,IF(INDIRECT("output_parsed_hero!u1:u"&amp;$B$1)="Dire",IF(INDIRECT("output_parsed_hero!j1:n"&amp;$B$1)=$L105,1))))</f>
        <v>15</v>
      </c>
      <c r="O105">
        <f t="array" aca="1" ref="O105" ca="1">SUM(IF(INDIRECT("output_parsed_hero!t1:t"&amp;$B$1)=$L$1,IF(INDIRECT("output_parsed_hero!u1:u"&amp;$B$1)="Radiant",IF(INDIRECT("output_parsed_hero!E1:I"&amp;$B$1)=$L105,IF(INDIRECT("output_parsed_hero!D1:D"&amp;$B$1)=TRUE,1)))))+SUM(IF(INDIRECT("output_parsed_hero!t1:t"&amp;$B$1)=$L$1,IF(INDIRECT("output_parsed_hero!u1:u"&amp;$B$1)="Dire",IF(INDIRECT("output_parsed_hero!j1:N"&amp;$B$1)=$L105,IF(INDIRECT("output_parsed_hero!D1:D"&amp;$B$1)=FALSE,1)))))</f>
        <v>10</v>
      </c>
      <c r="P105">
        <f t="shared" ca="1" si="20"/>
        <v>0.66666666666666663</v>
      </c>
      <c r="Q105">
        <f t="array" aca="1" ref="Q105" ca="1">SUM(IF(INDIRECT("output_parsed_hero!t1:t"&amp;$B$1)=$L$1,IF(INDIRECT("output_parsed_hero!u1:u"&amp;$B$1)="Radiant",IF(INDIRECT("output_parsed_hero!j1:n"&amp;$B$1)=$L105,1))))+SUM(IF(INDIRECT("output_parsed_hero!t1:t"&amp;$B$1)=$L$1,IF(INDIRECT("output_parsed_hero!u1:u"&amp;$B$1)="Dire",IF(INDIRECT("output_parsed_hero!e1:i"&amp;$B$1)=$L105,1))))</f>
        <v>10</v>
      </c>
      <c r="R105">
        <f t="array" aca="1" ref="R105" ca="1">SUM(IF(INDIRECT("output_parsed_hero!t1:t"&amp;$B$1)=$L$1,IF(INDIRECT("output_parsed_hero!u1:u"&amp;$B$1)="Radiant",IF(INDIRECT("output_parsed_hero!j1:n"&amp;$B$1)=$L105,IF(INDIRECT("output_parsed_hero!D1:D"&amp;$B$1)=TRUE,1)))))+SUM(IF(INDIRECT("output_parsed_hero!t1:t"&amp;$B$1)=$L$1,IF(INDIRECT("output_parsed_hero!u1:u"&amp;$B$1)="Dire",IF(INDIRECT("output_parsed_hero!e1:i"&amp;$B$1)=$L105,IF(INDIRECT("output_parsed_hero!D1:D"&amp;$B$1)=FALSE,1)))))</f>
        <v>8</v>
      </c>
      <c r="S105">
        <f t="shared" ca="1" si="15"/>
        <v>0.8</v>
      </c>
      <c r="Z105" t="s">
        <v>492</v>
      </c>
    </row>
    <row r="106" spans="1:26" x14ac:dyDescent="0.3">
      <c r="A106">
        <f t="shared" si="18"/>
        <v>102</v>
      </c>
      <c r="B106" t="str">
        <f>VLOOKUP(A106,'hero names'!$S$7:$T$209,2,0)</f>
        <v>Abaddon</v>
      </c>
      <c r="C106">
        <f t="array" aca="1" ref="C106" ca="1">COUNT(IF(INDIRECT("output_parsed!E1:N"&amp;$B$1)='Analysis backend'!$A106,INDIRECT("output_parsed!E1:N"&amp;$B$1)))</f>
        <v>2</v>
      </c>
      <c r="D106">
        <f t="array" aca="1" ref="D106" ca="1">COUNT(IF(INDIRECT("output_parsed!o1:s"&amp;$B$1)='Analysis backend'!$A106,INDIRECT("output_parsed!o1:s"&amp;$B$1)))</f>
        <v>1</v>
      </c>
      <c r="E106">
        <f t="shared" ca="1" si="17"/>
        <v>3</v>
      </c>
      <c r="F106">
        <f t="array" aca="1" ref="F106" ca="1">COUNT(IF(INDIRECT("output_parsed!D1:D"&amp;$B$1)=TRUE,IF(INDIRECT("output_parsed!E1:I"&amp;$B$1)='Analysis backend'!$A106,INDIRECT("output_parsed!E1:I"&amp;$B$1))))+COUNT(IF(INDIRECT("output_parsed!D1:D"&amp;$B$1)=FALSE,IF(INDIRECT("output_parsed!J1:N"&amp;$B$1)='Analysis backend'!$A106,INDIRECT("output_parsed!J1:N"&amp;$B$1))))</f>
        <v>1</v>
      </c>
      <c r="L106">
        <f t="shared" si="16"/>
        <v>101</v>
      </c>
      <c r="M106" t="str">
        <f t="shared" si="19"/>
        <v>Skywrath Mage</v>
      </c>
      <c r="N106">
        <f t="array" aca="1" ref="N106" ca="1">SUM(IF(INDIRECT("output_parsed_hero!t1:t"&amp;$B$1)=$L$1,IF(INDIRECT("output_parsed_hero!u1:u"&amp;$B$1)="Radiant",IF(INDIRECT("output_parsed_hero!E1:I"&amp;$B$1)=$L106,1))))+SUM(IF(INDIRECT("output_parsed_hero!t1:t"&amp;$B$1)=$L$1,IF(INDIRECT("output_parsed_hero!u1:u"&amp;$B$1)="Dire",IF(INDIRECT("output_parsed_hero!j1:n"&amp;$B$1)=$L106,1))))</f>
        <v>11</v>
      </c>
      <c r="O106">
        <f t="array" aca="1" ref="O106" ca="1">SUM(IF(INDIRECT("output_parsed_hero!t1:t"&amp;$B$1)=$L$1,IF(INDIRECT("output_parsed_hero!u1:u"&amp;$B$1)="Radiant",IF(INDIRECT("output_parsed_hero!E1:I"&amp;$B$1)=$L106,IF(INDIRECT("output_parsed_hero!D1:D"&amp;$B$1)=TRUE,1)))))+SUM(IF(INDIRECT("output_parsed_hero!t1:t"&amp;$B$1)=$L$1,IF(INDIRECT("output_parsed_hero!u1:u"&amp;$B$1)="Dire",IF(INDIRECT("output_parsed_hero!j1:N"&amp;$B$1)=$L106,IF(INDIRECT("output_parsed_hero!D1:D"&amp;$B$1)=FALSE,1)))))</f>
        <v>5</v>
      </c>
      <c r="P106">
        <f t="shared" ca="1" si="20"/>
        <v>0.45454545454545453</v>
      </c>
      <c r="Q106">
        <f t="array" aca="1" ref="Q106" ca="1">SUM(IF(INDIRECT("output_parsed_hero!t1:t"&amp;$B$1)=$L$1,IF(INDIRECT("output_parsed_hero!u1:u"&amp;$B$1)="Radiant",IF(INDIRECT("output_parsed_hero!j1:n"&amp;$B$1)=$L106,1))))+SUM(IF(INDIRECT("output_parsed_hero!t1:t"&amp;$B$1)=$L$1,IF(INDIRECT("output_parsed_hero!u1:u"&amp;$B$1)="Dire",IF(INDIRECT("output_parsed_hero!e1:i"&amp;$B$1)=$L106,1))))</f>
        <v>15</v>
      </c>
      <c r="R106">
        <f t="array" aca="1" ref="R106" ca="1">SUM(IF(INDIRECT("output_parsed_hero!t1:t"&amp;$B$1)=$L$1,IF(INDIRECT("output_parsed_hero!u1:u"&amp;$B$1)="Radiant",IF(INDIRECT("output_parsed_hero!j1:n"&amp;$B$1)=$L106,IF(INDIRECT("output_parsed_hero!D1:D"&amp;$B$1)=TRUE,1)))))+SUM(IF(INDIRECT("output_parsed_hero!t1:t"&amp;$B$1)=$L$1,IF(INDIRECT("output_parsed_hero!u1:u"&amp;$B$1)="Dire",IF(INDIRECT("output_parsed_hero!e1:i"&amp;$B$1)=$L106,IF(INDIRECT("output_parsed_hero!D1:D"&amp;$B$1)=FALSE,1)))))</f>
        <v>9</v>
      </c>
      <c r="S106">
        <f t="shared" ca="1" si="15"/>
        <v>0.6</v>
      </c>
      <c r="Z106" t="s">
        <v>497</v>
      </c>
    </row>
    <row r="107" spans="1:26" x14ac:dyDescent="0.3">
      <c r="A107">
        <f t="shared" si="18"/>
        <v>103</v>
      </c>
      <c r="B107" t="str">
        <f>VLOOKUP(A107,'hero names'!$S$7:$T$209,2,0)</f>
        <v>Elder Titan</v>
      </c>
      <c r="C107">
        <f t="array" aca="1" ref="C107" ca="1">COUNT(IF(INDIRECT("output_parsed!E1:N"&amp;$B$1)='Analysis backend'!$A107,INDIRECT("output_parsed!E1:N"&amp;$B$1)))</f>
        <v>19</v>
      </c>
      <c r="D107">
        <f t="array" aca="1" ref="D107" ca="1">COUNT(IF(INDIRECT("output_parsed!o1:s"&amp;$B$1)='Analysis backend'!$A107,INDIRECT("output_parsed!o1:s"&amp;$B$1)))</f>
        <v>1</v>
      </c>
      <c r="E107">
        <f t="shared" ca="1" si="17"/>
        <v>20</v>
      </c>
      <c r="F107">
        <f t="array" aca="1" ref="F107" ca="1">COUNT(IF(INDIRECT("output_parsed!D1:D"&amp;$B$1)=TRUE,IF(INDIRECT("output_parsed!E1:I"&amp;$B$1)='Analysis backend'!$A107,INDIRECT("output_parsed!E1:I"&amp;$B$1))))+COUNT(IF(INDIRECT("output_parsed!D1:D"&amp;$B$1)=FALSE,IF(INDIRECT("output_parsed!J1:N"&amp;$B$1)='Analysis backend'!$A107,INDIRECT("output_parsed!J1:N"&amp;$B$1))))</f>
        <v>9</v>
      </c>
      <c r="L107">
        <f t="shared" si="16"/>
        <v>102</v>
      </c>
      <c r="M107" t="str">
        <f t="shared" si="19"/>
        <v>Abaddon</v>
      </c>
      <c r="N107">
        <f t="array" aca="1" ref="N107" ca="1">SUM(IF(INDIRECT("output_parsed_hero!t1:t"&amp;$B$1)=$L$1,IF(INDIRECT("output_parsed_hero!u1:u"&amp;$B$1)="Radiant",IF(INDIRECT("output_parsed_hero!E1:I"&amp;$B$1)=$L107,1))))+SUM(IF(INDIRECT("output_parsed_hero!t1:t"&amp;$B$1)=$L$1,IF(INDIRECT("output_parsed_hero!u1:u"&amp;$B$1)="Dire",IF(INDIRECT("output_parsed_hero!j1:n"&amp;$B$1)=$L107,1))))</f>
        <v>0</v>
      </c>
      <c r="O107">
        <f t="array" aca="1" ref="O107" ca="1">SUM(IF(INDIRECT("output_parsed_hero!t1:t"&amp;$B$1)=$L$1,IF(INDIRECT("output_parsed_hero!u1:u"&amp;$B$1)="Radiant",IF(INDIRECT("output_parsed_hero!E1:I"&amp;$B$1)=$L107,IF(INDIRECT("output_parsed_hero!D1:D"&amp;$B$1)=TRUE,1)))))+SUM(IF(INDIRECT("output_parsed_hero!t1:t"&amp;$B$1)=$L$1,IF(INDIRECT("output_parsed_hero!u1:u"&amp;$B$1)="Dire",IF(INDIRECT("output_parsed_hero!j1:N"&amp;$B$1)=$L107,IF(INDIRECT("output_parsed_hero!D1:D"&amp;$B$1)=FALSE,1)))))</f>
        <v>0</v>
      </c>
      <c r="P107">
        <f t="shared" ca="1" si="20"/>
        <v>0</v>
      </c>
      <c r="Q107">
        <f t="array" aca="1" ref="Q107" ca="1">SUM(IF(INDIRECT("output_parsed_hero!t1:t"&amp;$B$1)=$L$1,IF(INDIRECT("output_parsed_hero!u1:u"&amp;$B$1)="Radiant",IF(INDIRECT("output_parsed_hero!j1:n"&amp;$B$1)=$L107,1))))+SUM(IF(INDIRECT("output_parsed_hero!t1:t"&amp;$B$1)=$L$1,IF(INDIRECT("output_parsed_hero!u1:u"&amp;$B$1)="Dire",IF(INDIRECT("output_parsed_hero!e1:i"&amp;$B$1)=$L107,1))))</f>
        <v>0</v>
      </c>
      <c r="R107">
        <f t="array" aca="1" ref="R107" ca="1">SUM(IF(INDIRECT("output_parsed_hero!t1:t"&amp;$B$1)=$L$1,IF(INDIRECT("output_parsed_hero!u1:u"&amp;$B$1)="Radiant",IF(INDIRECT("output_parsed_hero!j1:n"&amp;$B$1)=$L107,IF(INDIRECT("output_parsed_hero!D1:D"&amp;$B$1)=TRUE,1)))))+SUM(IF(INDIRECT("output_parsed_hero!t1:t"&amp;$B$1)=$L$1,IF(INDIRECT("output_parsed_hero!u1:u"&amp;$B$1)="Dire",IF(INDIRECT("output_parsed_hero!e1:i"&amp;$B$1)=$L107,IF(INDIRECT("output_parsed_hero!D1:D"&amp;$B$1)=FALSE,1)))))</f>
        <v>0</v>
      </c>
      <c r="S107">
        <f t="shared" ca="1" si="15"/>
        <v>0</v>
      </c>
      <c r="Z107" t="s">
        <v>505</v>
      </c>
    </row>
    <row r="108" spans="1:26" x14ac:dyDescent="0.3">
      <c r="A108">
        <f t="shared" si="18"/>
        <v>104</v>
      </c>
      <c r="B108" t="str">
        <f>VLOOKUP(A108,'hero names'!$S$7:$T$209,2,0)</f>
        <v>Legion Commander</v>
      </c>
      <c r="C108">
        <f t="array" aca="1" ref="C108" ca="1">COUNT(IF(INDIRECT("output_parsed!E1:N"&amp;$B$1)='Analysis backend'!$A108,INDIRECT("output_parsed!E1:N"&amp;$B$1)))</f>
        <v>5</v>
      </c>
      <c r="D108">
        <f t="array" aca="1" ref="D108" ca="1">COUNT(IF(INDIRECT("output_parsed!o1:s"&amp;$B$1)='Analysis backend'!$A108,INDIRECT("output_parsed!o1:s"&amp;$B$1)))</f>
        <v>0</v>
      </c>
      <c r="E108">
        <f t="shared" ca="1" si="17"/>
        <v>5</v>
      </c>
      <c r="F108">
        <f t="array" aca="1" ref="F108" ca="1">COUNT(IF(INDIRECT("output_parsed!D1:D"&amp;$B$1)=TRUE,IF(INDIRECT("output_parsed!E1:I"&amp;$B$1)='Analysis backend'!$A108,INDIRECT("output_parsed!E1:I"&amp;$B$1))))+COUNT(IF(INDIRECT("output_parsed!D1:D"&amp;$B$1)=FALSE,IF(INDIRECT("output_parsed!J1:N"&amp;$B$1)='Analysis backend'!$A108,INDIRECT("output_parsed!J1:N"&amp;$B$1))))</f>
        <v>2</v>
      </c>
      <c r="L108">
        <f t="shared" si="16"/>
        <v>103</v>
      </c>
      <c r="M108" t="str">
        <f t="shared" si="19"/>
        <v>Elder Titan</v>
      </c>
      <c r="N108">
        <f t="array" aca="1" ref="N108" ca="1">SUM(IF(INDIRECT("output_parsed_hero!t1:t"&amp;$B$1)=$L$1,IF(INDIRECT("output_parsed_hero!u1:u"&amp;$B$1)="Radiant",IF(INDIRECT("output_parsed_hero!E1:I"&amp;$B$1)=$L108,1))))+SUM(IF(INDIRECT("output_parsed_hero!t1:t"&amp;$B$1)=$L$1,IF(INDIRECT("output_parsed_hero!u1:u"&amp;$B$1)="Dire",IF(INDIRECT("output_parsed_hero!j1:n"&amp;$B$1)=$L108,1))))</f>
        <v>4</v>
      </c>
      <c r="O108">
        <f t="array" aca="1" ref="O108" ca="1">SUM(IF(INDIRECT("output_parsed_hero!t1:t"&amp;$B$1)=$L$1,IF(INDIRECT("output_parsed_hero!u1:u"&amp;$B$1)="Radiant",IF(INDIRECT("output_parsed_hero!E1:I"&amp;$B$1)=$L108,IF(INDIRECT("output_parsed_hero!D1:D"&amp;$B$1)=TRUE,1)))))+SUM(IF(INDIRECT("output_parsed_hero!t1:t"&amp;$B$1)=$L$1,IF(INDIRECT("output_parsed_hero!u1:u"&amp;$B$1)="Dire",IF(INDIRECT("output_parsed_hero!j1:N"&amp;$B$1)=$L108,IF(INDIRECT("output_parsed_hero!D1:D"&amp;$B$1)=FALSE,1)))))</f>
        <v>4</v>
      </c>
      <c r="P108">
        <f t="shared" ca="1" si="20"/>
        <v>1</v>
      </c>
      <c r="Q108">
        <f t="array" aca="1" ref="Q108" ca="1">SUM(IF(INDIRECT("output_parsed_hero!t1:t"&amp;$B$1)=$L$1,IF(INDIRECT("output_parsed_hero!u1:u"&amp;$B$1)="Radiant",IF(INDIRECT("output_parsed_hero!j1:n"&amp;$B$1)=$L108,1))))+SUM(IF(INDIRECT("output_parsed_hero!t1:t"&amp;$B$1)=$L$1,IF(INDIRECT("output_parsed_hero!u1:u"&amp;$B$1)="Dire",IF(INDIRECT("output_parsed_hero!e1:i"&amp;$B$1)=$L108,1))))</f>
        <v>2</v>
      </c>
      <c r="R108">
        <f t="array" aca="1" ref="R108" ca="1">SUM(IF(INDIRECT("output_parsed_hero!t1:t"&amp;$B$1)=$L$1,IF(INDIRECT("output_parsed_hero!u1:u"&amp;$B$1)="Radiant",IF(INDIRECT("output_parsed_hero!j1:n"&amp;$B$1)=$L108,IF(INDIRECT("output_parsed_hero!D1:D"&amp;$B$1)=TRUE,1)))))+SUM(IF(INDIRECT("output_parsed_hero!t1:t"&amp;$B$1)=$L$1,IF(INDIRECT("output_parsed_hero!u1:u"&amp;$B$1)="Dire",IF(INDIRECT("output_parsed_hero!e1:i"&amp;$B$1)=$L108,IF(INDIRECT("output_parsed_hero!D1:D"&amp;$B$1)=FALSE,1)))))</f>
        <v>2</v>
      </c>
      <c r="S108">
        <f t="shared" ca="1" si="15"/>
        <v>1</v>
      </c>
      <c r="Z108" t="s">
        <v>482</v>
      </c>
    </row>
    <row r="109" spans="1:26" x14ac:dyDescent="0.3">
      <c r="A109">
        <f t="shared" si="18"/>
        <v>105</v>
      </c>
      <c r="B109" t="str">
        <f>VLOOKUP(A109,'hero names'!$S$7:$T$209,2,0)</f>
        <v>Techies</v>
      </c>
      <c r="C109">
        <f t="array" aca="1" ref="C109" ca="1">COUNT(IF(INDIRECT("output_parsed!E1:N"&amp;$B$1)='Analysis backend'!$A109,INDIRECT("output_parsed!E1:N"&amp;$B$1)))</f>
        <v>4</v>
      </c>
      <c r="D109">
        <f t="array" aca="1" ref="D109" ca="1">COUNT(IF(INDIRECT("output_parsed!o1:s"&amp;$B$1)='Analysis backend'!$A109,INDIRECT("output_parsed!o1:s"&amp;$B$1)))</f>
        <v>3</v>
      </c>
      <c r="E109">
        <f t="shared" ca="1" si="17"/>
        <v>7</v>
      </c>
      <c r="F109">
        <f t="array" aca="1" ref="F109" ca="1">COUNT(IF(INDIRECT("output_parsed!D1:D"&amp;$B$1)=TRUE,IF(INDIRECT("output_parsed!E1:I"&amp;$B$1)='Analysis backend'!$A109,INDIRECT("output_parsed!E1:I"&amp;$B$1))))+COUNT(IF(INDIRECT("output_parsed!D1:D"&amp;$B$1)=FALSE,IF(INDIRECT("output_parsed!J1:N"&amp;$B$1)='Analysis backend'!$A109,INDIRECT("output_parsed!J1:N"&amp;$B$1))))</f>
        <v>1</v>
      </c>
      <c r="L109">
        <f t="shared" si="16"/>
        <v>104</v>
      </c>
      <c r="M109" t="str">
        <f t="shared" si="19"/>
        <v>Legion Commander</v>
      </c>
      <c r="N109">
        <f t="array" aca="1" ref="N109" ca="1">SUM(IF(INDIRECT("output_parsed_hero!t1:t"&amp;$B$1)=$L$1,IF(INDIRECT("output_parsed_hero!u1:u"&amp;$B$1)="Radiant",IF(INDIRECT("output_parsed_hero!E1:I"&amp;$B$1)=$L109,1))))+SUM(IF(INDIRECT("output_parsed_hero!t1:t"&amp;$B$1)=$L$1,IF(INDIRECT("output_parsed_hero!u1:u"&amp;$B$1)="Dire",IF(INDIRECT("output_parsed_hero!j1:n"&amp;$B$1)=$L109,1))))</f>
        <v>3</v>
      </c>
      <c r="O109">
        <f t="array" aca="1" ref="O109" ca="1">SUM(IF(INDIRECT("output_parsed_hero!t1:t"&amp;$B$1)=$L$1,IF(INDIRECT("output_parsed_hero!u1:u"&amp;$B$1)="Radiant",IF(INDIRECT("output_parsed_hero!E1:I"&amp;$B$1)=$L109,IF(INDIRECT("output_parsed_hero!D1:D"&amp;$B$1)=TRUE,1)))))+SUM(IF(INDIRECT("output_parsed_hero!t1:t"&amp;$B$1)=$L$1,IF(INDIRECT("output_parsed_hero!u1:u"&amp;$B$1)="Dire",IF(INDIRECT("output_parsed_hero!j1:N"&amp;$B$1)=$L109,IF(INDIRECT("output_parsed_hero!D1:D"&amp;$B$1)=FALSE,1)))))</f>
        <v>1</v>
      </c>
      <c r="P109">
        <f t="shared" ca="1" si="20"/>
        <v>0.33333333333333331</v>
      </c>
      <c r="Q109">
        <f t="array" aca="1" ref="Q109" ca="1">SUM(IF(INDIRECT("output_parsed_hero!t1:t"&amp;$B$1)=$L$1,IF(INDIRECT("output_parsed_hero!u1:u"&amp;$B$1)="Radiant",IF(INDIRECT("output_parsed_hero!j1:n"&amp;$B$1)=$L109,1))))+SUM(IF(INDIRECT("output_parsed_hero!t1:t"&amp;$B$1)=$L$1,IF(INDIRECT("output_parsed_hero!u1:u"&amp;$B$1)="Dire",IF(INDIRECT("output_parsed_hero!e1:i"&amp;$B$1)=$L109,1))))</f>
        <v>0</v>
      </c>
      <c r="R109">
        <f t="array" aca="1" ref="R109" ca="1">SUM(IF(INDIRECT("output_parsed_hero!t1:t"&amp;$B$1)=$L$1,IF(INDIRECT("output_parsed_hero!u1:u"&amp;$B$1)="Radiant",IF(INDIRECT("output_parsed_hero!j1:n"&amp;$B$1)=$L109,IF(INDIRECT("output_parsed_hero!D1:D"&amp;$B$1)=TRUE,1)))))+SUM(IF(INDIRECT("output_parsed_hero!t1:t"&amp;$B$1)=$L$1,IF(INDIRECT("output_parsed_hero!u1:u"&amp;$B$1)="Dire",IF(INDIRECT("output_parsed_hero!e1:i"&amp;$B$1)=$L109,IF(INDIRECT("output_parsed_hero!D1:D"&amp;$B$1)=FALSE,1)))))</f>
        <v>0</v>
      </c>
      <c r="S109">
        <f t="shared" ca="1" si="15"/>
        <v>0</v>
      </c>
      <c r="Z109" t="s">
        <v>467</v>
      </c>
    </row>
    <row r="110" spans="1:26" x14ac:dyDescent="0.3">
      <c r="A110">
        <f t="shared" si="18"/>
        <v>106</v>
      </c>
      <c r="B110" t="str">
        <f>VLOOKUP(A110,'hero names'!$S$7:$T$209,2,0)</f>
        <v>Ember Spirit</v>
      </c>
      <c r="C110">
        <f t="array" aca="1" ref="C110" ca="1">COUNT(IF(INDIRECT("output_parsed!E1:N"&amp;$B$1)='Analysis backend'!$A110,INDIRECT("output_parsed!E1:N"&amp;$B$1)))</f>
        <v>17</v>
      </c>
      <c r="D110">
        <f t="array" aca="1" ref="D110" ca="1">COUNT(IF(INDIRECT("output_parsed!o1:s"&amp;$B$1)='Analysis backend'!$A110,INDIRECT("output_parsed!o1:s"&amp;$B$1)))</f>
        <v>2</v>
      </c>
      <c r="E110">
        <f t="shared" ca="1" si="17"/>
        <v>19</v>
      </c>
      <c r="F110">
        <f t="array" aca="1" ref="F110" ca="1">COUNT(IF(INDIRECT("output_parsed!D1:D"&amp;$B$1)=TRUE,IF(INDIRECT("output_parsed!E1:I"&amp;$B$1)='Analysis backend'!$A110,INDIRECT("output_parsed!E1:I"&amp;$B$1))))+COUNT(IF(INDIRECT("output_parsed!D1:D"&amp;$B$1)=FALSE,IF(INDIRECT("output_parsed!J1:N"&amp;$B$1)='Analysis backend'!$A110,INDIRECT("output_parsed!J1:N"&amp;$B$1))))</f>
        <v>8</v>
      </c>
      <c r="L110">
        <f t="shared" si="16"/>
        <v>105</v>
      </c>
      <c r="M110" t="str">
        <f t="shared" si="19"/>
        <v>Techies</v>
      </c>
      <c r="N110">
        <f t="array" aca="1" ref="N110" ca="1">SUM(IF(INDIRECT("output_parsed_hero!t1:t"&amp;$B$1)=$L$1,IF(INDIRECT("output_parsed_hero!u1:u"&amp;$B$1)="Radiant",IF(INDIRECT("output_parsed_hero!E1:I"&amp;$B$1)=$L110,1))))+SUM(IF(INDIRECT("output_parsed_hero!t1:t"&amp;$B$1)=$L$1,IF(INDIRECT("output_parsed_hero!u1:u"&amp;$B$1)="Dire",IF(INDIRECT("output_parsed_hero!j1:n"&amp;$B$1)=$L110,1))))</f>
        <v>2</v>
      </c>
      <c r="O110">
        <f t="array" aca="1" ref="O110" ca="1">SUM(IF(INDIRECT("output_parsed_hero!t1:t"&amp;$B$1)=$L$1,IF(INDIRECT("output_parsed_hero!u1:u"&amp;$B$1)="Radiant",IF(INDIRECT("output_parsed_hero!E1:I"&amp;$B$1)=$L110,IF(INDIRECT("output_parsed_hero!D1:D"&amp;$B$1)=TRUE,1)))))+SUM(IF(INDIRECT("output_parsed_hero!t1:t"&amp;$B$1)=$L$1,IF(INDIRECT("output_parsed_hero!u1:u"&amp;$B$1)="Dire",IF(INDIRECT("output_parsed_hero!j1:N"&amp;$B$1)=$L110,IF(INDIRECT("output_parsed_hero!D1:D"&amp;$B$1)=FALSE,1)))))</f>
        <v>0</v>
      </c>
      <c r="P110">
        <f t="shared" ca="1" si="20"/>
        <v>0</v>
      </c>
      <c r="Q110">
        <f t="array" aca="1" ref="Q110" ca="1">SUM(IF(INDIRECT("output_parsed_hero!t1:t"&amp;$B$1)=$L$1,IF(INDIRECT("output_parsed_hero!u1:u"&amp;$B$1)="Radiant",IF(INDIRECT("output_parsed_hero!j1:n"&amp;$B$1)=$L110,1))))+SUM(IF(INDIRECT("output_parsed_hero!t1:t"&amp;$B$1)=$L$1,IF(INDIRECT("output_parsed_hero!u1:u"&amp;$B$1)="Dire",IF(INDIRECT("output_parsed_hero!e1:i"&amp;$B$1)=$L110,1))))</f>
        <v>0</v>
      </c>
      <c r="R110">
        <f t="array" aca="1" ref="R110" ca="1">SUM(IF(INDIRECT("output_parsed_hero!t1:t"&amp;$B$1)=$L$1,IF(INDIRECT("output_parsed_hero!u1:u"&amp;$B$1)="Radiant",IF(INDIRECT("output_parsed_hero!j1:n"&amp;$B$1)=$L110,IF(INDIRECT("output_parsed_hero!D1:D"&amp;$B$1)=TRUE,1)))))+SUM(IF(INDIRECT("output_parsed_hero!t1:t"&amp;$B$1)=$L$1,IF(INDIRECT("output_parsed_hero!u1:u"&amp;$B$1)="Dire",IF(INDIRECT("output_parsed_hero!e1:i"&amp;$B$1)=$L110,IF(INDIRECT("output_parsed_hero!D1:D"&amp;$B$1)=FALSE,1)))))</f>
        <v>0</v>
      </c>
      <c r="S110">
        <f t="shared" ca="1" si="15"/>
        <v>0</v>
      </c>
      <c r="Z110" t="s">
        <v>418</v>
      </c>
    </row>
    <row r="111" spans="1:26" x14ac:dyDescent="0.3">
      <c r="A111">
        <f t="shared" si="18"/>
        <v>107</v>
      </c>
      <c r="B111" t="str">
        <f>VLOOKUP(A111,'hero names'!$S$7:$T$209,2,0)</f>
        <v>Earth Spirit</v>
      </c>
      <c r="C111">
        <f t="array" aca="1" ref="C111" ca="1">COUNT(IF(INDIRECT("output_parsed!E1:N"&amp;$B$1)='Analysis backend'!$A111,INDIRECT("output_parsed!E1:N"&amp;$B$1)))</f>
        <v>33</v>
      </c>
      <c r="D111">
        <f t="array" aca="1" ref="D111" ca="1">COUNT(IF(INDIRECT("output_parsed!o1:s"&amp;$B$1)='Analysis backend'!$A111,INDIRECT("output_parsed!o1:s"&amp;$B$1)))</f>
        <v>0</v>
      </c>
      <c r="E111">
        <f t="shared" ca="1" si="17"/>
        <v>33</v>
      </c>
      <c r="F111">
        <f t="array" aca="1" ref="F111" ca="1">COUNT(IF(INDIRECT("output_parsed!D1:D"&amp;$B$1)=TRUE,IF(INDIRECT("output_parsed!E1:I"&amp;$B$1)='Analysis backend'!$A111,INDIRECT("output_parsed!E1:I"&amp;$B$1))))+COUNT(IF(INDIRECT("output_parsed!D1:D"&amp;$B$1)=FALSE,IF(INDIRECT("output_parsed!J1:N"&amp;$B$1)='Analysis backend'!$A111,INDIRECT("output_parsed!J1:N"&amp;$B$1))))</f>
        <v>17</v>
      </c>
      <c r="L111">
        <f t="shared" si="16"/>
        <v>106</v>
      </c>
      <c r="M111" t="str">
        <f t="shared" si="19"/>
        <v>Ember Spirit</v>
      </c>
      <c r="N111">
        <f t="array" aca="1" ref="N111" ca="1">SUM(IF(INDIRECT("output_parsed_hero!t1:t"&amp;$B$1)=$L$1,IF(INDIRECT("output_parsed_hero!u1:u"&amp;$B$1)="Radiant",IF(INDIRECT("output_parsed_hero!E1:I"&amp;$B$1)=$L111,1))))+SUM(IF(INDIRECT("output_parsed_hero!t1:t"&amp;$B$1)=$L$1,IF(INDIRECT("output_parsed_hero!u1:u"&amp;$B$1)="Dire",IF(INDIRECT("output_parsed_hero!j1:n"&amp;$B$1)=$L111,1))))</f>
        <v>2</v>
      </c>
      <c r="O111">
        <f t="array" aca="1" ref="O111" ca="1">SUM(IF(INDIRECT("output_parsed_hero!t1:t"&amp;$B$1)=$L$1,IF(INDIRECT("output_parsed_hero!u1:u"&amp;$B$1)="Radiant",IF(INDIRECT("output_parsed_hero!E1:I"&amp;$B$1)=$L111,IF(INDIRECT("output_parsed_hero!D1:D"&amp;$B$1)=TRUE,1)))))+SUM(IF(INDIRECT("output_parsed_hero!t1:t"&amp;$B$1)=$L$1,IF(INDIRECT("output_parsed_hero!u1:u"&amp;$B$1)="Dire",IF(INDIRECT("output_parsed_hero!j1:N"&amp;$B$1)=$L111,IF(INDIRECT("output_parsed_hero!D1:D"&amp;$B$1)=FALSE,1)))))</f>
        <v>2</v>
      </c>
      <c r="P111">
        <f t="shared" ca="1" si="20"/>
        <v>1</v>
      </c>
      <c r="Q111">
        <f t="array" aca="1" ref="Q111" ca="1">SUM(IF(INDIRECT("output_parsed_hero!t1:t"&amp;$B$1)=$L$1,IF(INDIRECT("output_parsed_hero!u1:u"&amp;$B$1)="Radiant",IF(INDIRECT("output_parsed_hero!j1:n"&amp;$B$1)=$L111,1))))+SUM(IF(INDIRECT("output_parsed_hero!t1:t"&amp;$B$1)=$L$1,IF(INDIRECT("output_parsed_hero!u1:u"&amp;$B$1)="Dire",IF(INDIRECT("output_parsed_hero!e1:i"&amp;$B$1)=$L111,1))))</f>
        <v>4</v>
      </c>
      <c r="R111">
        <f t="array" aca="1" ref="R111" ca="1">SUM(IF(INDIRECT("output_parsed_hero!t1:t"&amp;$B$1)=$L$1,IF(INDIRECT("output_parsed_hero!u1:u"&amp;$B$1)="Radiant",IF(INDIRECT("output_parsed_hero!j1:n"&amp;$B$1)=$L111,IF(INDIRECT("output_parsed_hero!D1:D"&amp;$B$1)=TRUE,1)))))+SUM(IF(INDIRECT("output_parsed_hero!t1:t"&amp;$B$1)=$L$1,IF(INDIRECT("output_parsed_hero!u1:u"&amp;$B$1)="Dire",IF(INDIRECT("output_parsed_hero!e1:i"&amp;$B$1)=$L111,IF(INDIRECT("output_parsed_hero!D1:D"&amp;$B$1)=FALSE,1)))))</f>
        <v>2</v>
      </c>
      <c r="S111">
        <f t="shared" ca="1" si="15"/>
        <v>0.5</v>
      </c>
      <c r="Z111" t="s">
        <v>437</v>
      </c>
    </row>
    <row r="112" spans="1:26" x14ac:dyDescent="0.3">
      <c r="A112">
        <f t="shared" si="18"/>
        <v>108</v>
      </c>
      <c r="B112" t="str">
        <f>VLOOKUP(A112,'hero names'!$S$7:$T$209,2,0)</f>
        <v>Underlord</v>
      </c>
      <c r="C112">
        <f t="array" aca="1" ref="C112" ca="1">COUNT(IF(INDIRECT("output_parsed!E1:N"&amp;$B$1)='Analysis backend'!$A112,INDIRECT("output_parsed!E1:N"&amp;$B$1)))</f>
        <v>3</v>
      </c>
      <c r="D112">
        <f t="array" aca="1" ref="D112" ca="1">COUNT(IF(INDIRECT("output_parsed!o1:s"&amp;$B$1)='Analysis backend'!$A112,INDIRECT("output_parsed!o1:s"&amp;$B$1)))</f>
        <v>0</v>
      </c>
      <c r="E112">
        <f t="shared" ca="1" si="17"/>
        <v>3</v>
      </c>
      <c r="F112">
        <f t="array" aca="1" ref="F112" ca="1">COUNT(IF(INDIRECT("output_parsed!D1:D"&amp;$B$1)=TRUE,IF(INDIRECT("output_parsed!E1:I"&amp;$B$1)='Analysis backend'!$A112,INDIRECT("output_parsed!E1:I"&amp;$B$1))))+COUNT(IF(INDIRECT("output_parsed!D1:D"&amp;$B$1)=FALSE,IF(INDIRECT("output_parsed!J1:N"&amp;$B$1)='Analysis backend'!$A112,INDIRECT("output_parsed!J1:N"&amp;$B$1))))</f>
        <v>0</v>
      </c>
      <c r="L112">
        <f t="shared" si="16"/>
        <v>107</v>
      </c>
      <c r="M112" t="str">
        <f t="shared" si="19"/>
        <v>Earth Spirit</v>
      </c>
      <c r="N112">
        <f t="array" aca="1" ref="N112" ca="1">SUM(IF(INDIRECT("output_parsed_hero!t1:t"&amp;$B$1)=$L$1,IF(INDIRECT("output_parsed_hero!u1:u"&amp;$B$1)="Radiant",IF(INDIRECT("output_parsed_hero!E1:I"&amp;$B$1)=$L112,1))))+SUM(IF(INDIRECT("output_parsed_hero!t1:t"&amp;$B$1)=$L$1,IF(INDIRECT("output_parsed_hero!u1:u"&amp;$B$1)="Dire",IF(INDIRECT("output_parsed_hero!j1:n"&amp;$B$1)=$L112,1))))</f>
        <v>7</v>
      </c>
      <c r="O112">
        <f t="array" aca="1" ref="O112" ca="1">SUM(IF(INDIRECT("output_parsed_hero!t1:t"&amp;$B$1)=$L$1,IF(INDIRECT("output_parsed_hero!u1:u"&amp;$B$1)="Radiant",IF(INDIRECT("output_parsed_hero!E1:I"&amp;$B$1)=$L112,IF(INDIRECT("output_parsed_hero!D1:D"&amp;$B$1)=TRUE,1)))))+SUM(IF(INDIRECT("output_parsed_hero!t1:t"&amp;$B$1)=$L$1,IF(INDIRECT("output_parsed_hero!u1:u"&amp;$B$1)="Dire",IF(INDIRECT("output_parsed_hero!j1:N"&amp;$B$1)=$L112,IF(INDIRECT("output_parsed_hero!D1:D"&amp;$B$1)=FALSE,1)))))</f>
        <v>3</v>
      </c>
      <c r="P112">
        <f t="shared" ca="1" si="20"/>
        <v>0.42857142857142855</v>
      </c>
      <c r="Q112">
        <f t="array" aca="1" ref="Q112" ca="1">SUM(IF(INDIRECT("output_parsed_hero!t1:t"&amp;$B$1)=$L$1,IF(INDIRECT("output_parsed_hero!u1:u"&amp;$B$1)="Radiant",IF(INDIRECT("output_parsed_hero!j1:n"&amp;$B$1)=$L112,1))))+SUM(IF(INDIRECT("output_parsed_hero!t1:t"&amp;$B$1)=$L$1,IF(INDIRECT("output_parsed_hero!u1:u"&amp;$B$1)="Dire",IF(INDIRECT("output_parsed_hero!e1:i"&amp;$B$1)=$L112,1))))</f>
        <v>8</v>
      </c>
      <c r="R112">
        <f t="array" aca="1" ref="R112" ca="1">SUM(IF(INDIRECT("output_parsed_hero!t1:t"&amp;$B$1)=$L$1,IF(INDIRECT("output_parsed_hero!u1:u"&amp;$B$1)="Radiant",IF(INDIRECT("output_parsed_hero!j1:n"&amp;$B$1)=$L112,IF(INDIRECT("output_parsed_hero!D1:D"&amp;$B$1)=TRUE,1)))))+SUM(IF(INDIRECT("output_parsed_hero!t1:t"&amp;$B$1)=$L$1,IF(INDIRECT("output_parsed_hero!u1:u"&amp;$B$1)="Dire",IF(INDIRECT("output_parsed_hero!e1:i"&amp;$B$1)=$L112,IF(INDIRECT("output_parsed_hero!D1:D"&amp;$B$1)=FALSE,1)))))</f>
        <v>6</v>
      </c>
      <c r="S112">
        <f t="shared" ca="1" si="15"/>
        <v>0.75</v>
      </c>
      <c r="Z112" t="s">
        <v>444</v>
      </c>
    </row>
    <row r="113" spans="1:26" x14ac:dyDescent="0.3">
      <c r="A113">
        <f t="shared" si="18"/>
        <v>109</v>
      </c>
      <c r="B113" t="str">
        <f>VLOOKUP(A113,'hero names'!$S$7:$T$209,2,0)</f>
        <v>Terrorblade</v>
      </c>
      <c r="C113">
        <f t="array" aca="1" ref="C113" ca="1">COUNT(IF(INDIRECT("output_parsed!E1:N"&amp;$B$1)='Analysis backend'!$A113,INDIRECT("output_parsed!E1:N"&amp;$B$1)))</f>
        <v>34</v>
      </c>
      <c r="D113">
        <f t="array" aca="1" ref="D113" ca="1">COUNT(IF(INDIRECT("output_parsed!o1:s"&amp;$B$1)='Analysis backend'!$A113,INDIRECT("output_parsed!o1:s"&amp;$B$1)))</f>
        <v>3</v>
      </c>
      <c r="E113">
        <f t="shared" ca="1" si="17"/>
        <v>37</v>
      </c>
      <c r="F113">
        <f t="array" aca="1" ref="F113" ca="1">COUNT(IF(INDIRECT("output_parsed!D1:D"&amp;$B$1)=TRUE,IF(INDIRECT("output_parsed!E1:I"&amp;$B$1)='Analysis backend'!$A113,INDIRECT("output_parsed!E1:I"&amp;$B$1))))+COUNT(IF(INDIRECT("output_parsed!D1:D"&amp;$B$1)=FALSE,IF(INDIRECT("output_parsed!J1:N"&amp;$B$1)='Analysis backend'!$A113,INDIRECT("output_parsed!J1:N"&amp;$B$1))))</f>
        <v>19</v>
      </c>
      <c r="L113">
        <f t="shared" si="16"/>
        <v>108</v>
      </c>
      <c r="M113" t="str">
        <f t="shared" si="19"/>
        <v>Underlord</v>
      </c>
      <c r="N113">
        <f t="array" aca="1" ref="N113" ca="1">SUM(IF(INDIRECT("output_parsed_hero!t1:t"&amp;$B$1)=$L$1,IF(INDIRECT("output_parsed_hero!u1:u"&amp;$B$1)="Radiant",IF(INDIRECT("output_parsed_hero!E1:I"&amp;$B$1)=$L113,1))))+SUM(IF(INDIRECT("output_parsed_hero!t1:t"&amp;$B$1)=$L$1,IF(INDIRECT("output_parsed_hero!u1:u"&amp;$B$1)="Dire",IF(INDIRECT("output_parsed_hero!j1:n"&amp;$B$1)=$L113,1))))</f>
        <v>1</v>
      </c>
      <c r="O113">
        <f t="array" aca="1" ref="O113" ca="1">SUM(IF(INDIRECT("output_parsed_hero!t1:t"&amp;$B$1)=$L$1,IF(INDIRECT("output_parsed_hero!u1:u"&amp;$B$1)="Radiant",IF(INDIRECT("output_parsed_hero!E1:I"&amp;$B$1)=$L113,IF(INDIRECT("output_parsed_hero!D1:D"&amp;$B$1)=TRUE,1)))))+SUM(IF(INDIRECT("output_parsed_hero!t1:t"&amp;$B$1)=$L$1,IF(INDIRECT("output_parsed_hero!u1:u"&amp;$B$1)="Dire",IF(INDIRECT("output_parsed_hero!j1:N"&amp;$B$1)=$L113,IF(INDIRECT("output_parsed_hero!D1:D"&amp;$B$1)=FALSE,1)))))</f>
        <v>0</v>
      </c>
      <c r="P113">
        <f t="shared" ca="1" si="20"/>
        <v>0</v>
      </c>
      <c r="Q113">
        <f t="array" aca="1" ref="Q113" ca="1">SUM(IF(INDIRECT("output_parsed_hero!t1:t"&amp;$B$1)=$L$1,IF(INDIRECT("output_parsed_hero!u1:u"&amp;$B$1)="Radiant",IF(INDIRECT("output_parsed_hero!j1:n"&amp;$B$1)=$L113,1))))+SUM(IF(INDIRECT("output_parsed_hero!t1:t"&amp;$B$1)=$L$1,IF(INDIRECT("output_parsed_hero!u1:u"&amp;$B$1)="Dire",IF(INDIRECT("output_parsed_hero!e1:i"&amp;$B$1)=$L113,1))))</f>
        <v>2</v>
      </c>
      <c r="R113">
        <f t="array" aca="1" ref="R113" ca="1">SUM(IF(INDIRECT("output_parsed_hero!t1:t"&amp;$B$1)=$L$1,IF(INDIRECT("output_parsed_hero!u1:u"&amp;$B$1)="Radiant",IF(INDIRECT("output_parsed_hero!j1:n"&amp;$B$1)=$L113,IF(INDIRECT("output_parsed_hero!D1:D"&amp;$B$1)=TRUE,1)))))+SUM(IF(INDIRECT("output_parsed_hero!t1:t"&amp;$B$1)=$L$1,IF(INDIRECT("output_parsed_hero!u1:u"&amp;$B$1)="Dire",IF(INDIRECT("output_parsed_hero!e1:i"&amp;$B$1)=$L113,IF(INDIRECT("output_parsed_hero!D1:D"&amp;$B$1)=FALSE,1)))))</f>
        <v>2</v>
      </c>
      <c r="S113">
        <f t="shared" ca="1" si="15"/>
        <v>1</v>
      </c>
      <c r="Z113" t="s">
        <v>489</v>
      </c>
    </row>
    <row r="114" spans="1:26" x14ac:dyDescent="0.3">
      <c r="A114">
        <f t="shared" si="18"/>
        <v>110</v>
      </c>
      <c r="B114" t="str">
        <f>VLOOKUP(A114,'hero names'!$S$7:$T$209,2,0)</f>
        <v>Phoenix</v>
      </c>
      <c r="C114">
        <f t="array" aca="1" ref="C114" ca="1">COUNT(IF(INDIRECT("output_parsed!E1:N"&amp;$B$1)='Analysis backend'!$A114,INDIRECT("output_parsed!E1:N"&amp;$B$1)))</f>
        <v>34</v>
      </c>
      <c r="D114">
        <f t="array" aca="1" ref="D114" ca="1">COUNT(IF(INDIRECT("output_parsed!o1:s"&amp;$B$1)='Analysis backend'!$A114,INDIRECT("output_parsed!o1:s"&amp;$B$1)))</f>
        <v>4</v>
      </c>
      <c r="E114">
        <f t="shared" ca="1" si="17"/>
        <v>38</v>
      </c>
      <c r="F114">
        <f t="array" aca="1" ref="F114" ca="1">COUNT(IF(INDIRECT("output_parsed!D1:D"&amp;$B$1)=TRUE,IF(INDIRECT("output_parsed!E1:I"&amp;$B$1)='Analysis backend'!$A114,INDIRECT("output_parsed!E1:I"&amp;$B$1))))+COUNT(IF(INDIRECT("output_parsed!D1:D"&amp;$B$1)=FALSE,IF(INDIRECT("output_parsed!J1:N"&amp;$B$1)='Analysis backend'!$A114,INDIRECT("output_parsed!J1:N"&amp;$B$1))))</f>
        <v>12</v>
      </c>
      <c r="L114">
        <f t="shared" si="16"/>
        <v>109</v>
      </c>
      <c r="M114" t="str">
        <f t="shared" si="19"/>
        <v>Terrorblade</v>
      </c>
      <c r="N114">
        <f t="array" aca="1" ref="N114" ca="1">SUM(IF(INDIRECT("output_parsed_hero!t1:t"&amp;$B$1)=$L$1,IF(INDIRECT("output_parsed_hero!u1:u"&amp;$B$1)="Radiant",IF(INDIRECT("output_parsed_hero!E1:I"&amp;$B$1)=$L114,1))))+SUM(IF(INDIRECT("output_parsed_hero!t1:t"&amp;$B$1)=$L$1,IF(INDIRECT("output_parsed_hero!u1:u"&amp;$B$1)="Dire",IF(INDIRECT("output_parsed_hero!j1:n"&amp;$B$1)=$L114,1))))</f>
        <v>2</v>
      </c>
      <c r="O114">
        <f t="array" aca="1" ref="O114" ca="1">SUM(IF(INDIRECT("output_parsed_hero!t1:t"&amp;$B$1)=$L$1,IF(INDIRECT("output_parsed_hero!u1:u"&amp;$B$1)="Radiant",IF(INDIRECT("output_parsed_hero!E1:I"&amp;$B$1)=$L114,IF(INDIRECT("output_parsed_hero!D1:D"&amp;$B$1)=TRUE,1)))))+SUM(IF(INDIRECT("output_parsed_hero!t1:t"&amp;$B$1)=$L$1,IF(INDIRECT("output_parsed_hero!u1:u"&amp;$B$1)="Dire",IF(INDIRECT("output_parsed_hero!j1:N"&amp;$B$1)=$L114,IF(INDIRECT("output_parsed_hero!D1:D"&amp;$B$1)=FALSE,1)))))</f>
        <v>2</v>
      </c>
      <c r="P114">
        <f t="shared" ca="1" si="20"/>
        <v>1</v>
      </c>
      <c r="Q114">
        <f t="array" aca="1" ref="Q114" ca="1">SUM(IF(INDIRECT("output_parsed_hero!t1:t"&amp;$B$1)=$L$1,IF(INDIRECT("output_parsed_hero!u1:u"&amp;$B$1)="Radiant",IF(INDIRECT("output_parsed_hero!j1:n"&amp;$B$1)=$L114,1))))+SUM(IF(INDIRECT("output_parsed_hero!t1:t"&amp;$B$1)=$L$1,IF(INDIRECT("output_parsed_hero!u1:u"&amp;$B$1)="Dire",IF(INDIRECT("output_parsed_hero!e1:i"&amp;$B$1)=$L114,1))))</f>
        <v>7</v>
      </c>
      <c r="R114">
        <f t="array" aca="1" ref="R114" ca="1">SUM(IF(INDIRECT("output_parsed_hero!t1:t"&amp;$B$1)=$L$1,IF(INDIRECT("output_parsed_hero!u1:u"&amp;$B$1)="Radiant",IF(INDIRECT("output_parsed_hero!j1:n"&amp;$B$1)=$L114,IF(INDIRECT("output_parsed_hero!D1:D"&amp;$B$1)=TRUE,1)))))+SUM(IF(INDIRECT("output_parsed_hero!t1:t"&amp;$B$1)=$L$1,IF(INDIRECT("output_parsed_hero!u1:u"&amp;$B$1)="Dire",IF(INDIRECT("output_parsed_hero!e1:i"&amp;$B$1)=$L114,IF(INDIRECT("output_parsed_hero!D1:D"&amp;$B$1)=FALSE,1)))))</f>
        <v>3</v>
      </c>
      <c r="S114">
        <f t="shared" ca="1" si="15"/>
        <v>0.42857142857142855</v>
      </c>
      <c r="Z114" t="s">
        <v>434</v>
      </c>
    </row>
    <row r="115" spans="1:26" x14ac:dyDescent="0.3">
      <c r="A115">
        <f t="shared" si="18"/>
        <v>111</v>
      </c>
      <c r="B115" t="str">
        <f>VLOOKUP(A115,'hero names'!$S$7:$T$209,2,0)</f>
        <v>Oracle</v>
      </c>
      <c r="C115">
        <f t="array" aca="1" ref="C115" ca="1">COUNT(IF(INDIRECT("output_parsed!E1:N"&amp;$B$1)='Analysis backend'!$A115,INDIRECT("output_parsed!E1:N"&amp;$B$1)))</f>
        <v>52</v>
      </c>
      <c r="D115">
        <f t="array" aca="1" ref="D115" ca="1">COUNT(IF(INDIRECT("output_parsed!o1:s"&amp;$B$1)='Analysis backend'!$A115,INDIRECT("output_parsed!o1:s"&amp;$B$1)))</f>
        <v>3</v>
      </c>
      <c r="E115">
        <f t="shared" ca="1" si="17"/>
        <v>55</v>
      </c>
      <c r="F115">
        <f t="array" aca="1" ref="F115" ca="1">COUNT(IF(INDIRECT("output_parsed!D1:D"&amp;$B$1)=TRUE,IF(INDIRECT("output_parsed!E1:I"&amp;$B$1)='Analysis backend'!$A115,INDIRECT("output_parsed!E1:I"&amp;$B$1))))+COUNT(IF(INDIRECT("output_parsed!D1:D"&amp;$B$1)=FALSE,IF(INDIRECT("output_parsed!J1:N"&amp;$B$1)='Analysis backend'!$A115,INDIRECT("output_parsed!J1:N"&amp;$B$1))))</f>
        <v>30</v>
      </c>
      <c r="L115">
        <f t="shared" si="16"/>
        <v>110</v>
      </c>
      <c r="M115" t="str">
        <f t="shared" si="19"/>
        <v>Phoenix</v>
      </c>
      <c r="N115">
        <f t="array" aca="1" ref="N115" ca="1">SUM(IF(INDIRECT("output_parsed_hero!t1:t"&amp;$B$1)=$L$1,IF(INDIRECT("output_parsed_hero!u1:u"&amp;$B$1)="Radiant",IF(INDIRECT("output_parsed_hero!E1:I"&amp;$B$1)=$L115,1))))+SUM(IF(INDIRECT("output_parsed_hero!t1:t"&amp;$B$1)=$L$1,IF(INDIRECT("output_parsed_hero!u1:u"&amp;$B$1)="Dire",IF(INDIRECT("output_parsed_hero!j1:n"&amp;$B$1)=$L115,1))))</f>
        <v>4</v>
      </c>
      <c r="O115">
        <f t="array" aca="1" ref="O115" ca="1">SUM(IF(INDIRECT("output_parsed_hero!t1:t"&amp;$B$1)=$L$1,IF(INDIRECT("output_parsed_hero!u1:u"&amp;$B$1)="Radiant",IF(INDIRECT("output_parsed_hero!E1:I"&amp;$B$1)=$L115,IF(INDIRECT("output_parsed_hero!D1:D"&amp;$B$1)=TRUE,1)))))+SUM(IF(INDIRECT("output_parsed_hero!t1:t"&amp;$B$1)=$L$1,IF(INDIRECT("output_parsed_hero!u1:u"&amp;$B$1)="Dire",IF(INDIRECT("output_parsed_hero!j1:N"&amp;$B$1)=$L115,IF(INDIRECT("output_parsed_hero!D1:D"&amp;$B$1)=FALSE,1)))))</f>
        <v>2</v>
      </c>
      <c r="P115">
        <f t="shared" ca="1" si="20"/>
        <v>0.5</v>
      </c>
      <c r="Q115">
        <f t="array" aca="1" ref="Q115" ca="1">SUM(IF(INDIRECT("output_parsed_hero!t1:t"&amp;$B$1)=$L$1,IF(INDIRECT("output_parsed_hero!u1:u"&amp;$B$1)="Radiant",IF(INDIRECT("output_parsed_hero!j1:n"&amp;$B$1)=$L115,1))))+SUM(IF(INDIRECT("output_parsed_hero!t1:t"&amp;$B$1)=$L$1,IF(INDIRECT("output_parsed_hero!u1:u"&amp;$B$1)="Dire",IF(INDIRECT("output_parsed_hero!e1:i"&amp;$B$1)=$L115,1))))</f>
        <v>8</v>
      </c>
      <c r="R115">
        <f t="array" aca="1" ref="R115" ca="1">SUM(IF(INDIRECT("output_parsed_hero!t1:t"&amp;$B$1)=$L$1,IF(INDIRECT("output_parsed_hero!u1:u"&amp;$B$1)="Radiant",IF(INDIRECT("output_parsed_hero!j1:n"&amp;$B$1)=$L115,IF(INDIRECT("output_parsed_hero!D1:D"&amp;$B$1)=TRUE,1)))))+SUM(IF(INDIRECT("output_parsed_hero!t1:t"&amp;$B$1)=$L$1,IF(INDIRECT("output_parsed_hero!u1:u"&amp;$B$1)="Dire",IF(INDIRECT("output_parsed_hero!e1:i"&amp;$B$1)=$L115,IF(INDIRECT("output_parsed_hero!D1:D"&amp;$B$1)=FALSE,1)))))</f>
        <v>6</v>
      </c>
      <c r="S115">
        <f t="shared" ca="1" si="15"/>
        <v>0.75</v>
      </c>
      <c r="Z115" t="s">
        <v>460</v>
      </c>
    </row>
    <row r="116" spans="1:26" x14ac:dyDescent="0.3">
      <c r="A116">
        <f t="shared" si="18"/>
        <v>112</v>
      </c>
      <c r="B116" t="str">
        <f>VLOOKUP(A116,'hero names'!$S$7:$T$209,2,0)</f>
        <v>Winter Wyvern</v>
      </c>
      <c r="C116">
        <f t="array" aca="1" ref="C116" ca="1">COUNT(IF(INDIRECT("output_parsed!E1:N"&amp;$B$1)='Analysis backend'!$A116,INDIRECT("output_parsed!E1:N"&amp;$B$1)))</f>
        <v>25</v>
      </c>
      <c r="D116">
        <f t="array" aca="1" ref="D116" ca="1">COUNT(IF(INDIRECT("output_parsed!o1:s"&amp;$B$1)='Analysis backend'!$A116,INDIRECT("output_parsed!o1:s"&amp;$B$1)))</f>
        <v>2</v>
      </c>
      <c r="E116">
        <f t="shared" ca="1" si="17"/>
        <v>27</v>
      </c>
      <c r="F116">
        <f t="array" aca="1" ref="F116" ca="1">COUNT(IF(INDIRECT("output_parsed!D1:D"&amp;$B$1)=TRUE,IF(INDIRECT("output_parsed!E1:I"&amp;$B$1)='Analysis backend'!$A116,INDIRECT("output_parsed!E1:I"&amp;$B$1))))+COUNT(IF(INDIRECT("output_parsed!D1:D"&amp;$B$1)=FALSE,IF(INDIRECT("output_parsed!J1:N"&amp;$B$1)='Analysis backend'!$A116,INDIRECT("output_parsed!J1:N"&amp;$B$1))))</f>
        <v>15</v>
      </c>
      <c r="L116">
        <f t="shared" si="16"/>
        <v>111</v>
      </c>
      <c r="M116" t="str">
        <f t="shared" si="19"/>
        <v>Oracle</v>
      </c>
      <c r="N116">
        <f t="array" aca="1" ref="N116" ca="1">SUM(IF(INDIRECT("output_parsed_hero!t1:t"&amp;$B$1)=$L$1,IF(INDIRECT("output_parsed_hero!u1:u"&amp;$B$1)="Radiant",IF(INDIRECT("output_parsed_hero!E1:I"&amp;$B$1)=$L116,1))))+SUM(IF(INDIRECT("output_parsed_hero!t1:t"&amp;$B$1)=$L$1,IF(INDIRECT("output_parsed_hero!u1:u"&amp;$B$1)="Dire",IF(INDIRECT("output_parsed_hero!j1:n"&amp;$B$1)=$L116,1))))</f>
        <v>15</v>
      </c>
      <c r="O116">
        <f t="array" aca="1" ref="O116" ca="1">SUM(IF(INDIRECT("output_parsed_hero!t1:t"&amp;$B$1)=$L$1,IF(INDIRECT("output_parsed_hero!u1:u"&amp;$B$1)="Radiant",IF(INDIRECT("output_parsed_hero!E1:I"&amp;$B$1)=$L116,IF(INDIRECT("output_parsed_hero!D1:D"&amp;$B$1)=TRUE,1)))))+SUM(IF(INDIRECT("output_parsed_hero!t1:t"&amp;$B$1)=$L$1,IF(INDIRECT("output_parsed_hero!u1:u"&amp;$B$1)="Dire",IF(INDIRECT("output_parsed_hero!j1:N"&amp;$B$1)=$L116,IF(INDIRECT("output_parsed_hero!D1:D"&amp;$B$1)=FALSE,1)))))</f>
        <v>8</v>
      </c>
      <c r="P116">
        <f t="shared" ca="1" si="20"/>
        <v>0.53333333333333333</v>
      </c>
      <c r="Q116">
        <f t="array" aca="1" ref="Q116" ca="1">SUM(IF(INDIRECT("output_parsed_hero!t1:t"&amp;$B$1)=$L$1,IF(INDIRECT("output_parsed_hero!u1:u"&amp;$B$1)="Radiant",IF(INDIRECT("output_parsed_hero!j1:n"&amp;$B$1)=$L116,1))))+SUM(IF(INDIRECT("output_parsed_hero!t1:t"&amp;$B$1)=$L$1,IF(INDIRECT("output_parsed_hero!u1:u"&amp;$B$1)="Dire",IF(INDIRECT("output_parsed_hero!e1:i"&amp;$B$1)=$L116,1))))</f>
        <v>15</v>
      </c>
      <c r="R116">
        <f t="array" aca="1" ref="R116" ca="1">SUM(IF(INDIRECT("output_parsed_hero!t1:t"&amp;$B$1)=$L$1,IF(INDIRECT("output_parsed_hero!u1:u"&amp;$B$1)="Radiant",IF(INDIRECT("output_parsed_hero!j1:n"&amp;$B$1)=$L116,IF(INDIRECT("output_parsed_hero!D1:D"&amp;$B$1)=TRUE,1)))))+SUM(IF(INDIRECT("output_parsed_hero!t1:t"&amp;$B$1)=$L$1,IF(INDIRECT("output_parsed_hero!u1:u"&amp;$B$1)="Dire",IF(INDIRECT("output_parsed_hero!e1:i"&amp;$B$1)=$L116,IF(INDIRECT("output_parsed_hero!D1:D"&amp;$B$1)=FALSE,1)))))</f>
        <v>7</v>
      </c>
      <c r="S116">
        <f t="shared" ca="1" si="15"/>
        <v>0.46666666666666667</v>
      </c>
      <c r="Z116" t="s">
        <v>419</v>
      </c>
    </row>
    <row r="117" spans="1:26" x14ac:dyDescent="0.3">
      <c r="A117">
        <f t="shared" si="18"/>
        <v>113</v>
      </c>
      <c r="B117" t="str">
        <f>VLOOKUP(A117,'hero names'!$S$7:$T$209,2,0)</f>
        <v>Arc Warden</v>
      </c>
      <c r="C117">
        <f t="array" aca="1" ref="C117" ca="1">COUNT(IF(INDIRECT("output_parsed!E1:N"&amp;$B$1)='Analysis backend'!$A117,INDIRECT("output_parsed!E1:N"&amp;$B$1)))</f>
        <v>4</v>
      </c>
      <c r="D117">
        <f t="array" aca="1" ref="D117" ca="1">COUNT(IF(INDIRECT("output_parsed!o1:s"&amp;$B$1)='Analysis backend'!$A117,INDIRECT("output_parsed!o1:s"&amp;$B$1)))</f>
        <v>2</v>
      </c>
      <c r="E117">
        <f t="shared" ca="1" si="17"/>
        <v>6</v>
      </c>
      <c r="F117">
        <f t="array" aca="1" ref="F117" ca="1">COUNT(IF(INDIRECT("output_parsed!D1:D"&amp;$B$1)=TRUE,IF(INDIRECT("output_parsed!E1:I"&amp;$B$1)='Analysis backend'!$A117,INDIRECT("output_parsed!E1:I"&amp;$B$1))))+COUNT(IF(INDIRECT("output_parsed!D1:D"&amp;$B$1)=FALSE,IF(INDIRECT("output_parsed!J1:N"&amp;$B$1)='Analysis backend'!$A117,INDIRECT("output_parsed!J1:N"&amp;$B$1))))</f>
        <v>2</v>
      </c>
      <c r="L117">
        <f t="shared" si="16"/>
        <v>112</v>
      </c>
      <c r="M117" t="str">
        <f t="shared" si="19"/>
        <v>Winter Wyvern</v>
      </c>
      <c r="N117">
        <f t="array" aca="1" ref="N117" ca="1">SUM(IF(INDIRECT("output_parsed_hero!t1:t"&amp;$B$1)=$L$1,IF(INDIRECT("output_parsed_hero!u1:u"&amp;$B$1)="Radiant",IF(INDIRECT("output_parsed_hero!E1:I"&amp;$B$1)=$L117,1))))+SUM(IF(INDIRECT("output_parsed_hero!t1:t"&amp;$B$1)=$L$1,IF(INDIRECT("output_parsed_hero!u1:u"&amp;$B$1)="Dire",IF(INDIRECT("output_parsed_hero!j1:n"&amp;$B$1)=$L117,1))))</f>
        <v>8</v>
      </c>
      <c r="O117">
        <f t="array" aca="1" ref="O117" ca="1">SUM(IF(INDIRECT("output_parsed_hero!t1:t"&amp;$B$1)=$L$1,IF(INDIRECT("output_parsed_hero!u1:u"&amp;$B$1)="Radiant",IF(INDIRECT("output_parsed_hero!E1:I"&amp;$B$1)=$L117,IF(INDIRECT("output_parsed_hero!D1:D"&amp;$B$1)=TRUE,1)))))+SUM(IF(INDIRECT("output_parsed_hero!t1:t"&amp;$B$1)=$L$1,IF(INDIRECT("output_parsed_hero!u1:u"&amp;$B$1)="Dire",IF(INDIRECT("output_parsed_hero!j1:N"&amp;$B$1)=$L117,IF(INDIRECT("output_parsed_hero!D1:D"&amp;$B$1)=FALSE,1)))))</f>
        <v>4</v>
      </c>
      <c r="P117">
        <f t="shared" ca="1" si="20"/>
        <v>0.5</v>
      </c>
      <c r="Q117">
        <f t="array" aca="1" ref="Q117" ca="1">SUM(IF(INDIRECT("output_parsed_hero!t1:t"&amp;$B$1)=$L$1,IF(INDIRECT("output_parsed_hero!u1:u"&amp;$B$1)="Radiant",IF(INDIRECT("output_parsed_hero!j1:n"&amp;$B$1)=$L117,1))))+SUM(IF(INDIRECT("output_parsed_hero!t1:t"&amp;$B$1)=$L$1,IF(INDIRECT("output_parsed_hero!u1:u"&amp;$B$1)="Dire",IF(INDIRECT("output_parsed_hero!e1:i"&amp;$B$1)=$L117,1))))</f>
        <v>7</v>
      </c>
      <c r="R117">
        <f t="array" aca="1" ref="R117" ca="1">SUM(IF(INDIRECT("output_parsed_hero!t1:t"&amp;$B$1)=$L$1,IF(INDIRECT("output_parsed_hero!u1:u"&amp;$B$1)="Radiant",IF(INDIRECT("output_parsed_hero!j1:n"&amp;$B$1)=$L117,IF(INDIRECT("output_parsed_hero!D1:D"&amp;$B$1)=TRUE,1)))))+SUM(IF(INDIRECT("output_parsed_hero!t1:t"&amp;$B$1)=$L$1,IF(INDIRECT("output_parsed_hero!u1:u"&amp;$B$1)="Dire",IF(INDIRECT("output_parsed_hero!e1:i"&amp;$B$1)=$L117,IF(INDIRECT("output_parsed_hero!D1:D"&amp;$B$1)=FALSE,1)))))</f>
        <v>3</v>
      </c>
      <c r="S117">
        <f t="shared" ca="1" si="15"/>
        <v>0.42857142857142855</v>
      </c>
      <c r="Z117" t="s">
        <v>509</v>
      </c>
    </row>
    <row r="118" spans="1:26" x14ac:dyDescent="0.3">
      <c r="A118">
        <f t="shared" si="18"/>
        <v>114</v>
      </c>
      <c r="B118" t="str">
        <f>VLOOKUP(A118,'hero names'!$S$7:$T$209,2,0)</f>
        <v>Monkey King</v>
      </c>
      <c r="C118">
        <f t="array" aca="1" ref="C118" ca="1">COUNT(IF(INDIRECT("output_parsed!E1:N"&amp;$B$1)='Analysis backend'!$A118,INDIRECT("output_parsed!E1:N"&amp;$B$1)))</f>
        <v>61</v>
      </c>
      <c r="D118">
        <f t="array" aca="1" ref="D118" ca="1">COUNT(IF(INDIRECT("output_parsed!o1:s"&amp;$B$1)='Analysis backend'!$A118,INDIRECT("output_parsed!o1:s"&amp;$B$1)))</f>
        <v>15</v>
      </c>
      <c r="E118">
        <f t="shared" ca="1" si="17"/>
        <v>76</v>
      </c>
      <c r="F118">
        <f t="array" aca="1" ref="F118" ca="1">COUNT(IF(INDIRECT("output_parsed!D1:D"&amp;$B$1)=TRUE,IF(INDIRECT("output_parsed!E1:I"&amp;$B$1)='Analysis backend'!$A118,INDIRECT("output_parsed!E1:I"&amp;$B$1))))+COUNT(IF(INDIRECT("output_parsed!D1:D"&amp;$B$1)=FALSE,IF(INDIRECT("output_parsed!J1:N"&amp;$B$1)='Analysis backend'!$A118,INDIRECT("output_parsed!J1:N"&amp;$B$1))))</f>
        <v>31</v>
      </c>
      <c r="L118">
        <f t="shared" si="16"/>
        <v>113</v>
      </c>
      <c r="M118" t="str">
        <f t="shared" si="19"/>
        <v>Arc Warden</v>
      </c>
      <c r="N118">
        <f t="array" aca="1" ref="N118" ca="1">SUM(IF(INDIRECT("output_parsed_hero!t1:t"&amp;$B$1)=$L$1,IF(INDIRECT("output_parsed_hero!u1:u"&amp;$B$1)="Radiant",IF(INDIRECT("output_parsed_hero!E1:I"&amp;$B$1)=$L118,1))))+SUM(IF(INDIRECT("output_parsed_hero!t1:t"&amp;$B$1)=$L$1,IF(INDIRECT("output_parsed_hero!u1:u"&amp;$B$1)="Dire",IF(INDIRECT("output_parsed_hero!j1:n"&amp;$B$1)=$L118,1))))</f>
        <v>2</v>
      </c>
      <c r="O118">
        <f t="array" aca="1" ref="O118" ca="1">SUM(IF(INDIRECT("output_parsed_hero!t1:t"&amp;$B$1)=$L$1,IF(INDIRECT("output_parsed_hero!u1:u"&amp;$B$1)="Radiant",IF(INDIRECT("output_parsed_hero!E1:I"&amp;$B$1)=$L118,IF(INDIRECT("output_parsed_hero!D1:D"&amp;$B$1)=TRUE,1)))))+SUM(IF(INDIRECT("output_parsed_hero!t1:t"&amp;$B$1)=$L$1,IF(INDIRECT("output_parsed_hero!u1:u"&amp;$B$1)="Dire",IF(INDIRECT("output_parsed_hero!j1:N"&amp;$B$1)=$L118,IF(INDIRECT("output_parsed_hero!D1:D"&amp;$B$1)=FALSE,1)))))</f>
        <v>1</v>
      </c>
      <c r="P118">
        <f t="shared" ca="1" si="20"/>
        <v>0.5</v>
      </c>
      <c r="Q118">
        <f t="array" aca="1" ref="Q118" ca="1">SUM(IF(INDIRECT("output_parsed_hero!t1:t"&amp;$B$1)=$L$1,IF(INDIRECT("output_parsed_hero!u1:u"&amp;$B$1)="Radiant",IF(INDIRECT("output_parsed_hero!j1:n"&amp;$B$1)=$L118,1))))+SUM(IF(INDIRECT("output_parsed_hero!t1:t"&amp;$B$1)=$L$1,IF(INDIRECT("output_parsed_hero!u1:u"&amp;$B$1)="Dire",IF(INDIRECT("output_parsed_hero!e1:i"&amp;$B$1)=$L118,1))))</f>
        <v>0</v>
      </c>
      <c r="R118">
        <f t="array" aca="1" ref="R118" ca="1">SUM(IF(INDIRECT("output_parsed_hero!t1:t"&amp;$B$1)=$L$1,IF(INDIRECT("output_parsed_hero!u1:u"&amp;$B$1)="Radiant",IF(INDIRECT("output_parsed_hero!j1:n"&amp;$B$1)=$L118,IF(INDIRECT("output_parsed_hero!D1:D"&amp;$B$1)=TRUE,1)))))+SUM(IF(INDIRECT("output_parsed_hero!t1:t"&amp;$B$1)=$L$1,IF(INDIRECT("output_parsed_hero!u1:u"&amp;$B$1)="Dire",IF(INDIRECT("output_parsed_hero!e1:i"&amp;$B$1)=$L118,IF(INDIRECT("output_parsed_hero!D1:D"&amp;$B$1)=FALSE,1)))))</f>
        <v>0</v>
      </c>
      <c r="S118">
        <f t="shared" ca="1" si="15"/>
        <v>0</v>
      </c>
      <c r="Z118" t="s">
        <v>427</v>
      </c>
    </row>
    <row r="119" spans="1:26" x14ac:dyDescent="0.3">
      <c r="A119">
        <f t="shared" si="18"/>
        <v>115</v>
      </c>
      <c r="B119" t="e">
        <f>VLOOKUP(A119,'hero names'!$S$7:$T$209,2,0)</f>
        <v>#N/A</v>
      </c>
      <c r="C119">
        <f t="array" aca="1" ref="C119" ca="1">COUNT(IF(INDIRECT("output_parsed!E1:N"&amp;$B$1)='Analysis backend'!$A119,INDIRECT("output_parsed!E1:N"&amp;$B$1)))</f>
        <v>0</v>
      </c>
      <c r="D119">
        <f t="array" aca="1" ref="D119" ca="1">COUNT(IF(INDIRECT("output_parsed!o1:s"&amp;$B$1)='Analysis backend'!$A119,INDIRECT("output_parsed!o1:s"&amp;$B$1)))</f>
        <v>0</v>
      </c>
      <c r="E119">
        <f t="shared" ca="1" si="17"/>
        <v>0</v>
      </c>
      <c r="F119">
        <f t="array" aca="1" ref="F119" ca="1">COUNT(IF(INDIRECT("output_parsed!D1:D"&amp;$B$1)=TRUE,IF(INDIRECT("output_parsed!E1:I"&amp;$B$1)='Analysis backend'!$A119,INDIRECT("output_parsed!E1:I"&amp;$B$1))))+COUNT(IF(INDIRECT("output_parsed!D1:D"&amp;$B$1)=FALSE,IF(INDIRECT("output_parsed!J1:N"&amp;$B$1)='Analysis backend'!$A119,INDIRECT("output_parsed!J1:N"&amp;$B$1))))</f>
        <v>0</v>
      </c>
      <c r="L119">
        <f t="shared" si="16"/>
        <v>114</v>
      </c>
      <c r="M119" t="str">
        <f t="shared" si="19"/>
        <v>Monkey King</v>
      </c>
      <c r="N119">
        <f t="array" aca="1" ref="N119" ca="1">SUM(IF(INDIRECT("output_parsed_hero!t1:t"&amp;$B$1)=$L$1,IF(INDIRECT("output_parsed_hero!u1:u"&amp;$B$1)="Radiant",IF(INDIRECT("output_parsed_hero!E1:I"&amp;$B$1)=$L119,1))))+SUM(IF(INDIRECT("output_parsed_hero!t1:t"&amp;$B$1)=$L$1,IF(INDIRECT("output_parsed_hero!u1:u"&amp;$B$1)="Dire",IF(INDIRECT("output_parsed_hero!j1:n"&amp;$B$1)=$L119,1))))</f>
        <v>11</v>
      </c>
      <c r="O119">
        <f t="array" aca="1" ref="O119" ca="1">SUM(IF(INDIRECT("output_parsed_hero!t1:t"&amp;$B$1)=$L$1,IF(INDIRECT("output_parsed_hero!u1:u"&amp;$B$1)="Radiant",IF(INDIRECT("output_parsed_hero!E1:I"&amp;$B$1)=$L119,IF(INDIRECT("output_parsed_hero!D1:D"&amp;$B$1)=TRUE,1)))))+SUM(IF(INDIRECT("output_parsed_hero!t1:t"&amp;$B$1)=$L$1,IF(INDIRECT("output_parsed_hero!u1:u"&amp;$B$1)="Dire",IF(INDIRECT("output_parsed_hero!j1:N"&amp;$B$1)=$L119,IF(INDIRECT("output_parsed_hero!D1:D"&amp;$B$1)=FALSE,1)))))</f>
        <v>3</v>
      </c>
      <c r="P119">
        <f t="shared" ca="1" si="20"/>
        <v>0.27272727272727271</v>
      </c>
      <c r="Q119">
        <f t="array" aca="1" ref="Q119" ca="1">SUM(IF(INDIRECT("output_parsed_hero!t1:t"&amp;$B$1)=$L$1,IF(INDIRECT("output_parsed_hero!u1:u"&amp;$B$1)="Radiant",IF(INDIRECT("output_parsed_hero!j1:n"&amp;$B$1)=$L119,1))))+SUM(IF(INDIRECT("output_parsed_hero!t1:t"&amp;$B$1)=$L$1,IF(INDIRECT("output_parsed_hero!u1:u"&amp;$B$1)="Dire",IF(INDIRECT("output_parsed_hero!e1:i"&amp;$B$1)=$L119,1))))</f>
        <v>19</v>
      </c>
      <c r="R119">
        <f t="array" aca="1" ref="R119" ca="1">SUM(IF(INDIRECT("output_parsed_hero!t1:t"&amp;$B$1)=$L$1,IF(INDIRECT("output_parsed_hero!u1:u"&amp;$B$1)="Radiant",IF(INDIRECT("output_parsed_hero!j1:n"&amp;$B$1)=$L119,IF(INDIRECT("output_parsed_hero!D1:D"&amp;$B$1)=TRUE,1)))))+SUM(IF(INDIRECT("output_parsed_hero!t1:t"&amp;$B$1)=$L$1,IF(INDIRECT("output_parsed_hero!u1:u"&amp;$B$1)="Dire",IF(INDIRECT("output_parsed_hero!e1:i"&amp;$B$1)=$L119,IF(INDIRECT("output_parsed_hero!D1:D"&amp;$B$1)=FALSE,1)))))</f>
        <v>8</v>
      </c>
      <c r="S119">
        <f t="shared" ca="1" si="15"/>
        <v>0.42105263157894735</v>
      </c>
      <c r="Z119" t="s">
        <v>439</v>
      </c>
    </row>
    <row r="120" spans="1:26" x14ac:dyDescent="0.3">
      <c r="A120">
        <f t="shared" si="18"/>
        <v>116</v>
      </c>
      <c r="B120" t="e">
        <f>VLOOKUP(A120,'hero names'!$S$7:$T$209,2,0)</f>
        <v>#N/A</v>
      </c>
      <c r="C120">
        <f t="array" aca="1" ref="C120" ca="1">COUNT(IF(INDIRECT("output_parsed!E1:N"&amp;$B$1)='Analysis backend'!$A120,INDIRECT("output_parsed!E1:N"&amp;$B$1)))</f>
        <v>0</v>
      </c>
      <c r="D120">
        <f t="array" aca="1" ref="D120" ca="1">COUNT(IF(INDIRECT("output_parsed!o1:s"&amp;$B$1)='Analysis backend'!$A120,INDIRECT("output_parsed!o1:s"&amp;$B$1)))</f>
        <v>0</v>
      </c>
      <c r="E120">
        <f t="shared" ca="1" si="17"/>
        <v>0</v>
      </c>
      <c r="F120">
        <f t="array" aca="1" ref="F120" ca="1">COUNT(IF(INDIRECT("output_parsed!D1:D"&amp;$B$1)=TRUE,IF(INDIRECT("output_parsed!E1:I"&amp;$B$1)='Analysis backend'!$A120,INDIRECT("output_parsed!E1:I"&amp;$B$1))))+COUNT(IF(INDIRECT("output_parsed!D1:D"&amp;$B$1)=FALSE,IF(INDIRECT("output_parsed!J1:N"&amp;$B$1)='Analysis backend'!$A120,INDIRECT("output_parsed!J1:N"&amp;$B$1))))</f>
        <v>0</v>
      </c>
      <c r="L120">
        <f t="shared" si="16"/>
        <v>115</v>
      </c>
      <c r="M120" t="e">
        <f t="shared" si="19"/>
        <v>#N/A</v>
      </c>
      <c r="N120">
        <f t="array" aca="1" ref="N120" ca="1">SUM(IF(INDIRECT("output_parsed_hero!t1:t"&amp;$B$1)=$L$1,IF(INDIRECT("output_parsed_hero!u1:u"&amp;$B$1)="Radiant",IF(INDIRECT("output_parsed_hero!E1:I"&amp;$B$1)=$L120,1))))+SUM(IF(INDIRECT("output_parsed_hero!t1:t"&amp;$B$1)=$L$1,IF(INDIRECT("output_parsed_hero!u1:u"&amp;$B$1)="Dire",IF(INDIRECT("output_parsed_hero!j1:n"&amp;$B$1)=$L120,1))))</f>
        <v>0</v>
      </c>
      <c r="O120">
        <f t="array" aca="1" ref="O120" ca="1">SUM(IF(INDIRECT("output_parsed_hero!t1:t"&amp;$B$1)=$L$1,IF(INDIRECT("output_parsed_hero!u1:u"&amp;$B$1)="Radiant",IF(INDIRECT("output_parsed_hero!E1:I"&amp;$B$1)=$L120,IF(INDIRECT("output_parsed_hero!D1:D"&amp;$B$1)=TRUE,1)))))+SUM(IF(INDIRECT("output_parsed_hero!t1:t"&amp;$B$1)=$L$1,IF(INDIRECT("output_parsed_hero!u1:u"&amp;$B$1)="Dire",IF(INDIRECT("output_parsed_hero!j1:N"&amp;$B$1)=$L120,IF(INDIRECT("output_parsed_hero!D1:D"&amp;$B$1)=FALSE,1)))))</f>
        <v>0</v>
      </c>
      <c r="P120">
        <f t="shared" ca="1" si="20"/>
        <v>0</v>
      </c>
      <c r="Q120">
        <f t="array" aca="1" ref="Q120" ca="1">SUM(IF(INDIRECT("output_parsed_hero!t1:t"&amp;$B$1)=$L$1,IF(INDIRECT("output_parsed_hero!u1:u"&amp;$B$1)="Radiant",IF(INDIRECT("output_parsed_hero!j1:n"&amp;$B$1)=$L120,1))))+SUM(IF(INDIRECT("output_parsed_hero!t1:t"&amp;$B$1)=$L$1,IF(INDIRECT("output_parsed_hero!u1:u"&amp;$B$1)="Dire",IF(INDIRECT("output_parsed_hero!e1:i"&amp;$B$1)=$L120,1))))</f>
        <v>0</v>
      </c>
      <c r="R120">
        <f t="array" aca="1" ref="R120" ca="1">SUM(IF(INDIRECT("output_parsed_hero!t1:t"&amp;$B$1)=$L$1,IF(INDIRECT("output_parsed_hero!u1:u"&amp;$B$1)="Radiant",IF(INDIRECT("output_parsed_hero!j1:n"&amp;$B$1)=$L120,IF(INDIRECT("output_parsed_hero!D1:D"&amp;$B$1)=TRUE,1)))))+SUM(IF(INDIRECT("output_parsed_hero!t1:t"&amp;$B$1)=$L$1,IF(INDIRECT("output_parsed_hero!u1:u"&amp;$B$1)="Dire",IF(INDIRECT("output_parsed_hero!e1:i"&amp;$B$1)=$L120,IF(INDIRECT("output_parsed_hero!D1:D"&amp;$B$1)=FALSE,1)))))</f>
        <v>0</v>
      </c>
      <c r="S120">
        <f t="shared" ca="1" si="15"/>
        <v>0</v>
      </c>
      <c r="Z120" t="s">
        <v>420</v>
      </c>
    </row>
    <row r="121" spans="1:26" x14ac:dyDescent="0.3">
      <c r="A121">
        <f t="shared" si="18"/>
        <v>117</v>
      </c>
      <c r="B121" t="e">
        <f>VLOOKUP(A121,'hero names'!$S$7:$T$209,2,0)</f>
        <v>#N/A</v>
      </c>
      <c r="C121">
        <f t="array" aca="1" ref="C121" ca="1">COUNT(IF(INDIRECT("output_parsed!E1:N"&amp;$B$1)='Analysis backend'!$A121,INDIRECT("output_parsed!E1:N"&amp;$B$1)))</f>
        <v>0</v>
      </c>
      <c r="D121">
        <f t="array" aca="1" ref="D121" ca="1">COUNT(IF(INDIRECT("output_parsed!o1:s"&amp;$B$1)='Analysis backend'!$A121,INDIRECT("output_parsed!o1:s"&amp;$B$1)))</f>
        <v>0</v>
      </c>
      <c r="E121">
        <f t="shared" ca="1" si="17"/>
        <v>0</v>
      </c>
      <c r="F121">
        <f t="array" aca="1" ref="F121" ca="1">COUNT(IF(INDIRECT("output_parsed!D1:D"&amp;$B$1)=TRUE,IF(INDIRECT("output_parsed!E1:I"&amp;$B$1)='Analysis backend'!$A121,INDIRECT("output_parsed!E1:I"&amp;$B$1))))+COUNT(IF(INDIRECT("output_parsed!D1:D"&amp;$B$1)=FALSE,IF(INDIRECT("output_parsed!J1:N"&amp;$B$1)='Analysis backend'!$A121,INDIRECT("output_parsed!J1:N"&amp;$B$1))))</f>
        <v>0</v>
      </c>
      <c r="L121">
        <f t="shared" si="16"/>
        <v>116</v>
      </c>
      <c r="M121" t="e">
        <f t="shared" si="19"/>
        <v>#N/A</v>
      </c>
      <c r="N121">
        <f t="array" aca="1" ref="N121" ca="1">SUM(IF(INDIRECT("output_parsed_hero!t1:t"&amp;$B$1)=$L$1,IF(INDIRECT("output_parsed_hero!u1:u"&amp;$B$1)="Radiant",IF(INDIRECT("output_parsed_hero!E1:I"&amp;$B$1)=$L121,1))))+SUM(IF(INDIRECT("output_parsed_hero!t1:t"&amp;$B$1)=$L$1,IF(INDIRECT("output_parsed_hero!u1:u"&amp;$B$1)="Dire",IF(INDIRECT("output_parsed_hero!j1:n"&amp;$B$1)=$L121,1))))</f>
        <v>0</v>
      </c>
      <c r="O121">
        <f t="array" aca="1" ref="O121" ca="1">SUM(IF(INDIRECT("output_parsed_hero!t1:t"&amp;$B$1)=$L$1,IF(INDIRECT("output_parsed_hero!u1:u"&amp;$B$1)="Radiant",IF(INDIRECT("output_parsed_hero!E1:I"&amp;$B$1)=$L121,IF(INDIRECT("output_parsed_hero!D1:D"&amp;$B$1)=TRUE,1)))))+SUM(IF(INDIRECT("output_parsed_hero!t1:t"&amp;$B$1)=$L$1,IF(INDIRECT("output_parsed_hero!u1:u"&amp;$B$1)="Dire",IF(INDIRECT("output_parsed_hero!j1:N"&amp;$B$1)=$L121,IF(INDIRECT("output_parsed_hero!D1:D"&amp;$B$1)=FALSE,1)))))</f>
        <v>0</v>
      </c>
      <c r="P121">
        <f t="shared" ca="1" si="20"/>
        <v>0</v>
      </c>
      <c r="Q121">
        <f t="array" aca="1" ref="Q121" ca="1">SUM(IF(INDIRECT("output_parsed_hero!t1:t"&amp;$B$1)=$L$1,IF(INDIRECT("output_parsed_hero!u1:u"&amp;$B$1)="Radiant",IF(INDIRECT("output_parsed_hero!j1:n"&amp;$B$1)=$L121,1))))+SUM(IF(INDIRECT("output_parsed_hero!t1:t"&amp;$B$1)=$L$1,IF(INDIRECT("output_parsed_hero!u1:u"&amp;$B$1)="Dire",IF(INDIRECT("output_parsed_hero!e1:i"&amp;$B$1)=$L121,1))))</f>
        <v>0</v>
      </c>
      <c r="R121">
        <f t="array" aca="1" ref="R121" ca="1">SUM(IF(INDIRECT("output_parsed_hero!t1:t"&amp;$B$1)=$L$1,IF(INDIRECT("output_parsed_hero!u1:u"&amp;$B$1)="Radiant",IF(INDIRECT("output_parsed_hero!j1:n"&amp;$B$1)=$L121,IF(INDIRECT("output_parsed_hero!D1:D"&amp;$B$1)=TRUE,1)))))+SUM(IF(INDIRECT("output_parsed_hero!t1:t"&amp;$B$1)=$L$1,IF(INDIRECT("output_parsed_hero!u1:u"&amp;$B$1)="Dire",IF(INDIRECT("output_parsed_hero!e1:i"&amp;$B$1)=$L121,IF(INDIRECT("output_parsed_hero!D1:D"&amp;$B$1)=FALSE,1)))))</f>
        <v>0</v>
      </c>
      <c r="S121">
        <f t="shared" ca="1" si="15"/>
        <v>0</v>
      </c>
    </row>
    <row r="122" spans="1:26" x14ac:dyDescent="0.3">
      <c r="A122">
        <f t="shared" si="18"/>
        <v>118</v>
      </c>
      <c r="B122" t="e">
        <f>VLOOKUP(A122,'hero names'!$S$7:$T$209,2,0)</f>
        <v>#N/A</v>
      </c>
      <c r="C122">
        <f t="array" aca="1" ref="C122" ca="1">COUNT(IF(INDIRECT("output_parsed!E1:N"&amp;$B$1)='Analysis backend'!$A122,INDIRECT("output_parsed!E1:N"&amp;$B$1)))</f>
        <v>0</v>
      </c>
      <c r="D122">
        <f t="array" aca="1" ref="D122" ca="1">COUNT(IF(INDIRECT("output_parsed!o1:s"&amp;$B$1)='Analysis backend'!$A122,INDIRECT("output_parsed!o1:s"&amp;$B$1)))</f>
        <v>0</v>
      </c>
      <c r="E122">
        <f t="shared" ca="1" si="17"/>
        <v>0</v>
      </c>
      <c r="F122">
        <f t="array" aca="1" ref="F122" ca="1">COUNT(IF(INDIRECT("output_parsed!D1:D"&amp;$B$1)=TRUE,IF(INDIRECT("output_parsed!E1:I"&amp;$B$1)='Analysis backend'!$A122,INDIRECT("output_parsed!E1:I"&amp;$B$1))))+COUNT(IF(INDIRECT("output_parsed!D1:D"&amp;$B$1)=FALSE,IF(INDIRECT("output_parsed!J1:N"&amp;$B$1)='Analysis backend'!$A122,INDIRECT("output_parsed!J1:N"&amp;$B$1))))</f>
        <v>0</v>
      </c>
      <c r="L122">
        <f t="shared" si="16"/>
        <v>117</v>
      </c>
      <c r="M122" t="e">
        <f t="shared" si="19"/>
        <v>#N/A</v>
      </c>
      <c r="N122">
        <f t="array" aca="1" ref="N122" ca="1">SUM(IF(INDIRECT("output_parsed_hero!t1:t"&amp;$B$1)=$L$1,IF(INDIRECT("output_parsed_hero!u1:u"&amp;$B$1)="Radiant",IF(INDIRECT("output_parsed_hero!E1:I"&amp;$B$1)=$L122,1))))+SUM(IF(INDIRECT("output_parsed_hero!t1:t"&amp;$B$1)=$L$1,IF(INDIRECT("output_parsed_hero!u1:u"&amp;$B$1)="Dire",IF(INDIRECT("output_parsed_hero!j1:n"&amp;$B$1)=$L122,1))))</f>
        <v>0</v>
      </c>
      <c r="O122">
        <f t="array" aca="1" ref="O122" ca="1">SUM(IF(INDIRECT("output_parsed_hero!t1:t"&amp;$B$1)=$L$1,IF(INDIRECT("output_parsed_hero!u1:u"&amp;$B$1)="Radiant",IF(INDIRECT("output_parsed_hero!E1:I"&amp;$B$1)=$L122,IF(INDIRECT("output_parsed_hero!D1:D"&amp;$B$1)=TRUE,1)))))+SUM(IF(INDIRECT("output_parsed_hero!t1:t"&amp;$B$1)=$L$1,IF(INDIRECT("output_parsed_hero!u1:u"&amp;$B$1)="Dire",IF(INDIRECT("output_parsed_hero!j1:N"&amp;$B$1)=$L122,IF(INDIRECT("output_parsed_hero!D1:D"&amp;$B$1)=FALSE,1)))))</f>
        <v>0</v>
      </c>
      <c r="P122">
        <f t="shared" ca="1" si="20"/>
        <v>0</v>
      </c>
      <c r="Q122">
        <f t="array" aca="1" ref="Q122" ca="1">SUM(IF(INDIRECT("output_parsed_hero!t1:t"&amp;$B$1)=$L$1,IF(INDIRECT("output_parsed_hero!u1:u"&amp;$B$1)="Radiant",IF(INDIRECT("output_parsed_hero!j1:n"&amp;$B$1)=$L122,1))))+SUM(IF(INDIRECT("output_parsed_hero!t1:t"&amp;$B$1)=$L$1,IF(INDIRECT("output_parsed_hero!u1:u"&amp;$B$1)="Dire",IF(INDIRECT("output_parsed_hero!e1:i"&amp;$B$1)=$L122,1))))</f>
        <v>0</v>
      </c>
      <c r="R122">
        <f t="array" aca="1" ref="R122" ca="1">SUM(IF(INDIRECT("output_parsed_hero!t1:t"&amp;$B$1)=$L$1,IF(INDIRECT("output_parsed_hero!u1:u"&amp;$B$1)="Radiant",IF(INDIRECT("output_parsed_hero!j1:n"&amp;$B$1)=$L122,IF(INDIRECT("output_parsed_hero!D1:D"&amp;$B$1)=TRUE,1)))))+SUM(IF(INDIRECT("output_parsed_hero!t1:t"&amp;$B$1)=$L$1,IF(INDIRECT("output_parsed_hero!u1:u"&amp;$B$1)="Dire",IF(INDIRECT("output_parsed_hero!e1:i"&amp;$B$1)=$L122,IF(INDIRECT("output_parsed_hero!D1:D"&amp;$B$1)=FALSE,1)))))</f>
        <v>0</v>
      </c>
      <c r="S122">
        <f t="shared" ca="1" si="15"/>
        <v>0</v>
      </c>
    </row>
    <row r="123" spans="1:26" x14ac:dyDescent="0.3">
      <c r="A123">
        <f t="shared" si="18"/>
        <v>119</v>
      </c>
      <c r="B123" t="str">
        <f>VLOOKUP(A123,'hero names'!$S$7:$T$209,2,0)</f>
        <v>Dark Willow</v>
      </c>
      <c r="C123">
        <f t="array" aca="1" ref="C123" ca="1">COUNT(IF(INDIRECT("output_parsed!E1:N"&amp;$B$1)='Analysis backend'!$A123,INDIRECT("output_parsed!E1:N"&amp;$B$1)))</f>
        <v>6</v>
      </c>
      <c r="D123">
        <f t="array" aca="1" ref="D123" ca="1">COUNT(IF(INDIRECT("output_parsed!o1:s"&amp;$B$1)='Analysis backend'!$A123,INDIRECT("output_parsed!o1:s"&amp;$B$1)))</f>
        <v>1</v>
      </c>
      <c r="E123">
        <f t="shared" ca="1" si="17"/>
        <v>7</v>
      </c>
      <c r="F123">
        <f t="array" aca="1" ref="F123" ca="1">COUNT(IF(INDIRECT("output_parsed!D1:D"&amp;$B$1)=TRUE,IF(INDIRECT("output_parsed!E1:I"&amp;$B$1)='Analysis backend'!$A123,INDIRECT("output_parsed!E1:I"&amp;$B$1))))+COUNT(IF(INDIRECT("output_parsed!D1:D"&amp;$B$1)=FALSE,IF(INDIRECT("output_parsed!J1:N"&amp;$B$1)='Analysis backend'!$A123,INDIRECT("output_parsed!J1:N"&amp;$B$1))))</f>
        <v>3</v>
      </c>
      <c r="L123">
        <f t="shared" si="16"/>
        <v>118</v>
      </c>
      <c r="M123" t="e">
        <f t="shared" si="19"/>
        <v>#N/A</v>
      </c>
      <c r="N123">
        <f t="array" aca="1" ref="N123" ca="1">SUM(IF(INDIRECT("output_parsed_hero!t1:t"&amp;$B$1)=$L$1,IF(INDIRECT("output_parsed_hero!u1:u"&amp;$B$1)="Radiant",IF(INDIRECT("output_parsed_hero!E1:I"&amp;$B$1)=$L123,1))))+SUM(IF(INDIRECT("output_parsed_hero!t1:t"&amp;$B$1)=$L$1,IF(INDIRECT("output_parsed_hero!u1:u"&amp;$B$1)="Dire",IF(INDIRECT("output_parsed_hero!j1:n"&amp;$B$1)=$L123,1))))</f>
        <v>0</v>
      </c>
      <c r="O123">
        <f t="array" aca="1" ref="O123" ca="1">SUM(IF(INDIRECT("output_parsed_hero!t1:t"&amp;$B$1)=$L$1,IF(INDIRECT("output_parsed_hero!u1:u"&amp;$B$1)="Radiant",IF(INDIRECT("output_parsed_hero!E1:I"&amp;$B$1)=$L123,IF(INDIRECT("output_parsed_hero!D1:D"&amp;$B$1)=TRUE,1)))))+SUM(IF(INDIRECT("output_parsed_hero!t1:t"&amp;$B$1)=$L$1,IF(INDIRECT("output_parsed_hero!u1:u"&amp;$B$1)="Dire",IF(INDIRECT("output_parsed_hero!j1:N"&amp;$B$1)=$L123,IF(INDIRECT("output_parsed_hero!D1:D"&amp;$B$1)=FALSE,1)))))</f>
        <v>0</v>
      </c>
      <c r="P123">
        <f t="shared" ca="1" si="20"/>
        <v>0</v>
      </c>
      <c r="Q123">
        <f t="array" aca="1" ref="Q123" ca="1">SUM(IF(INDIRECT("output_parsed_hero!t1:t"&amp;$B$1)=$L$1,IF(INDIRECT("output_parsed_hero!u1:u"&amp;$B$1)="Radiant",IF(INDIRECT("output_parsed_hero!j1:n"&amp;$B$1)=$L123,1))))+SUM(IF(INDIRECT("output_parsed_hero!t1:t"&amp;$B$1)=$L$1,IF(INDIRECT("output_parsed_hero!u1:u"&amp;$B$1)="Dire",IF(INDIRECT("output_parsed_hero!e1:i"&amp;$B$1)=$L123,1))))</f>
        <v>0</v>
      </c>
      <c r="R123">
        <f t="array" aca="1" ref="R123" ca="1">SUM(IF(INDIRECT("output_parsed_hero!t1:t"&amp;$B$1)=$L$1,IF(INDIRECT("output_parsed_hero!u1:u"&amp;$B$1)="Radiant",IF(INDIRECT("output_parsed_hero!j1:n"&amp;$B$1)=$L123,IF(INDIRECT("output_parsed_hero!D1:D"&amp;$B$1)=TRUE,1)))))+SUM(IF(INDIRECT("output_parsed_hero!t1:t"&amp;$B$1)=$L$1,IF(INDIRECT("output_parsed_hero!u1:u"&amp;$B$1)="Dire",IF(INDIRECT("output_parsed_hero!e1:i"&amp;$B$1)=$L123,IF(INDIRECT("output_parsed_hero!D1:D"&amp;$B$1)=FALSE,1)))))</f>
        <v>0</v>
      </c>
      <c r="S123">
        <f t="shared" ca="1" si="15"/>
        <v>0</v>
      </c>
    </row>
    <row r="124" spans="1:26" x14ac:dyDescent="0.3">
      <c r="A124">
        <f t="shared" si="18"/>
        <v>120</v>
      </c>
      <c r="B124" t="str">
        <f>VLOOKUP(A124,'hero names'!$S$7:$T$209,2,0)</f>
        <v>Pangolier</v>
      </c>
      <c r="C124">
        <f t="array" aca="1" ref="C124" ca="1">COUNT(IF(INDIRECT("output_parsed!E1:N"&amp;$B$1)='Analysis backend'!$A124,INDIRECT("output_parsed!E1:N"&amp;$B$1)))</f>
        <v>9</v>
      </c>
      <c r="D124">
        <f t="array" aca="1" ref="D124" ca="1">COUNT(IF(INDIRECT("output_parsed!o1:s"&amp;$B$1)='Analysis backend'!$A124,INDIRECT("output_parsed!o1:s"&amp;$B$1)))</f>
        <v>6</v>
      </c>
      <c r="E124">
        <f t="shared" ca="1" si="17"/>
        <v>15</v>
      </c>
      <c r="F124">
        <f t="array" aca="1" ref="F124" ca="1">COUNT(IF(INDIRECT("output_parsed!D1:D"&amp;$B$1)=TRUE,IF(INDIRECT("output_parsed!E1:I"&amp;$B$1)='Analysis backend'!$A124,INDIRECT("output_parsed!E1:I"&amp;$B$1))))+COUNT(IF(INDIRECT("output_parsed!D1:D"&amp;$B$1)=FALSE,IF(INDIRECT("output_parsed!J1:N"&amp;$B$1)='Analysis backend'!$A124,INDIRECT("output_parsed!J1:N"&amp;$B$1))))</f>
        <v>6</v>
      </c>
      <c r="L124">
        <f t="shared" si="16"/>
        <v>119</v>
      </c>
      <c r="M124" t="str">
        <f t="shared" si="19"/>
        <v>Dark Willow</v>
      </c>
      <c r="N124">
        <f t="array" aca="1" ref="N124" ca="1">SUM(IF(INDIRECT("output_parsed_hero!t1:t"&amp;$B$1)=$L$1,IF(INDIRECT("output_parsed_hero!u1:u"&amp;$B$1)="Radiant",IF(INDIRECT("output_parsed_hero!E1:I"&amp;$B$1)=$L124,1))))+SUM(IF(INDIRECT("output_parsed_hero!t1:t"&amp;$B$1)=$L$1,IF(INDIRECT("output_parsed_hero!u1:u"&amp;$B$1)="Dire",IF(INDIRECT("output_parsed_hero!j1:n"&amp;$B$1)=$L124,1))))</f>
        <v>2</v>
      </c>
      <c r="O124">
        <f t="array" aca="1" ref="O124" ca="1">SUM(IF(INDIRECT("output_parsed_hero!t1:t"&amp;$B$1)=$L$1,IF(INDIRECT("output_parsed_hero!u1:u"&amp;$B$1)="Radiant",IF(INDIRECT("output_parsed_hero!E1:I"&amp;$B$1)=$L124,IF(INDIRECT("output_parsed_hero!D1:D"&amp;$B$1)=TRUE,1)))))+SUM(IF(INDIRECT("output_parsed_hero!t1:t"&amp;$B$1)=$L$1,IF(INDIRECT("output_parsed_hero!u1:u"&amp;$B$1)="Dire",IF(INDIRECT("output_parsed_hero!j1:N"&amp;$B$1)=$L124,IF(INDIRECT("output_parsed_hero!D1:D"&amp;$B$1)=FALSE,1)))))</f>
        <v>2</v>
      </c>
      <c r="P124">
        <f t="shared" ca="1" si="20"/>
        <v>1</v>
      </c>
      <c r="Q124">
        <f t="array" aca="1" ref="Q124" ca="1">SUM(IF(INDIRECT("output_parsed_hero!t1:t"&amp;$B$1)=$L$1,IF(INDIRECT("output_parsed_hero!u1:u"&amp;$B$1)="Radiant",IF(INDIRECT("output_parsed_hero!j1:n"&amp;$B$1)=$L124,1))))+SUM(IF(INDIRECT("output_parsed_hero!t1:t"&amp;$B$1)=$L$1,IF(INDIRECT("output_parsed_hero!u1:u"&amp;$B$1)="Dire",IF(INDIRECT("output_parsed_hero!e1:i"&amp;$B$1)=$L124,1))))</f>
        <v>2</v>
      </c>
      <c r="R124">
        <f t="array" aca="1" ref="R124" ca="1">SUM(IF(INDIRECT("output_parsed_hero!t1:t"&amp;$B$1)=$L$1,IF(INDIRECT("output_parsed_hero!u1:u"&amp;$B$1)="Radiant",IF(INDIRECT("output_parsed_hero!j1:n"&amp;$B$1)=$L124,IF(INDIRECT("output_parsed_hero!D1:D"&amp;$B$1)=TRUE,1)))))+SUM(IF(INDIRECT("output_parsed_hero!t1:t"&amp;$B$1)=$L$1,IF(INDIRECT("output_parsed_hero!u1:u"&amp;$B$1)="Dire",IF(INDIRECT("output_parsed_hero!e1:i"&amp;$B$1)=$L124,IF(INDIRECT("output_parsed_hero!D1:D"&amp;$B$1)=FALSE,1)))))</f>
        <v>1</v>
      </c>
      <c r="S124">
        <f t="shared" ca="1" si="15"/>
        <v>0.5</v>
      </c>
    </row>
    <row r="125" spans="1:26" x14ac:dyDescent="0.3">
      <c r="A125">
        <f t="shared" si="18"/>
        <v>121</v>
      </c>
      <c r="B125" t="str">
        <f>VLOOKUP(A125,'hero names'!$S$7:$T$209,2,0)</f>
        <v>Grimstroke</v>
      </c>
      <c r="C125">
        <f t="array" aca="1" ref="C125" ca="1">COUNT(IF(INDIRECT("output_parsed!E1:N"&amp;$B$1)='Analysis backend'!$A125,INDIRECT("output_parsed!E1:N"&amp;$B$1)))</f>
        <v>91</v>
      </c>
      <c r="D125">
        <f t="array" aca="1" ref="D125" ca="1">COUNT(IF(INDIRECT("output_parsed!o1:s"&amp;$B$1)='Analysis backend'!$A125,INDIRECT("output_parsed!o1:s"&amp;$B$1)))</f>
        <v>13</v>
      </c>
      <c r="E125">
        <f t="shared" ca="1" si="17"/>
        <v>104</v>
      </c>
      <c r="F125">
        <f t="array" aca="1" ref="F125" ca="1">COUNT(IF(INDIRECT("output_parsed!D1:D"&amp;$B$1)=TRUE,IF(INDIRECT("output_parsed!E1:I"&amp;$B$1)='Analysis backend'!$A125,INDIRECT("output_parsed!E1:I"&amp;$B$1))))+COUNT(IF(INDIRECT("output_parsed!D1:D"&amp;$B$1)=FALSE,IF(INDIRECT("output_parsed!J1:N"&amp;$B$1)='Analysis backend'!$A125,INDIRECT("output_parsed!J1:N"&amp;$B$1))))</f>
        <v>52</v>
      </c>
      <c r="L125">
        <f t="shared" si="16"/>
        <v>120</v>
      </c>
      <c r="M125" t="str">
        <f t="shared" si="19"/>
        <v>Pangolier</v>
      </c>
      <c r="N125">
        <f t="array" aca="1" ref="N125" ca="1">SUM(IF(INDIRECT("output_parsed_hero!t1:t"&amp;$B$1)=$L$1,IF(INDIRECT("output_parsed_hero!u1:u"&amp;$B$1)="Radiant",IF(INDIRECT("output_parsed_hero!E1:I"&amp;$B$1)=$L125,1))))+SUM(IF(INDIRECT("output_parsed_hero!t1:t"&amp;$B$1)=$L$1,IF(INDIRECT("output_parsed_hero!u1:u"&amp;$B$1)="Dire",IF(INDIRECT("output_parsed_hero!j1:n"&amp;$B$1)=$L125,1))))</f>
        <v>2</v>
      </c>
      <c r="O125">
        <f t="array" aca="1" ref="O125" ca="1">SUM(IF(INDIRECT("output_parsed_hero!t1:t"&amp;$B$1)=$L$1,IF(INDIRECT("output_parsed_hero!u1:u"&amp;$B$1)="Radiant",IF(INDIRECT("output_parsed_hero!E1:I"&amp;$B$1)=$L125,IF(INDIRECT("output_parsed_hero!D1:D"&amp;$B$1)=TRUE,1)))))+SUM(IF(INDIRECT("output_parsed_hero!t1:t"&amp;$B$1)=$L$1,IF(INDIRECT("output_parsed_hero!u1:u"&amp;$B$1)="Dire",IF(INDIRECT("output_parsed_hero!j1:N"&amp;$B$1)=$L125,IF(INDIRECT("output_parsed_hero!D1:D"&amp;$B$1)=FALSE,1)))))</f>
        <v>1</v>
      </c>
      <c r="P125">
        <f t="shared" ca="1" si="20"/>
        <v>0.5</v>
      </c>
      <c r="Q125">
        <f t="array" aca="1" ref="Q125" ca="1">SUM(IF(INDIRECT("output_parsed_hero!t1:t"&amp;$B$1)=$L$1,IF(INDIRECT("output_parsed_hero!u1:u"&amp;$B$1)="Radiant",IF(INDIRECT("output_parsed_hero!j1:n"&amp;$B$1)=$L125,1))))+SUM(IF(INDIRECT("output_parsed_hero!t1:t"&amp;$B$1)=$L$1,IF(INDIRECT("output_parsed_hero!u1:u"&amp;$B$1)="Dire",IF(INDIRECT("output_parsed_hero!e1:i"&amp;$B$1)=$L125,1))))</f>
        <v>1</v>
      </c>
      <c r="R125">
        <f t="array" aca="1" ref="R125" ca="1">SUM(IF(INDIRECT("output_parsed_hero!t1:t"&amp;$B$1)=$L$1,IF(INDIRECT("output_parsed_hero!u1:u"&amp;$B$1)="Radiant",IF(INDIRECT("output_parsed_hero!j1:n"&amp;$B$1)=$L125,IF(INDIRECT("output_parsed_hero!D1:D"&amp;$B$1)=TRUE,1)))))+SUM(IF(INDIRECT("output_parsed_hero!t1:t"&amp;$B$1)=$L$1,IF(INDIRECT("output_parsed_hero!u1:u"&amp;$B$1)="Dire",IF(INDIRECT("output_parsed_hero!e1:i"&amp;$B$1)=$L125,IF(INDIRECT("output_parsed_hero!D1:D"&amp;$B$1)=FALSE,1)))))</f>
        <v>0</v>
      </c>
      <c r="S125">
        <f t="shared" ca="1" si="15"/>
        <v>0</v>
      </c>
    </row>
    <row r="126" spans="1:26" x14ac:dyDescent="0.3">
      <c r="A126">
        <f t="shared" si="18"/>
        <v>122</v>
      </c>
      <c r="B126" t="e">
        <f>VLOOKUP(A126,'hero names'!$S$7:$T$209,2,0)</f>
        <v>#N/A</v>
      </c>
      <c r="C126">
        <f t="array" aca="1" ref="C126" ca="1">COUNT(IF(INDIRECT("output_parsed!E1:N"&amp;$B$1)='Analysis backend'!$A126,INDIRECT("output_parsed!E1:N"&amp;$B$1)))</f>
        <v>0</v>
      </c>
      <c r="D126">
        <f t="array" aca="1" ref="D126" ca="1">COUNT(IF(INDIRECT("output_parsed!o1:s"&amp;$B$1)='Analysis backend'!$A126,INDIRECT("output_parsed!o1:s"&amp;$B$1)))</f>
        <v>0</v>
      </c>
      <c r="E126">
        <f t="shared" ca="1" si="17"/>
        <v>0</v>
      </c>
      <c r="F126">
        <f t="array" aca="1" ref="F126" ca="1">COUNT(IF(INDIRECT("output_parsed!D1:D"&amp;$B$1)=TRUE,IF(INDIRECT("output_parsed!E1:I"&amp;$B$1)='Analysis backend'!$A126,INDIRECT("output_parsed!E1:I"&amp;$B$1))))+COUNT(IF(INDIRECT("output_parsed!D1:D"&amp;$B$1)=FALSE,IF(INDIRECT("output_parsed!J1:N"&amp;$B$1)='Analysis backend'!$A126,INDIRECT("output_parsed!J1:N"&amp;$B$1))))</f>
        <v>0</v>
      </c>
      <c r="L126">
        <f t="shared" si="16"/>
        <v>121</v>
      </c>
      <c r="M126" t="str">
        <f t="shared" si="19"/>
        <v>Grimstroke</v>
      </c>
      <c r="N126">
        <f t="array" aca="1" ref="N126" ca="1">SUM(IF(INDIRECT("output_parsed_hero!t1:t"&amp;$B$1)=$L$1,IF(INDIRECT("output_parsed_hero!u1:u"&amp;$B$1)="Radiant",IF(INDIRECT("output_parsed_hero!E1:I"&amp;$B$1)=$L126,1))))+SUM(IF(INDIRECT("output_parsed_hero!t1:t"&amp;$B$1)=$L$1,IF(INDIRECT("output_parsed_hero!u1:u"&amp;$B$1)="Dire",IF(INDIRECT("output_parsed_hero!j1:n"&amp;$B$1)=$L126,1))))</f>
        <v>24</v>
      </c>
      <c r="O126">
        <f t="array" aca="1" ref="O126" ca="1">SUM(IF(INDIRECT("output_parsed_hero!t1:t"&amp;$B$1)=$L$1,IF(INDIRECT("output_parsed_hero!u1:u"&amp;$B$1)="Radiant",IF(INDIRECT("output_parsed_hero!E1:I"&amp;$B$1)=$L126,IF(INDIRECT("output_parsed_hero!D1:D"&amp;$B$1)=TRUE,1)))))+SUM(IF(INDIRECT("output_parsed_hero!t1:t"&amp;$B$1)=$L$1,IF(INDIRECT("output_parsed_hero!u1:u"&amp;$B$1)="Dire",IF(INDIRECT("output_parsed_hero!j1:N"&amp;$B$1)=$L126,IF(INDIRECT("output_parsed_hero!D1:D"&amp;$B$1)=FALSE,1)))))</f>
        <v>16</v>
      </c>
      <c r="P126">
        <f t="shared" ca="1" si="20"/>
        <v>0.66666666666666663</v>
      </c>
      <c r="Q126">
        <f t="array" aca="1" ref="Q126" ca="1">SUM(IF(INDIRECT("output_parsed_hero!t1:t"&amp;$B$1)=$L$1,IF(INDIRECT("output_parsed_hero!u1:u"&amp;$B$1)="Radiant",IF(INDIRECT("output_parsed_hero!j1:n"&amp;$B$1)=$L126,1))))+SUM(IF(INDIRECT("output_parsed_hero!t1:t"&amp;$B$1)=$L$1,IF(INDIRECT("output_parsed_hero!u1:u"&amp;$B$1)="Dire",IF(INDIRECT("output_parsed_hero!e1:i"&amp;$B$1)=$L126,1))))</f>
        <v>31</v>
      </c>
      <c r="R126">
        <f t="array" aca="1" ref="R126" ca="1">SUM(IF(INDIRECT("output_parsed_hero!t1:t"&amp;$B$1)=$L$1,IF(INDIRECT("output_parsed_hero!u1:u"&amp;$B$1)="Radiant",IF(INDIRECT("output_parsed_hero!j1:n"&amp;$B$1)=$L126,IF(INDIRECT("output_parsed_hero!D1:D"&amp;$B$1)=TRUE,1)))))+SUM(IF(INDIRECT("output_parsed_hero!t1:t"&amp;$B$1)=$L$1,IF(INDIRECT("output_parsed_hero!u1:u"&amp;$B$1)="Dire",IF(INDIRECT("output_parsed_hero!e1:i"&amp;$B$1)=$L126,IF(INDIRECT("output_parsed_hero!D1:D"&amp;$B$1)=FALSE,1)))))</f>
        <v>14</v>
      </c>
      <c r="S126">
        <f t="shared" ca="1" si="15"/>
        <v>0.45161290322580644</v>
      </c>
    </row>
    <row r="127" spans="1:26" x14ac:dyDescent="0.3">
      <c r="A127">
        <f t="shared" si="18"/>
        <v>123</v>
      </c>
      <c r="B127" t="e">
        <f>VLOOKUP(A127,'hero names'!$S$7:$T$209,2,0)</f>
        <v>#N/A</v>
      </c>
      <c r="C127">
        <f t="array" aca="1" ref="C127" ca="1">COUNT(IF(INDIRECT("output_parsed!E1:N"&amp;$B$1)='Analysis backend'!$A127,INDIRECT("output_parsed!E1:N"&amp;$B$1)))</f>
        <v>0</v>
      </c>
      <c r="D127">
        <f t="array" aca="1" ref="D127" ca="1">COUNT(IF(INDIRECT("output_parsed!o1:s"&amp;$B$1)='Analysis backend'!$A127,INDIRECT("output_parsed!o1:s"&amp;$B$1)))</f>
        <v>0</v>
      </c>
      <c r="E127">
        <f t="shared" ca="1" si="17"/>
        <v>0</v>
      </c>
      <c r="F127">
        <f t="array" aca="1" ref="F127" ca="1">COUNT(IF(INDIRECT("output_parsed!D1:D"&amp;$B$1)=TRUE,IF(INDIRECT("output_parsed!E1:I"&amp;$B$1)='Analysis backend'!$A127,INDIRECT("output_parsed!E1:I"&amp;$B$1))))+COUNT(IF(INDIRECT("output_parsed!D1:D"&amp;$B$1)=FALSE,IF(INDIRECT("output_parsed!J1:N"&amp;$B$1)='Analysis backend'!$A127,INDIRECT("output_parsed!J1:N"&amp;$B$1))))</f>
        <v>0</v>
      </c>
      <c r="L127">
        <f t="shared" si="16"/>
        <v>122</v>
      </c>
      <c r="M127" t="e">
        <f t="shared" si="19"/>
        <v>#N/A</v>
      </c>
      <c r="N127">
        <f t="array" aca="1" ref="N127" ca="1">SUM(IF(INDIRECT("output_parsed_hero!t1:t"&amp;$B$1)=$L$1,IF(INDIRECT("output_parsed_hero!u1:u"&amp;$B$1)="Radiant",IF(INDIRECT("output_parsed_hero!E1:I"&amp;$B$1)=$L127,1))))+SUM(IF(INDIRECT("output_parsed_hero!t1:t"&amp;$B$1)=$L$1,IF(INDIRECT("output_parsed_hero!u1:u"&amp;$B$1)="Dire",IF(INDIRECT("output_parsed_hero!j1:n"&amp;$B$1)=$L127,1))))</f>
        <v>0</v>
      </c>
      <c r="O127">
        <f t="array" aca="1" ref="O127" ca="1">SUM(IF(INDIRECT("output_parsed_hero!t1:t"&amp;$B$1)=$L$1,IF(INDIRECT("output_parsed_hero!u1:u"&amp;$B$1)="Radiant",IF(INDIRECT("output_parsed_hero!E1:I"&amp;$B$1)=$L127,IF(INDIRECT("output_parsed_hero!D1:D"&amp;$B$1)=TRUE,1)))))+SUM(IF(INDIRECT("output_parsed_hero!t1:t"&amp;$B$1)=$L$1,IF(INDIRECT("output_parsed_hero!u1:u"&amp;$B$1)="Dire",IF(INDIRECT("output_parsed_hero!j1:N"&amp;$B$1)=$L127,IF(INDIRECT("output_parsed_hero!D1:D"&amp;$B$1)=FALSE,1)))))</f>
        <v>0</v>
      </c>
      <c r="P127">
        <f t="shared" ca="1" si="20"/>
        <v>0</v>
      </c>
      <c r="Q127">
        <f t="array" aca="1" ref="Q127" ca="1">SUM(IF(INDIRECT("output_parsed_hero!t1:t"&amp;$B$1)=$L$1,IF(INDIRECT("output_parsed_hero!u1:u"&amp;$B$1)="Radiant",IF(INDIRECT("output_parsed_hero!j1:n"&amp;$B$1)=$L127,1))))+SUM(IF(INDIRECT("output_parsed_hero!t1:t"&amp;$B$1)=$L$1,IF(INDIRECT("output_parsed_hero!u1:u"&amp;$B$1)="Dire",IF(INDIRECT("output_parsed_hero!e1:i"&amp;$B$1)=$L127,1))))</f>
        <v>0</v>
      </c>
      <c r="R127">
        <f t="array" aca="1" ref="R127" ca="1">SUM(IF(INDIRECT("output_parsed_hero!t1:t"&amp;$B$1)=$L$1,IF(INDIRECT("output_parsed_hero!u1:u"&amp;$B$1)="Radiant",IF(INDIRECT("output_parsed_hero!j1:n"&amp;$B$1)=$L127,IF(INDIRECT("output_parsed_hero!D1:D"&amp;$B$1)=TRUE,1)))))+SUM(IF(INDIRECT("output_parsed_hero!t1:t"&amp;$B$1)=$L$1,IF(INDIRECT("output_parsed_hero!u1:u"&amp;$B$1)="Dire",IF(INDIRECT("output_parsed_hero!e1:i"&amp;$B$1)=$L127,IF(INDIRECT("output_parsed_hero!D1:D"&amp;$B$1)=FALSE,1)))))</f>
        <v>0</v>
      </c>
      <c r="S127">
        <f t="shared" ca="1" si="15"/>
        <v>0</v>
      </c>
    </row>
    <row r="128" spans="1:26" x14ac:dyDescent="0.3">
      <c r="A128">
        <f t="shared" si="18"/>
        <v>124</v>
      </c>
      <c r="B128" t="e">
        <f>VLOOKUP(A128,'hero names'!$S$7:$T$209,2,0)</f>
        <v>#N/A</v>
      </c>
      <c r="C128">
        <f t="array" aca="1" ref="C128" ca="1">COUNT(IF(INDIRECT("output_parsed!E1:N"&amp;$B$1)='Analysis backend'!$A128,INDIRECT("output_parsed!E1:N"&amp;$B$1)))</f>
        <v>0</v>
      </c>
      <c r="D128">
        <f t="array" aca="1" ref="D128" ca="1">COUNT(IF(INDIRECT("output_parsed!o1:s"&amp;$B$1)='Analysis backend'!$A128,INDIRECT("output_parsed!o1:s"&amp;$B$1)))</f>
        <v>0</v>
      </c>
      <c r="E128">
        <f t="shared" ca="1" si="17"/>
        <v>0</v>
      </c>
      <c r="F128">
        <f t="array" aca="1" ref="F128" ca="1">COUNT(IF(INDIRECT("output_parsed!D1:D"&amp;$B$1)=TRUE,IF(INDIRECT("output_parsed!E1:I"&amp;$B$1)='Analysis backend'!$A128,INDIRECT("output_parsed!E1:I"&amp;$B$1))))+COUNT(IF(INDIRECT("output_parsed!D1:D"&amp;$B$1)=FALSE,IF(INDIRECT("output_parsed!J1:N"&amp;$B$1)='Analysis backend'!$A128,INDIRECT("output_parsed!J1:N"&amp;$B$1))))</f>
        <v>0</v>
      </c>
      <c r="L128">
        <f t="shared" si="16"/>
        <v>123</v>
      </c>
      <c r="M128" t="e">
        <f t="shared" si="19"/>
        <v>#N/A</v>
      </c>
      <c r="N128">
        <f t="array" aca="1" ref="N128" ca="1">SUM(IF(INDIRECT("output_parsed_hero!t1:t"&amp;$B$1)=$L$1,IF(INDIRECT("output_parsed_hero!u1:u"&amp;$B$1)="Radiant",IF(INDIRECT("output_parsed_hero!E1:I"&amp;$B$1)=$L128,1))))+SUM(IF(INDIRECT("output_parsed_hero!t1:t"&amp;$B$1)=$L$1,IF(INDIRECT("output_parsed_hero!u1:u"&amp;$B$1)="Dire",IF(INDIRECT("output_parsed_hero!j1:n"&amp;$B$1)=$L128,1))))</f>
        <v>0</v>
      </c>
      <c r="O128">
        <f t="array" aca="1" ref="O128" ca="1">SUM(IF(INDIRECT("output_parsed_hero!t1:t"&amp;$B$1)=$L$1,IF(INDIRECT("output_parsed_hero!u1:u"&amp;$B$1)="Radiant",IF(INDIRECT("output_parsed_hero!E1:I"&amp;$B$1)=$L128,IF(INDIRECT("output_parsed_hero!D1:D"&amp;$B$1)=TRUE,1)))))+SUM(IF(INDIRECT("output_parsed_hero!t1:t"&amp;$B$1)=$L$1,IF(INDIRECT("output_parsed_hero!u1:u"&amp;$B$1)="Dire",IF(INDIRECT("output_parsed_hero!j1:N"&amp;$B$1)=$L128,IF(INDIRECT("output_parsed_hero!D1:D"&amp;$B$1)=FALSE,1)))))</f>
        <v>0</v>
      </c>
      <c r="P128">
        <f t="shared" ca="1" si="20"/>
        <v>0</v>
      </c>
      <c r="Q128">
        <f t="array" aca="1" ref="Q128" ca="1">SUM(IF(INDIRECT("output_parsed_hero!t1:t"&amp;$B$1)=$L$1,IF(INDIRECT("output_parsed_hero!u1:u"&amp;$B$1)="Radiant",IF(INDIRECT("output_parsed_hero!j1:n"&amp;$B$1)=$L128,1))))+SUM(IF(INDIRECT("output_parsed_hero!t1:t"&amp;$B$1)=$L$1,IF(INDIRECT("output_parsed_hero!u1:u"&amp;$B$1)="Dire",IF(INDIRECT("output_parsed_hero!e1:i"&amp;$B$1)=$L128,1))))</f>
        <v>0</v>
      </c>
      <c r="R128">
        <f t="array" aca="1" ref="R128" ca="1">SUM(IF(INDIRECT("output_parsed_hero!t1:t"&amp;$B$1)=$L$1,IF(INDIRECT("output_parsed_hero!u1:u"&amp;$B$1)="Radiant",IF(INDIRECT("output_parsed_hero!j1:n"&amp;$B$1)=$L128,IF(INDIRECT("output_parsed_hero!D1:D"&amp;$B$1)=TRUE,1)))))+SUM(IF(INDIRECT("output_parsed_hero!t1:t"&amp;$B$1)=$L$1,IF(INDIRECT("output_parsed_hero!u1:u"&amp;$B$1)="Dire",IF(INDIRECT("output_parsed_hero!e1:i"&amp;$B$1)=$L128,IF(INDIRECT("output_parsed_hero!D1:D"&amp;$B$1)=FALSE,1)))))</f>
        <v>0</v>
      </c>
      <c r="S128">
        <f t="shared" ca="1" si="15"/>
        <v>0</v>
      </c>
    </row>
    <row r="129" spans="1:19" x14ac:dyDescent="0.3">
      <c r="A129">
        <f t="shared" si="18"/>
        <v>125</v>
      </c>
      <c r="B129" t="e">
        <f>VLOOKUP(A129,'hero names'!$S$7:$T$209,2,0)</f>
        <v>#N/A</v>
      </c>
      <c r="C129">
        <f t="array" aca="1" ref="C129" ca="1">COUNT(IF(INDIRECT("output_parsed!E1:N"&amp;$B$1)='Analysis backend'!$A129,INDIRECT("output_parsed!E1:N"&amp;$B$1)))</f>
        <v>0</v>
      </c>
      <c r="D129">
        <f t="array" aca="1" ref="D129" ca="1">COUNT(IF(INDIRECT("output_parsed!o1:s"&amp;$B$1)='Analysis backend'!$A129,INDIRECT("output_parsed!o1:s"&amp;$B$1)))</f>
        <v>0</v>
      </c>
      <c r="E129">
        <f t="shared" ca="1" si="17"/>
        <v>0</v>
      </c>
      <c r="F129">
        <f t="array" aca="1" ref="F129" ca="1">COUNT(IF(INDIRECT("output_parsed!D1:D"&amp;$B$1)=TRUE,IF(INDIRECT("output_parsed!E1:I"&amp;$B$1)='Analysis backend'!$A129,INDIRECT("output_parsed!E1:I"&amp;$B$1))))+COUNT(IF(INDIRECT("output_parsed!D1:D"&amp;$B$1)=FALSE,IF(INDIRECT("output_parsed!J1:N"&amp;$B$1)='Analysis backend'!$A129,INDIRECT("output_parsed!J1:N"&amp;$B$1))))</f>
        <v>0</v>
      </c>
      <c r="L129">
        <f t="shared" si="16"/>
        <v>124</v>
      </c>
      <c r="M129" t="e">
        <f t="shared" si="19"/>
        <v>#N/A</v>
      </c>
      <c r="N129">
        <f t="array" aca="1" ref="N129" ca="1">SUM(IF(INDIRECT("output_parsed_hero!t1:t"&amp;$B$1)=$L$1,IF(INDIRECT("output_parsed_hero!u1:u"&amp;$B$1)="Radiant",IF(INDIRECT("output_parsed_hero!E1:I"&amp;$B$1)=$L129,1))))+SUM(IF(INDIRECT("output_parsed_hero!t1:t"&amp;$B$1)=$L$1,IF(INDIRECT("output_parsed_hero!u1:u"&amp;$B$1)="Dire",IF(INDIRECT("output_parsed_hero!j1:n"&amp;$B$1)=$L129,1))))</f>
        <v>0</v>
      </c>
      <c r="O129">
        <f t="array" aca="1" ref="O129" ca="1">SUM(IF(INDIRECT("output_parsed_hero!t1:t"&amp;$B$1)=$L$1,IF(INDIRECT("output_parsed_hero!u1:u"&amp;$B$1)="Radiant",IF(INDIRECT("output_parsed_hero!E1:I"&amp;$B$1)=$L129,IF(INDIRECT("output_parsed_hero!D1:D"&amp;$B$1)=TRUE,1)))))+SUM(IF(INDIRECT("output_parsed_hero!t1:t"&amp;$B$1)=$L$1,IF(INDIRECT("output_parsed_hero!u1:u"&amp;$B$1)="Dire",IF(INDIRECT("output_parsed_hero!j1:N"&amp;$B$1)=$L129,IF(INDIRECT("output_parsed_hero!D1:D"&amp;$B$1)=FALSE,1)))))</f>
        <v>0</v>
      </c>
      <c r="P129">
        <f t="shared" ca="1" si="20"/>
        <v>0</v>
      </c>
      <c r="Q129">
        <f t="array" aca="1" ref="Q129" ca="1">SUM(IF(INDIRECT("output_parsed_hero!t1:t"&amp;$B$1)=$L$1,IF(INDIRECT("output_parsed_hero!u1:u"&amp;$B$1)="Radiant",IF(INDIRECT("output_parsed_hero!j1:n"&amp;$B$1)=$L129,1))))+SUM(IF(INDIRECT("output_parsed_hero!t1:t"&amp;$B$1)=$L$1,IF(INDIRECT("output_parsed_hero!u1:u"&amp;$B$1)="Dire",IF(INDIRECT("output_parsed_hero!e1:i"&amp;$B$1)=$L129,1))))</f>
        <v>0</v>
      </c>
      <c r="R129">
        <f t="array" aca="1" ref="R129" ca="1">SUM(IF(INDIRECT("output_parsed_hero!t1:t"&amp;$B$1)=$L$1,IF(INDIRECT("output_parsed_hero!u1:u"&amp;$B$1)="Radiant",IF(INDIRECT("output_parsed_hero!j1:n"&amp;$B$1)=$L129,IF(INDIRECT("output_parsed_hero!D1:D"&amp;$B$1)=TRUE,1)))))+SUM(IF(INDIRECT("output_parsed_hero!t1:t"&amp;$B$1)=$L$1,IF(INDIRECT("output_parsed_hero!u1:u"&amp;$B$1)="Dire",IF(INDIRECT("output_parsed_hero!e1:i"&amp;$B$1)=$L129,IF(INDIRECT("output_parsed_hero!D1:D"&amp;$B$1)=FALSE,1)))))</f>
        <v>0</v>
      </c>
      <c r="S129">
        <f t="shared" ca="1" si="15"/>
        <v>0</v>
      </c>
    </row>
    <row r="130" spans="1:19" x14ac:dyDescent="0.3">
      <c r="A130">
        <f t="shared" si="18"/>
        <v>126</v>
      </c>
      <c r="B130" t="e">
        <f>VLOOKUP(A130,'hero names'!$S$7:$T$209,2,0)</f>
        <v>#N/A</v>
      </c>
      <c r="C130">
        <f t="array" aca="1" ref="C130" ca="1">COUNT(IF(INDIRECT("output_parsed!E1:N"&amp;$B$1)='Analysis backend'!$A130,INDIRECT("output_parsed!E1:N"&amp;$B$1)))</f>
        <v>0</v>
      </c>
      <c r="D130">
        <f t="array" aca="1" ref="D130" ca="1">COUNT(IF(INDIRECT("output_parsed!o1:s"&amp;$B$1)='Analysis backend'!$A130,INDIRECT("output_parsed!o1:s"&amp;$B$1)))</f>
        <v>0</v>
      </c>
      <c r="E130">
        <f t="shared" ca="1" si="17"/>
        <v>0</v>
      </c>
      <c r="F130">
        <f t="array" aca="1" ref="F130" ca="1">COUNT(IF(INDIRECT("output_parsed!D1:D"&amp;$B$1)=TRUE,IF(INDIRECT("output_parsed!E1:I"&amp;$B$1)='Analysis backend'!$A130,INDIRECT("output_parsed!E1:I"&amp;$B$1))))+COUNT(IF(INDIRECT("output_parsed!D1:D"&amp;$B$1)=FALSE,IF(INDIRECT("output_parsed!J1:N"&amp;$B$1)='Analysis backend'!$A130,INDIRECT("output_parsed!J1:N"&amp;$B$1))))</f>
        <v>0</v>
      </c>
      <c r="L130">
        <f t="shared" si="16"/>
        <v>125</v>
      </c>
      <c r="M130" t="e">
        <f t="shared" si="19"/>
        <v>#N/A</v>
      </c>
      <c r="N130">
        <f t="array" aca="1" ref="N130" ca="1">SUM(IF(INDIRECT("output_parsed_hero!t1:t"&amp;$B$1)=$L$1,IF(INDIRECT("output_parsed_hero!u1:u"&amp;$B$1)="Radiant",IF(INDIRECT("output_parsed_hero!E1:I"&amp;$B$1)=$L130,1))))+SUM(IF(INDIRECT("output_parsed_hero!t1:t"&amp;$B$1)=$L$1,IF(INDIRECT("output_parsed_hero!u1:u"&amp;$B$1)="Dire",IF(INDIRECT("output_parsed_hero!j1:n"&amp;$B$1)=$L130,1))))</f>
        <v>0</v>
      </c>
      <c r="O130">
        <f t="array" aca="1" ref="O130" ca="1">SUM(IF(INDIRECT("output_parsed_hero!t1:t"&amp;$B$1)=$L$1,IF(INDIRECT("output_parsed_hero!u1:u"&amp;$B$1)="Radiant",IF(INDIRECT("output_parsed_hero!E1:I"&amp;$B$1)=$L130,IF(INDIRECT("output_parsed_hero!D1:D"&amp;$B$1)=TRUE,1)))))+SUM(IF(INDIRECT("output_parsed_hero!t1:t"&amp;$B$1)=$L$1,IF(INDIRECT("output_parsed_hero!u1:u"&amp;$B$1)="Dire",IF(INDIRECT("output_parsed_hero!j1:N"&amp;$B$1)=$L130,IF(INDIRECT("output_parsed_hero!D1:D"&amp;$B$1)=FALSE,1)))))</f>
        <v>0</v>
      </c>
      <c r="P130">
        <f t="shared" ca="1" si="20"/>
        <v>0</v>
      </c>
      <c r="Q130">
        <f t="array" aca="1" ref="Q130" ca="1">SUM(IF(INDIRECT("output_parsed_hero!t1:t"&amp;$B$1)=$L$1,IF(INDIRECT("output_parsed_hero!u1:u"&amp;$B$1)="Radiant",IF(INDIRECT("output_parsed_hero!j1:n"&amp;$B$1)=$L130,1))))+SUM(IF(INDIRECT("output_parsed_hero!t1:t"&amp;$B$1)=$L$1,IF(INDIRECT("output_parsed_hero!u1:u"&amp;$B$1)="Dire",IF(INDIRECT("output_parsed_hero!e1:i"&amp;$B$1)=$L130,1))))</f>
        <v>0</v>
      </c>
      <c r="R130">
        <f t="array" aca="1" ref="R130" ca="1">SUM(IF(INDIRECT("output_parsed_hero!t1:t"&amp;$B$1)=$L$1,IF(INDIRECT("output_parsed_hero!u1:u"&amp;$B$1)="Radiant",IF(INDIRECT("output_parsed_hero!j1:n"&amp;$B$1)=$L130,IF(INDIRECT("output_parsed_hero!D1:D"&amp;$B$1)=TRUE,1)))))+SUM(IF(INDIRECT("output_parsed_hero!t1:t"&amp;$B$1)=$L$1,IF(INDIRECT("output_parsed_hero!u1:u"&amp;$B$1)="Dire",IF(INDIRECT("output_parsed_hero!e1:i"&amp;$B$1)=$L130,IF(INDIRECT("output_parsed_hero!D1:D"&amp;$B$1)=FALSE,1)))))</f>
        <v>0</v>
      </c>
      <c r="S130">
        <f t="shared" ca="1" si="15"/>
        <v>0</v>
      </c>
    </row>
    <row r="131" spans="1:19" x14ac:dyDescent="0.3">
      <c r="A131">
        <f t="shared" si="18"/>
        <v>127</v>
      </c>
      <c r="B131" t="e">
        <f>VLOOKUP(A131,'hero names'!$S$7:$T$209,2,0)</f>
        <v>#N/A</v>
      </c>
      <c r="C131">
        <f t="array" aca="1" ref="C131" ca="1">COUNT(IF(INDIRECT("output_parsed!E1:N"&amp;$B$1)='Analysis backend'!$A131,INDIRECT("output_parsed!E1:N"&amp;$B$1)))</f>
        <v>0</v>
      </c>
      <c r="D131">
        <f t="array" aca="1" ref="D131" ca="1">COUNT(IF(INDIRECT("output_parsed!o1:s"&amp;$B$1)='Analysis backend'!$A131,INDIRECT("output_parsed!o1:s"&amp;$B$1)))</f>
        <v>0</v>
      </c>
      <c r="E131">
        <f t="shared" ca="1" si="17"/>
        <v>0</v>
      </c>
      <c r="F131">
        <f t="array" aca="1" ref="F131" ca="1">COUNT(IF(INDIRECT("output_parsed!D1:D"&amp;$B$1)=TRUE,IF(INDIRECT("output_parsed!E1:I"&amp;$B$1)='Analysis backend'!$A131,INDIRECT("output_parsed!E1:I"&amp;$B$1))))+COUNT(IF(INDIRECT("output_parsed!D1:D"&amp;$B$1)=FALSE,IF(INDIRECT("output_parsed!J1:N"&amp;$B$1)='Analysis backend'!$A131,INDIRECT("output_parsed!J1:N"&amp;$B$1))))</f>
        <v>0</v>
      </c>
      <c r="L131">
        <f t="shared" si="16"/>
        <v>126</v>
      </c>
      <c r="M131" t="e">
        <f t="shared" si="19"/>
        <v>#N/A</v>
      </c>
      <c r="N131">
        <f t="array" aca="1" ref="N131" ca="1">SUM(IF(INDIRECT("output_parsed_hero!t1:t"&amp;$B$1)=$L$1,IF(INDIRECT("output_parsed_hero!u1:u"&amp;$B$1)="Radiant",IF(INDIRECT("output_parsed_hero!E1:I"&amp;$B$1)=$L131,1))))+SUM(IF(INDIRECT("output_parsed_hero!t1:t"&amp;$B$1)=$L$1,IF(INDIRECT("output_parsed_hero!u1:u"&amp;$B$1)="Dire",IF(INDIRECT("output_parsed_hero!j1:n"&amp;$B$1)=$L131,1))))</f>
        <v>0</v>
      </c>
      <c r="O131">
        <f t="array" aca="1" ref="O131" ca="1">SUM(IF(INDIRECT("output_parsed_hero!t1:t"&amp;$B$1)=$L$1,IF(INDIRECT("output_parsed_hero!u1:u"&amp;$B$1)="Radiant",IF(INDIRECT("output_parsed_hero!E1:I"&amp;$B$1)=$L131,IF(INDIRECT("output_parsed_hero!D1:D"&amp;$B$1)=TRUE,1)))))+SUM(IF(INDIRECT("output_parsed_hero!t1:t"&amp;$B$1)=$L$1,IF(INDIRECT("output_parsed_hero!u1:u"&amp;$B$1)="Dire",IF(INDIRECT("output_parsed_hero!j1:N"&amp;$B$1)=$L131,IF(INDIRECT("output_parsed_hero!D1:D"&amp;$B$1)=FALSE,1)))))</f>
        <v>0</v>
      </c>
      <c r="P131">
        <f t="shared" ca="1" si="20"/>
        <v>0</v>
      </c>
      <c r="Q131">
        <f t="array" aca="1" ref="Q131" ca="1">SUM(IF(INDIRECT("output_parsed_hero!t1:t"&amp;$B$1)=$L$1,IF(INDIRECT("output_parsed_hero!u1:u"&amp;$B$1)="Radiant",IF(INDIRECT("output_parsed_hero!j1:n"&amp;$B$1)=$L131,1))))+SUM(IF(INDIRECT("output_parsed_hero!t1:t"&amp;$B$1)=$L$1,IF(INDIRECT("output_parsed_hero!u1:u"&amp;$B$1)="Dire",IF(INDIRECT("output_parsed_hero!e1:i"&amp;$B$1)=$L131,1))))</f>
        <v>0</v>
      </c>
      <c r="R131">
        <f t="array" aca="1" ref="R131" ca="1">SUM(IF(INDIRECT("output_parsed_hero!t1:t"&amp;$B$1)=$L$1,IF(INDIRECT("output_parsed_hero!u1:u"&amp;$B$1)="Radiant",IF(INDIRECT("output_parsed_hero!j1:n"&amp;$B$1)=$L131,IF(INDIRECT("output_parsed_hero!D1:D"&amp;$B$1)=TRUE,1)))))+SUM(IF(INDIRECT("output_parsed_hero!t1:t"&amp;$B$1)=$L$1,IF(INDIRECT("output_parsed_hero!u1:u"&amp;$B$1)="Dire",IF(INDIRECT("output_parsed_hero!e1:i"&amp;$B$1)=$L131,IF(INDIRECT("output_parsed_hero!D1:D"&amp;$B$1)=FALSE,1)))))</f>
        <v>0</v>
      </c>
      <c r="S131">
        <f t="shared" ca="1" si="15"/>
        <v>0</v>
      </c>
    </row>
    <row r="132" spans="1:19" x14ac:dyDescent="0.3">
      <c r="A132">
        <f t="shared" si="18"/>
        <v>128</v>
      </c>
      <c r="B132" t="e">
        <f>VLOOKUP(A132,'hero names'!$S$7:$T$209,2,0)</f>
        <v>#N/A</v>
      </c>
      <c r="C132">
        <f t="array" aca="1" ref="C132" ca="1">COUNT(IF(INDIRECT("output_parsed!E1:N"&amp;$B$1)='Analysis backend'!$A132,INDIRECT("output_parsed!E1:N"&amp;$B$1)))</f>
        <v>0</v>
      </c>
      <c r="D132">
        <f t="array" aca="1" ref="D132" ca="1">COUNT(IF(INDIRECT("output_parsed!o1:s"&amp;$B$1)='Analysis backend'!$A132,INDIRECT("output_parsed!o1:s"&amp;$B$1)))</f>
        <v>0</v>
      </c>
      <c r="E132">
        <f t="shared" ca="1" si="17"/>
        <v>0</v>
      </c>
      <c r="F132">
        <f t="array" aca="1" ref="F132" ca="1">COUNT(IF(INDIRECT("output_parsed!D1:D"&amp;$B$1)=TRUE,IF(INDIRECT("output_parsed!E1:I"&amp;$B$1)='Analysis backend'!$A132,INDIRECT("output_parsed!E1:I"&amp;$B$1))))+COUNT(IF(INDIRECT("output_parsed!D1:D"&amp;$B$1)=FALSE,IF(INDIRECT("output_parsed!J1:N"&amp;$B$1)='Analysis backend'!$A132,INDIRECT("output_parsed!J1:N"&amp;$B$1))))</f>
        <v>0</v>
      </c>
      <c r="L132">
        <f t="shared" si="16"/>
        <v>127</v>
      </c>
      <c r="M132" t="e">
        <f t="shared" si="19"/>
        <v>#N/A</v>
      </c>
      <c r="N132">
        <f t="array" aca="1" ref="N132" ca="1">SUM(IF(INDIRECT("output_parsed_hero!t1:t"&amp;$B$1)=$L$1,IF(INDIRECT("output_parsed_hero!u1:u"&amp;$B$1)="Radiant",IF(INDIRECT("output_parsed_hero!E1:I"&amp;$B$1)=$L132,1))))+SUM(IF(INDIRECT("output_parsed_hero!t1:t"&amp;$B$1)=$L$1,IF(INDIRECT("output_parsed_hero!u1:u"&amp;$B$1)="Dire",IF(INDIRECT("output_parsed_hero!j1:n"&amp;$B$1)=$L132,1))))</f>
        <v>0</v>
      </c>
      <c r="O132">
        <f t="array" aca="1" ref="O132" ca="1">SUM(IF(INDIRECT("output_parsed_hero!t1:t"&amp;$B$1)=$L$1,IF(INDIRECT("output_parsed_hero!u1:u"&amp;$B$1)="Radiant",IF(INDIRECT("output_parsed_hero!E1:I"&amp;$B$1)=$L132,IF(INDIRECT("output_parsed_hero!D1:D"&amp;$B$1)=TRUE,1)))))+SUM(IF(INDIRECT("output_parsed_hero!t1:t"&amp;$B$1)=$L$1,IF(INDIRECT("output_parsed_hero!u1:u"&amp;$B$1)="Dire",IF(INDIRECT("output_parsed_hero!j1:N"&amp;$B$1)=$L132,IF(INDIRECT("output_parsed_hero!D1:D"&amp;$B$1)=FALSE,1)))))</f>
        <v>0</v>
      </c>
      <c r="P132">
        <f t="shared" ca="1" si="20"/>
        <v>0</v>
      </c>
      <c r="Q132">
        <f t="array" aca="1" ref="Q132" ca="1">SUM(IF(INDIRECT("output_parsed_hero!t1:t"&amp;$B$1)=$L$1,IF(INDIRECT("output_parsed_hero!u1:u"&amp;$B$1)="Radiant",IF(INDIRECT("output_parsed_hero!j1:n"&amp;$B$1)=$L132,1))))+SUM(IF(INDIRECT("output_parsed_hero!t1:t"&amp;$B$1)=$L$1,IF(INDIRECT("output_parsed_hero!u1:u"&amp;$B$1)="Dire",IF(INDIRECT("output_parsed_hero!e1:i"&amp;$B$1)=$L132,1))))</f>
        <v>0</v>
      </c>
      <c r="R132">
        <f t="array" aca="1" ref="R132" ca="1">SUM(IF(INDIRECT("output_parsed_hero!t1:t"&amp;$B$1)=$L$1,IF(INDIRECT("output_parsed_hero!u1:u"&amp;$B$1)="Radiant",IF(INDIRECT("output_parsed_hero!j1:n"&amp;$B$1)=$L132,IF(INDIRECT("output_parsed_hero!D1:D"&amp;$B$1)=TRUE,1)))))+SUM(IF(INDIRECT("output_parsed_hero!t1:t"&amp;$B$1)=$L$1,IF(INDIRECT("output_parsed_hero!u1:u"&amp;$B$1)="Dire",IF(INDIRECT("output_parsed_hero!e1:i"&amp;$B$1)=$L132,IF(INDIRECT("output_parsed_hero!D1:D"&amp;$B$1)=FALSE,1)))))</f>
        <v>0</v>
      </c>
      <c r="S132">
        <f t="shared" ca="1" si="15"/>
        <v>0</v>
      </c>
    </row>
    <row r="133" spans="1:19" x14ac:dyDescent="0.3">
      <c r="A133">
        <f t="shared" si="18"/>
        <v>129</v>
      </c>
      <c r="B133" t="e">
        <f>VLOOKUP(A133,'hero names'!$S$7:$T$209,2,0)</f>
        <v>#N/A</v>
      </c>
      <c r="C133">
        <f t="array" aca="1" ref="C133" ca="1">COUNT(IF(INDIRECT("output_parsed!E1:N"&amp;$B$1)='Analysis backend'!$A133,INDIRECT("output_parsed!E1:N"&amp;$B$1)))</f>
        <v>0</v>
      </c>
      <c r="D133">
        <f t="array" aca="1" ref="D133" ca="1">COUNT(IF(INDIRECT("output_parsed!o1:s"&amp;$B$1)='Analysis backend'!$A133,INDIRECT("output_parsed!o1:s"&amp;$B$1)))</f>
        <v>0</v>
      </c>
      <c r="E133">
        <f t="shared" ref="E133:E136" ca="1" si="21">D133+C133</f>
        <v>0</v>
      </c>
      <c r="F133">
        <f t="array" aca="1" ref="F133" ca="1">COUNT(IF(INDIRECT("output_parsed!D1:D"&amp;$B$1)=TRUE,IF(INDIRECT("output_parsed!E1:I"&amp;$B$1)='Analysis backend'!$A133,INDIRECT("output_parsed!E1:I"&amp;$B$1))))+COUNT(IF(INDIRECT("output_parsed!D1:D"&amp;$B$1)=FALSE,IF(INDIRECT("output_parsed!J1:N"&amp;$B$1)='Analysis backend'!$A133,INDIRECT("output_parsed!J1:N"&amp;$B$1))))</f>
        <v>0</v>
      </c>
      <c r="L133">
        <f t="shared" si="16"/>
        <v>128</v>
      </c>
      <c r="M133" t="e">
        <f t="shared" si="19"/>
        <v>#N/A</v>
      </c>
      <c r="N133">
        <f t="array" aca="1" ref="N133" ca="1">SUM(IF(INDIRECT("output_parsed_hero!t1:t"&amp;$B$1)=$L$1,IF(INDIRECT("output_parsed_hero!u1:u"&amp;$B$1)="Radiant",IF(INDIRECT("output_parsed_hero!E1:I"&amp;$B$1)=$L133,1))))+SUM(IF(INDIRECT("output_parsed_hero!t1:t"&amp;$B$1)=$L$1,IF(INDIRECT("output_parsed_hero!u1:u"&amp;$B$1)="Dire",IF(INDIRECT("output_parsed_hero!j1:n"&amp;$B$1)=$L133,1))))</f>
        <v>0</v>
      </c>
      <c r="O133">
        <f t="array" aca="1" ref="O133" ca="1">SUM(IF(INDIRECT("output_parsed_hero!t1:t"&amp;$B$1)=$L$1,IF(INDIRECT("output_parsed_hero!u1:u"&amp;$B$1)="Radiant",IF(INDIRECT("output_parsed_hero!E1:I"&amp;$B$1)=$L133,IF(INDIRECT("output_parsed_hero!D1:D"&amp;$B$1)=TRUE,1)))))+SUM(IF(INDIRECT("output_parsed_hero!t1:t"&amp;$B$1)=$L$1,IF(INDIRECT("output_parsed_hero!u1:u"&amp;$B$1)="Dire",IF(INDIRECT("output_parsed_hero!j1:N"&amp;$B$1)=$L133,IF(INDIRECT("output_parsed_hero!D1:D"&amp;$B$1)=FALSE,1)))))</f>
        <v>0</v>
      </c>
      <c r="P133">
        <f t="shared" ca="1" si="20"/>
        <v>0</v>
      </c>
      <c r="Q133">
        <f t="array" aca="1" ref="Q133" ca="1">SUM(IF(INDIRECT("output_parsed_hero!t1:t"&amp;$B$1)=$L$1,IF(INDIRECT("output_parsed_hero!u1:u"&amp;$B$1)="Radiant",IF(INDIRECT("output_parsed_hero!j1:n"&amp;$B$1)=$L133,1))))+SUM(IF(INDIRECT("output_parsed_hero!t1:t"&amp;$B$1)=$L$1,IF(INDIRECT("output_parsed_hero!u1:u"&amp;$B$1)="Dire",IF(INDIRECT("output_parsed_hero!e1:i"&amp;$B$1)=$L133,1))))</f>
        <v>0</v>
      </c>
      <c r="R133">
        <f t="array" aca="1" ref="R133" ca="1">SUM(IF(INDIRECT("output_parsed_hero!t1:t"&amp;$B$1)=$L$1,IF(INDIRECT("output_parsed_hero!u1:u"&amp;$B$1)="Radiant",IF(INDIRECT("output_parsed_hero!j1:n"&amp;$B$1)=$L133,IF(INDIRECT("output_parsed_hero!D1:D"&amp;$B$1)=TRUE,1)))))+SUM(IF(INDIRECT("output_parsed_hero!t1:t"&amp;$B$1)=$L$1,IF(INDIRECT("output_parsed_hero!u1:u"&amp;$B$1)="Dire",IF(INDIRECT("output_parsed_hero!e1:i"&amp;$B$1)=$L133,IF(INDIRECT("output_parsed_hero!D1:D"&amp;$B$1)=FALSE,1)))))</f>
        <v>0</v>
      </c>
      <c r="S133">
        <f t="shared" ca="1" si="15"/>
        <v>0</v>
      </c>
    </row>
    <row r="134" spans="1:19" x14ac:dyDescent="0.3">
      <c r="A134">
        <f t="shared" si="18"/>
        <v>130</v>
      </c>
      <c r="B134" t="e">
        <f>VLOOKUP(A134,'hero names'!$S$7:$T$209,2,0)</f>
        <v>#N/A</v>
      </c>
      <c r="C134">
        <f t="array" aca="1" ref="C134" ca="1">COUNT(IF(INDIRECT("output_parsed!E1:N"&amp;$B$1)='Analysis backend'!$A134,INDIRECT("output_parsed!E1:N"&amp;$B$1)))</f>
        <v>0</v>
      </c>
      <c r="D134">
        <f t="array" aca="1" ref="D134" ca="1">COUNT(IF(INDIRECT("output_parsed!o1:s"&amp;$B$1)='Analysis backend'!$A134,INDIRECT("output_parsed!o1:s"&amp;$B$1)))</f>
        <v>0</v>
      </c>
      <c r="E134">
        <f t="shared" ca="1" si="21"/>
        <v>0</v>
      </c>
      <c r="F134">
        <f t="array" aca="1" ref="F134" ca="1">COUNT(IF(INDIRECT("output_parsed!D1:D"&amp;$B$1)=TRUE,IF(INDIRECT("output_parsed!E1:I"&amp;$B$1)='Analysis backend'!$A134,INDIRECT("output_parsed!E1:I"&amp;$B$1))))+COUNT(IF(INDIRECT("output_parsed!D1:D"&amp;$B$1)=FALSE,IF(INDIRECT("output_parsed!J1:N"&amp;$B$1)='Analysis backend'!$A134,INDIRECT("output_parsed!J1:N"&amp;$B$1))))</f>
        <v>0</v>
      </c>
      <c r="L134">
        <f t="shared" si="16"/>
        <v>129</v>
      </c>
      <c r="M134" t="e">
        <f t="shared" si="19"/>
        <v>#N/A</v>
      </c>
      <c r="N134">
        <f t="array" aca="1" ref="N134" ca="1">SUM(IF(INDIRECT("output_parsed_hero!t1:t"&amp;$B$1)=$L$1,IF(INDIRECT("output_parsed_hero!u1:u"&amp;$B$1)="Radiant",IF(INDIRECT("output_parsed_hero!E1:I"&amp;$B$1)=$L134,1))))+SUM(IF(INDIRECT("output_parsed_hero!t1:t"&amp;$B$1)=$L$1,IF(INDIRECT("output_parsed_hero!u1:u"&amp;$B$1)="Dire",IF(INDIRECT("output_parsed_hero!j1:n"&amp;$B$1)=$L134,1))))</f>
        <v>0</v>
      </c>
      <c r="O134">
        <f t="array" aca="1" ref="O134" ca="1">SUM(IF(INDIRECT("output_parsed_hero!t1:t"&amp;$B$1)=$L$1,IF(INDIRECT("output_parsed_hero!u1:u"&amp;$B$1)="Radiant",IF(INDIRECT("output_parsed_hero!E1:I"&amp;$B$1)=$L134,IF(INDIRECT("output_parsed_hero!D1:D"&amp;$B$1)=TRUE,1)))))+SUM(IF(INDIRECT("output_parsed_hero!t1:t"&amp;$B$1)=$L$1,IF(INDIRECT("output_parsed_hero!u1:u"&amp;$B$1)="Dire",IF(INDIRECT("output_parsed_hero!j1:N"&amp;$B$1)=$L134,IF(INDIRECT("output_parsed_hero!D1:D"&amp;$B$1)=FALSE,1)))))</f>
        <v>0</v>
      </c>
      <c r="P134">
        <f t="shared" ref="P134:P137" ca="1" si="22">IF(ISERROR(O134/N134),0,O134/N134)</f>
        <v>0</v>
      </c>
      <c r="Q134">
        <f t="array" aca="1" ref="Q134" ca="1">SUM(IF(INDIRECT("output_parsed_hero!t1:t"&amp;$B$1)=$L$1,IF(INDIRECT("output_parsed_hero!u1:u"&amp;$B$1)="Radiant",IF(INDIRECT("output_parsed_hero!j1:n"&amp;$B$1)=$L134,1))))+SUM(IF(INDIRECT("output_parsed_hero!t1:t"&amp;$B$1)=$L$1,IF(INDIRECT("output_parsed_hero!u1:u"&amp;$B$1)="Dire",IF(INDIRECT("output_parsed_hero!e1:i"&amp;$B$1)=$L134,1))))</f>
        <v>0</v>
      </c>
      <c r="R134">
        <f t="array" aca="1" ref="R134" ca="1">SUM(IF(INDIRECT("output_parsed_hero!t1:t"&amp;$B$1)=$L$1,IF(INDIRECT("output_parsed_hero!u1:u"&amp;$B$1)="Radiant",IF(INDIRECT("output_parsed_hero!j1:n"&amp;$B$1)=$L134,IF(INDIRECT("output_parsed_hero!D1:D"&amp;$B$1)=TRUE,1)))))+SUM(IF(INDIRECT("output_parsed_hero!t1:t"&amp;$B$1)=$L$1,IF(INDIRECT("output_parsed_hero!u1:u"&amp;$B$1)="Dire",IF(INDIRECT("output_parsed_hero!e1:i"&amp;$B$1)=$L134,IF(INDIRECT("output_parsed_hero!D1:D"&amp;$B$1)=FALSE,1)))))</f>
        <v>0</v>
      </c>
      <c r="S134">
        <f t="shared" ref="S134:S137" ca="1" si="23">IF(ISERROR(R134/Q134),0,R134/Q134)</f>
        <v>0</v>
      </c>
    </row>
    <row r="135" spans="1:19" x14ac:dyDescent="0.3">
      <c r="A135">
        <f t="shared" si="18"/>
        <v>131</v>
      </c>
      <c r="B135" t="e">
        <f>VLOOKUP(A135,'hero names'!$S$7:$T$209,2,0)</f>
        <v>#N/A</v>
      </c>
      <c r="C135">
        <f t="array" aca="1" ref="C135" ca="1">COUNT(IF(INDIRECT("output_parsed!E1:N"&amp;$B$1)='Analysis backend'!$A135,INDIRECT("output_parsed!E1:N"&amp;$B$1)))</f>
        <v>0</v>
      </c>
      <c r="D135">
        <f t="array" aca="1" ref="D135" ca="1">COUNT(IF(INDIRECT("output_parsed!o1:s"&amp;$B$1)='Analysis backend'!$A135,INDIRECT("output_parsed!o1:s"&amp;$B$1)))</f>
        <v>0</v>
      </c>
      <c r="E135">
        <f t="shared" ca="1" si="21"/>
        <v>0</v>
      </c>
      <c r="F135">
        <f t="array" aca="1" ref="F135" ca="1">COUNT(IF(INDIRECT("output_parsed!D1:D"&amp;$B$1)=TRUE,IF(INDIRECT("output_parsed!E1:I"&amp;$B$1)='Analysis backend'!$A135,INDIRECT("output_parsed!E1:I"&amp;$B$1))))+COUNT(IF(INDIRECT("output_parsed!D1:D"&amp;$B$1)=FALSE,IF(INDIRECT("output_parsed!J1:N"&amp;$B$1)='Analysis backend'!$A135,INDIRECT("output_parsed!J1:N"&amp;$B$1))))</f>
        <v>0</v>
      </c>
      <c r="L135">
        <f t="shared" si="16"/>
        <v>130</v>
      </c>
      <c r="M135" t="e">
        <f t="shared" si="19"/>
        <v>#N/A</v>
      </c>
      <c r="N135">
        <f t="array" aca="1" ref="N135" ca="1">SUM(IF(INDIRECT("output_parsed_hero!t1:t"&amp;$B$1)=$L$1,IF(INDIRECT("output_parsed_hero!u1:u"&amp;$B$1)="Radiant",IF(INDIRECT("output_parsed_hero!E1:I"&amp;$B$1)=$L135,1))))+SUM(IF(INDIRECT("output_parsed_hero!t1:t"&amp;$B$1)=$L$1,IF(INDIRECT("output_parsed_hero!u1:u"&amp;$B$1)="Dire",IF(INDIRECT("output_parsed_hero!j1:n"&amp;$B$1)=$L135,1))))</f>
        <v>0</v>
      </c>
      <c r="O135">
        <f t="array" aca="1" ref="O135" ca="1">SUM(IF(INDIRECT("output_parsed_hero!t1:t"&amp;$B$1)=$L$1,IF(INDIRECT("output_parsed_hero!u1:u"&amp;$B$1)="Radiant",IF(INDIRECT("output_parsed_hero!E1:I"&amp;$B$1)=$L135,IF(INDIRECT("output_parsed_hero!D1:D"&amp;$B$1)=TRUE,1)))))+SUM(IF(INDIRECT("output_parsed_hero!t1:t"&amp;$B$1)=$L$1,IF(INDIRECT("output_parsed_hero!u1:u"&amp;$B$1)="Dire",IF(INDIRECT("output_parsed_hero!j1:N"&amp;$B$1)=$L135,IF(INDIRECT("output_parsed_hero!D1:D"&amp;$B$1)=FALSE,1)))))</f>
        <v>0</v>
      </c>
      <c r="P135">
        <f t="shared" ca="1" si="22"/>
        <v>0</v>
      </c>
      <c r="Q135">
        <f t="array" aca="1" ref="Q135" ca="1">SUM(IF(INDIRECT("output_parsed_hero!t1:t"&amp;$B$1)=$L$1,IF(INDIRECT("output_parsed_hero!u1:u"&amp;$B$1)="Radiant",IF(INDIRECT("output_parsed_hero!j1:n"&amp;$B$1)=$L135,1))))+SUM(IF(INDIRECT("output_parsed_hero!t1:t"&amp;$B$1)=$L$1,IF(INDIRECT("output_parsed_hero!u1:u"&amp;$B$1)="Dire",IF(INDIRECT("output_parsed_hero!e1:i"&amp;$B$1)=$L135,1))))</f>
        <v>0</v>
      </c>
      <c r="R135">
        <f t="array" aca="1" ref="R135" ca="1">SUM(IF(INDIRECT("output_parsed_hero!t1:t"&amp;$B$1)=$L$1,IF(INDIRECT("output_parsed_hero!u1:u"&amp;$B$1)="Radiant",IF(INDIRECT("output_parsed_hero!j1:n"&amp;$B$1)=$L135,IF(INDIRECT("output_parsed_hero!D1:D"&amp;$B$1)=TRUE,1)))))+SUM(IF(INDIRECT("output_parsed_hero!t1:t"&amp;$B$1)=$L$1,IF(INDIRECT("output_parsed_hero!u1:u"&amp;$B$1)="Dire",IF(INDIRECT("output_parsed_hero!e1:i"&amp;$B$1)=$L135,IF(INDIRECT("output_parsed_hero!D1:D"&amp;$B$1)=FALSE,1)))))</f>
        <v>0</v>
      </c>
      <c r="S135">
        <f t="shared" ca="1" si="23"/>
        <v>0</v>
      </c>
    </row>
    <row r="136" spans="1:19" x14ac:dyDescent="0.3">
      <c r="A136">
        <f t="shared" si="18"/>
        <v>132</v>
      </c>
      <c r="B136" t="e">
        <f>VLOOKUP(A136,'hero names'!$S$7:$T$209,2,0)</f>
        <v>#N/A</v>
      </c>
      <c r="C136">
        <f t="array" aca="1" ref="C136" ca="1">COUNT(IF(INDIRECT("output_parsed!E1:N"&amp;$B$1)='Analysis backend'!$A136,INDIRECT("output_parsed!E1:N"&amp;$B$1)))</f>
        <v>0</v>
      </c>
      <c r="D136">
        <f t="array" aca="1" ref="D136" ca="1">COUNT(IF(INDIRECT("output_parsed!o1:s"&amp;$B$1)='Analysis backend'!$A136,INDIRECT("output_parsed!o1:s"&amp;$B$1)))</f>
        <v>0</v>
      </c>
      <c r="E136">
        <f t="shared" ca="1" si="21"/>
        <v>0</v>
      </c>
      <c r="F136">
        <f t="array" aca="1" ref="F136" ca="1">COUNT(IF(INDIRECT("output_parsed!D1:D"&amp;$B$1)=TRUE,IF(INDIRECT("output_parsed!E1:I"&amp;$B$1)='Analysis backend'!$A136,INDIRECT("output_parsed!E1:I"&amp;$B$1))))+COUNT(IF(INDIRECT("output_parsed!D1:D"&amp;$B$1)=FALSE,IF(INDIRECT("output_parsed!J1:N"&amp;$B$1)='Analysis backend'!$A136,INDIRECT("output_parsed!J1:N"&amp;$B$1))))</f>
        <v>0</v>
      </c>
      <c r="L136">
        <f>L135+1</f>
        <v>131</v>
      </c>
      <c r="M136" t="e">
        <f t="shared" si="19"/>
        <v>#N/A</v>
      </c>
      <c r="N136">
        <f t="array" aca="1" ref="N136" ca="1">SUM(IF(INDIRECT("output_parsed_hero!t1:t"&amp;$B$1)=$L$1,IF(INDIRECT("output_parsed_hero!u1:u"&amp;$B$1)="Radiant",IF(INDIRECT("output_parsed_hero!E1:I"&amp;$B$1)=$L136,1))))+SUM(IF(INDIRECT("output_parsed_hero!t1:t"&amp;$B$1)=$L$1,IF(INDIRECT("output_parsed_hero!u1:u"&amp;$B$1)="Dire",IF(INDIRECT("output_parsed_hero!j1:n"&amp;$B$1)=$L136,1))))</f>
        <v>0</v>
      </c>
      <c r="O136">
        <f t="array" aca="1" ref="O136" ca="1">SUM(IF(INDIRECT("output_parsed_hero!t1:t"&amp;$B$1)=$L$1,IF(INDIRECT("output_parsed_hero!u1:u"&amp;$B$1)="Radiant",IF(INDIRECT("output_parsed_hero!E1:I"&amp;$B$1)=$L136,IF(INDIRECT("output_parsed_hero!D1:D"&amp;$B$1)=TRUE,1)))))+SUM(IF(INDIRECT("output_parsed_hero!t1:t"&amp;$B$1)=$L$1,IF(INDIRECT("output_parsed_hero!u1:u"&amp;$B$1)="Dire",IF(INDIRECT("output_parsed_hero!j1:N"&amp;$B$1)=$L136,IF(INDIRECT("output_parsed_hero!D1:D"&amp;$B$1)=FALSE,1)))))</f>
        <v>0</v>
      </c>
      <c r="P136">
        <f t="shared" ca="1" si="22"/>
        <v>0</v>
      </c>
      <c r="Q136">
        <f t="array" aca="1" ref="Q136" ca="1">SUM(IF(INDIRECT("output_parsed_hero!t1:t"&amp;$B$1)=$L$1,IF(INDIRECT("output_parsed_hero!u1:u"&amp;$B$1)="Radiant",IF(INDIRECT("output_parsed_hero!j1:n"&amp;$B$1)=$L136,1))))+SUM(IF(INDIRECT("output_parsed_hero!t1:t"&amp;$B$1)=$L$1,IF(INDIRECT("output_parsed_hero!u1:u"&amp;$B$1)="Dire",IF(INDIRECT("output_parsed_hero!e1:i"&amp;$B$1)=$L136,1))))</f>
        <v>0</v>
      </c>
      <c r="R136">
        <f t="array" aca="1" ref="R136" ca="1">SUM(IF(INDIRECT("output_parsed_hero!t1:t"&amp;$B$1)=$L$1,IF(INDIRECT("output_parsed_hero!u1:u"&amp;$B$1)="Radiant",IF(INDIRECT("output_parsed_hero!j1:n"&amp;$B$1)=$L136,IF(INDIRECT("output_parsed_hero!D1:D"&amp;$B$1)=TRUE,1)))))+SUM(IF(INDIRECT("output_parsed_hero!t1:t"&amp;$B$1)=$L$1,IF(INDIRECT("output_parsed_hero!u1:u"&amp;$B$1)="Dire",IF(INDIRECT("output_parsed_hero!e1:i"&amp;$B$1)=$L136,IF(INDIRECT("output_parsed_hero!D1:D"&amp;$B$1)=FALSE,1)))))</f>
        <v>0</v>
      </c>
      <c r="S136">
        <f t="shared" ca="1" si="23"/>
        <v>0</v>
      </c>
    </row>
    <row r="137" spans="1:19" x14ac:dyDescent="0.3">
      <c r="L137">
        <f>L136+1</f>
        <v>132</v>
      </c>
      <c r="M137" t="e">
        <f t="shared" si="19"/>
        <v>#N/A</v>
      </c>
      <c r="N137">
        <f t="array" aca="1" ref="N137" ca="1">SUM(IF(INDIRECT("output_parsed_hero!t1:t"&amp;$B$1)=$L$1,IF(INDIRECT("output_parsed_hero!u1:u"&amp;$B$1)="Radiant",IF(INDIRECT("output_parsed_hero!E1:I"&amp;$B$1)=$L137,1))))+SUM(IF(INDIRECT("output_parsed_hero!t1:t"&amp;$B$1)=$L$1,IF(INDIRECT("output_parsed_hero!u1:u"&amp;$B$1)="Dire",IF(INDIRECT("output_parsed_hero!j1:n"&amp;$B$1)=$L137,1))))</f>
        <v>0</v>
      </c>
      <c r="O137">
        <f t="array" aca="1" ref="O137" ca="1">SUM(IF(INDIRECT("output_parsed_hero!t1:t"&amp;$B$1)=$L$1,IF(INDIRECT("output_parsed_hero!u1:u"&amp;$B$1)="Radiant",IF(INDIRECT("output_parsed_hero!E1:I"&amp;$B$1)=$L137,IF(INDIRECT("output_parsed_hero!D1:D"&amp;$B$1)=TRUE,1)))))+SUM(IF(INDIRECT("output_parsed_hero!t1:t"&amp;$B$1)=$L$1,IF(INDIRECT("output_parsed_hero!u1:u"&amp;$B$1)="Dire",IF(INDIRECT("output_parsed_hero!j1:N"&amp;$B$1)=$L137,IF(INDIRECT("output_parsed_hero!D1:D"&amp;$B$1)=FALSE,1)))))</f>
        <v>0</v>
      </c>
      <c r="P137">
        <f t="shared" ca="1" si="22"/>
        <v>0</v>
      </c>
      <c r="Q137">
        <f t="array" aca="1" ref="Q137" ca="1">SUM(IF(INDIRECT("output_parsed_hero!t1:t"&amp;$B$1)=$L$1,IF(INDIRECT("output_parsed_hero!u1:u"&amp;$B$1)="Radiant",IF(INDIRECT("output_parsed_hero!j1:n"&amp;$B$1)=$L137,1))))+SUM(IF(INDIRECT("output_parsed_hero!t1:t"&amp;$B$1)=$L$1,IF(INDIRECT("output_parsed_hero!u1:u"&amp;$B$1)="Dire",IF(INDIRECT("output_parsed_hero!e1:i"&amp;$B$1)=$L137,1))))</f>
        <v>0</v>
      </c>
      <c r="R137">
        <f t="array" aca="1" ref="R137" ca="1">SUM(IF(INDIRECT("output_parsed_hero!t1:t"&amp;$B$1)=$L$1,IF(INDIRECT("output_parsed_hero!u1:u"&amp;$B$1)="Radiant",IF(INDIRECT("output_parsed_hero!j1:n"&amp;$B$1)=$L137,IF(INDIRECT("output_parsed_hero!D1:D"&amp;$B$1)=TRUE,1)))))+SUM(IF(INDIRECT("output_parsed_hero!t1:t"&amp;$B$1)=$L$1,IF(INDIRECT("output_parsed_hero!u1:u"&amp;$B$1)="Dire",IF(INDIRECT("output_parsed_hero!e1:i"&amp;$B$1)=$L137,IF(INDIRECT("output_parsed_hero!D1:D"&amp;$B$1)=FALSE,1)))))</f>
        <v>0</v>
      </c>
      <c r="S137">
        <f t="shared" ca="1" si="23"/>
        <v>0</v>
      </c>
    </row>
  </sheetData>
  <sortState ref="Z5:Z136">
    <sortCondition ref="Z5:Z136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88"/>
  <sheetViews>
    <sheetView workbookViewId="0">
      <selection sqref="A1:S1048576"/>
    </sheetView>
  </sheetViews>
  <sheetFormatPr defaultRowHeight="14.4" x14ac:dyDescent="0.3"/>
  <cols>
    <col min="1" max="1" width="11" bestFit="1" customWidth="1"/>
    <col min="2" max="2" width="14.6640625" bestFit="1" customWidth="1"/>
    <col min="3" max="3" width="5.44140625" bestFit="1" customWidth="1"/>
    <col min="4" max="4" width="11.109375" bestFit="1" customWidth="1"/>
    <col min="5" max="13" width="8" bestFit="1" customWidth="1"/>
    <col min="14" max="14" width="9" bestFit="1" customWidth="1"/>
    <col min="15" max="19" width="6.88671875" bestFit="1" customWidth="1"/>
  </cols>
  <sheetData>
    <row r="1" spans="1:1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">
      <c r="A2">
        <v>4255766288</v>
      </c>
      <c r="B2" s="1">
        <v>43439.537499999999</v>
      </c>
      <c r="C2">
        <v>7339</v>
      </c>
      <c r="D2" t="b">
        <v>1</v>
      </c>
      <c r="E2">
        <v>41</v>
      </c>
      <c r="F2">
        <v>44</v>
      </c>
      <c r="G2">
        <v>121</v>
      </c>
      <c r="H2">
        <v>21</v>
      </c>
      <c r="I2">
        <v>45</v>
      </c>
      <c r="J2">
        <v>9</v>
      </c>
      <c r="K2">
        <v>1</v>
      </c>
      <c r="L2">
        <v>101</v>
      </c>
      <c r="M2">
        <v>31</v>
      </c>
      <c r="N2">
        <v>78</v>
      </c>
      <c r="O2">
        <v>114</v>
      </c>
    </row>
    <row r="3" spans="1:19" x14ac:dyDescent="0.3">
      <c r="A3">
        <v>4255759761</v>
      </c>
      <c r="B3" s="1">
        <v>43439.536111111112</v>
      </c>
      <c r="C3">
        <v>7246</v>
      </c>
      <c r="D3" t="b">
        <v>0</v>
      </c>
      <c r="E3">
        <v>23</v>
      </c>
      <c r="F3">
        <v>86</v>
      </c>
      <c r="G3">
        <v>31</v>
      </c>
      <c r="H3">
        <v>98</v>
      </c>
      <c r="I3">
        <v>44</v>
      </c>
      <c r="J3">
        <v>26</v>
      </c>
      <c r="K3">
        <v>97</v>
      </c>
      <c r="L3">
        <v>50</v>
      </c>
      <c r="M3">
        <v>36</v>
      </c>
      <c r="N3">
        <v>101</v>
      </c>
      <c r="O3">
        <v>89</v>
      </c>
      <c r="P3">
        <v>83</v>
      </c>
    </row>
    <row r="4" spans="1:19" x14ac:dyDescent="0.3">
      <c r="A4">
        <v>4255735189</v>
      </c>
      <c r="B4" s="1">
        <v>43439.525694444441</v>
      </c>
      <c r="C4">
        <v>7093</v>
      </c>
      <c r="D4" t="b">
        <v>1</v>
      </c>
      <c r="E4">
        <v>69</v>
      </c>
      <c r="F4">
        <v>8</v>
      </c>
      <c r="G4">
        <v>86</v>
      </c>
      <c r="H4">
        <v>112</v>
      </c>
      <c r="I4">
        <v>45</v>
      </c>
      <c r="J4">
        <v>47</v>
      </c>
      <c r="K4">
        <v>16</v>
      </c>
      <c r="L4">
        <v>31</v>
      </c>
      <c r="M4">
        <v>100</v>
      </c>
      <c r="N4">
        <v>1</v>
      </c>
      <c r="O4">
        <v>97</v>
      </c>
      <c r="P4">
        <v>44</v>
      </c>
      <c r="Q4">
        <v>38</v>
      </c>
    </row>
    <row r="5" spans="1:19" x14ac:dyDescent="0.3">
      <c r="A5">
        <v>4255743598</v>
      </c>
      <c r="B5" s="1">
        <v>43439.52847222222</v>
      </c>
      <c r="C5">
        <v>6988</v>
      </c>
      <c r="D5" t="b">
        <v>0</v>
      </c>
      <c r="E5">
        <v>19</v>
      </c>
      <c r="F5">
        <v>121</v>
      </c>
      <c r="G5">
        <v>44</v>
      </c>
      <c r="H5">
        <v>65</v>
      </c>
      <c r="I5">
        <v>111</v>
      </c>
      <c r="J5">
        <v>114</v>
      </c>
      <c r="K5">
        <v>27</v>
      </c>
      <c r="L5">
        <v>95</v>
      </c>
      <c r="M5">
        <v>112</v>
      </c>
      <c r="N5">
        <v>23</v>
      </c>
      <c r="O5">
        <v>97</v>
      </c>
      <c r="P5">
        <v>61</v>
      </c>
    </row>
    <row r="6" spans="1:19" x14ac:dyDescent="0.3">
      <c r="A6">
        <v>4255751251</v>
      </c>
      <c r="B6" s="1">
        <v>43439.53125</v>
      </c>
      <c r="C6">
        <v>6944</v>
      </c>
      <c r="D6" t="b">
        <v>1</v>
      </c>
      <c r="E6">
        <v>85</v>
      </c>
      <c r="F6">
        <v>112</v>
      </c>
      <c r="G6">
        <v>38</v>
      </c>
      <c r="H6">
        <v>34</v>
      </c>
      <c r="I6">
        <v>93</v>
      </c>
      <c r="J6">
        <v>44</v>
      </c>
      <c r="K6">
        <v>11</v>
      </c>
      <c r="L6">
        <v>79</v>
      </c>
      <c r="M6">
        <v>97</v>
      </c>
      <c r="N6">
        <v>86</v>
      </c>
      <c r="O6">
        <v>50</v>
      </c>
    </row>
    <row r="7" spans="1:19" x14ac:dyDescent="0.3">
      <c r="A7">
        <v>4255745320</v>
      </c>
      <c r="B7" s="1">
        <v>43439.529861111114</v>
      </c>
      <c r="C7">
        <v>6863</v>
      </c>
      <c r="D7" t="b">
        <v>0</v>
      </c>
      <c r="E7">
        <v>28</v>
      </c>
      <c r="F7">
        <v>3</v>
      </c>
      <c r="G7">
        <v>1</v>
      </c>
      <c r="H7">
        <v>35</v>
      </c>
      <c r="I7">
        <v>86</v>
      </c>
      <c r="J7">
        <v>50</v>
      </c>
      <c r="K7">
        <v>31</v>
      </c>
      <c r="L7">
        <v>42</v>
      </c>
      <c r="M7">
        <v>84</v>
      </c>
      <c r="N7">
        <v>106</v>
      </c>
      <c r="O7">
        <v>78</v>
      </c>
      <c r="P7">
        <v>97</v>
      </c>
      <c r="Q7">
        <v>61</v>
      </c>
    </row>
    <row r="8" spans="1:19" x14ac:dyDescent="0.3">
      <c r="A8">
        <v>4255766472</v>
      </c>
      <c r="B8" s="1">
        <v>43439.537499999999</v>
      </c>
      <c r="C8">
        <v>6947</v>
      </c>
    </row>
    <row r="9" spans="1:19" x14ac:dyDescent="0.3">
      <c r="A9">
        <v>4255768009</v>
      </c>
      <c r="B9" s="1">
        <v>43439.538888888892</v>
      </c>
      <c r="C9">
        <v>7019</v>
      </c>
      <c r="D9" t="b">
        <v>1</v>
      </c>
      <c r="E9">
        <v>75</v>
      </c>
      <c r="F9">
        <v>71</v>
      </c>
      <c r="G9">
        <v>74</v>
      </c>
      <c r="H9">
        <v>29</v>
      </c>
      <c r="I9">
        <v>44</v>
      </c>
      <c r="J9">
        <v>2</v>
      </c>
      <c r="K9">
        <v>27</v>
      </c>
      <c r="L9">
        <v>23</v>
      </c>
      <c r="M9">
        <v>101</v>
      </c>
      <c r="N9">
        <v>41</v>
      </c>
      <c r="O9">
        <v>97</v>
      </c>
      <c r="P9">
        <v>85</v>
      </c>
    </row>
    <row r="10" spans="1:19" x14ac:dyDescent="0.3">
      <c r="A10">
        <v>4255746546</v>
      </c>
      <c r="B10" s="1">
        <v>43439.529861111114</v>
      </c>
      <c r="C10">
        <v>6982</v>
      </c>
      <c r="D10" t="b">
        <v>1</v>
      </c>
      <c r="E10">
        <v>28</v>
      </c>
      <c r="F10">
        <v>57</v>
      </c>
      <c r="G10">
        <v>15</v>
      </c>
      <c r="H10">
        <v>27</v>
      </c>
      <c r="I10">
        <v>93</v>
      </c>
      <c r="J10">
        <v>86</v>
      </c>
      <c r="K10">
        <v>45</v>
      </c>
      <c r="L10">
        <v>41</v>
      </c>
      <c r="M10">
        <v>101</v>
      </c>
      <c r="N10">
        <v>23</v>
      </c>
      <c r="O10">
        <v>50</v>
      </c>
      <c r="P10">
        <v>97</v>
      </c>
    </row>
    <row r="11" spans="1:19" x14ac:dyDescent="0.3">
      <c r="A11">
        <v>4255781049</v>
      </c>
      <c r="B11" s="1">
        <v>43439.543055555558</v>
      </c>
      <c r="C11">
        <v>6935</v>
      </c>
      <c r="D11" t="b">
        <v>1</v>
      </c>
      <c r="E11">
        <v>79</v>
      </c>
      <c r="F11">
        <v>109</v>
      </c>
      <c r="G11">
        <v>19</v>
      </c>
      <c r="H11">
        <v>114</v>
      </c>
      <c r="I11">
        <v>121</v>
      </c>
      <c r="J11">
        <v>50</v>
      </c>
      <c r="K11">
        <v>63</v>
      </c>
      <c r="L11">
        <v>59</v>
      </c>
      <c r="M11">
        <v>101</v>
      </c>
      <c r="N11">
        <v>41</v>
      </c>
      <c r="O11">
        <v>44</v>
      </c>
      <c r="P11">
        <v>78</v>
      </c>
      <c r="Q11">
        <v>97</v>
      </c>
    </row>
    <row r="12" spans="1:19" x14ac:dyDescent="0.3">
      <c r="A12">
        <v>4255790193</v>
      </c>
      <c r="B12" s="1">
        <v>43439.54791666667</v>
      </c>
      <c r="C12">
        <v>6873</v>
      </c>
      <c r="D12" t="b">
        <v>0</v>
      </c>
      <c r="E12">
        <v>105</v>
      </c>
      <c r="F12">
        <v>7</v>
      </c>
      <c r="G12">
        <v>41</v>
      </c>
      <c r="H12">
        <v>76</v>
      </c>
      <c r="I12">
        <v>63</v>
      </c>
      <c r="J12">
        <v>50</v>
      </c>
      <c r="K12">
        <v>95</v>
      </c>
      <c r="L12">
        <v>75</v>
      </c>
      <c r="M12">
        <v>86</v>
      </c>
      <c r="N12">
        <v>16</v>
      </c>
      <c r="O12">
        <v>88</v>
      </c>
      <c r="P12">
        <v>44</v>
      </c>
      <c r="Q12">
        <v>97</v>
      </c>
    </row>
    <row r="13" spans="1:19" x14ac:dyDescent="0.3">
      <c r="A13">
        <v>4255780442</v>
      </c>
      <c r="B13" s="1">
        <v>43439.543055555558</v>
      </c>
      <c r="C13">
        <v>6805</v>
      </c>
      <c r="D13" t="b">
        <v>0</v>
      </c>
      <c r="E13">
        <v>106</v>
      </c>
      <c r="F13">
        <v>71</v>
      </c>
      <c r="G13">
        <v>86</v>
      </c>
      <c r="H13">
        <v>45</v>
      </c>
      <c r="I13">
        <v>15</v>
      </c>
      <c r="J13">
        <v>31</v>
      </c>
      <c r="K13">
        <v>41</v>
      </c>
      <c r="L13">
        <v>97</v>
      </c>
      <c r="M13">
        <v>110</v>
      </c>
      <c r="N13">
        <v>114</v>
      </c>
      <c r="O13">
        <v>93</v>
      </c>
      <c r="P13">
        <v>44</v>
      </c>
    </row>
    <row r="14" spans="1:19" x14ac:dyDescent="0.3">
      <c r="A14">
        <v>4255808674</v>
      </c>
      <c r="B14" s="1">
        <v>43439.553472222222</v>
      </c>
      <c r="C14">
        <v>7316</v>
      </c>
      <c r="D14" t="b">
        <v>0</v>
      </c>
      <c r="E14">
        <v>114</v>
      </c>
      <c r="F14">
        <v>100</v>
      </c>
      <c r="G14">
        <v>50</v>
      </c>
      <c r="H14">
        <v>49</v>
      </c>
      <c r="I14">
        <v>40</v>
      </c>
      <c r="J14">
        <v>79</v>
      </c>
      <c r="K14">
        <v>7</v>
      </c>
      <c r="L14">
        <v>12</v>
      </c>
      <c r="M14">
        <v>15</v>
      </c>
      <c r="N14">
        <v>87</v>
      </c>
    </row>
    <row r="15" spans="1:19" x14ac:dyDescent="0.3">
      <c r="A15">
        <v>4255798867</v>
      </c>
      <c r="B15" s="1">
        <v>43439.550694444442</v>
      </c>
      <c r="C15">
        <v>7145</v>
      </c>
      <c r="D15" t="b">
        <v>1</v>
      </c>
      <c r="E15">
        <v>100</v>
      </c>
      <c r="F15">
        <v>44</v>
      </c>
      <c r="G15">
        <v>50</v>
      </c>
      <c r="H15">
        <v>121</v>
      </c>
      <c r="I15">
        <v>59</v>
      </c>
      <c r="J15">
        <v>1</v>
      </c>
      <c r="K15">
        <v>97</v>
      </c>
      <c r="L15">
        <v>83</v>
      </c>
      <c r="M15">
        <v>23</v>
      </c>
      <c r="N15">
        <v>86</v>
      </c>
      <c r="O15">
        <v>61</v>
      </c>
    </row>
    <row r="16" spans="1:19" x14ac:dyDescent="0.3">
      <c r="A16">
        <v>4255833275</v>
      </c>
      <c r="B16">
        <v>1544016768</v>
      </c>
      <c r="C16">
        <v>7687</v>
      </c>
      <c r="D16" t="b">
        <v>0</v>
      </c>
      <c r="E16">
        <v>86</v>
      </c>
      <c r="F16">
        <v>109</v>
      </c>
      <c r="G16">
        <v>31</v>
      </c>
      <c r="H16">
        <v>7</v>
      </c>
      <c r="I16">
        <v>95</v>
      </c>
      <c r="J16">
        <v>19</v>
      </c>
      <c r="K16">
        <v>8</v>
      </c>
      <c r="L16">
        <v>45</v>
      </c>
      <c r="M16">
        <v>74</v>
      </c>
      <c r="N16">
        <v>50</v>
      </c>
      <c r="O16">
        <v>23</v>
      </c>
      <c r="P16">
        <v>77</v>
      </c>
      <c r="Q16">
        <v>44</v>
      </c>
    </row>
    <row r="17" spans="1:17" x14ac:dyDescent="0.3">
      <c r="A17">
        <v>4255832396</v>
      </c>
      <c r="B17">
        <v>1544016640</v>
      </c>
      <c r="C17">
        <v>7138</v>
      </c>
      <c r="D17" t="b">
        <v>1</v>
      </c>
      <c r="E17">
        <v>94</v>
      </c>
      <c r="F17">
        <v>27</v>
      </c>
      <c r="G17">
        <v>121</v>
      </c>
      <c r="H17">
        <v>25</v>
      </c>
      <c r="I17">
        <v>84</v>
      </c>
      <c r="J17">
        <v>50</v>
      </c>
      <c r="K17">
        <v>45</v>
      </c>
      <c r="L17">
        <v>86</v>
      </c>
      <c r="M17">
        <v>44</v>
      </c>
      <c r="N17">
        <v>83</v>
      </c>
      <c r="O17">
        <v>100</v>
      </c>
      <c r="P17">
        <v>97</v>
      </c>
    </row>
    <row r="18" spans="1:17" x14ac:dyDescent="0.3">
      <c r="A18">
        <v>4255835347</v>
      </c>
      <c r="B18">
        <v>1544016768</v>
      </c>
      <c r="C18">
        <v>7113</v>
      </c>
      <c r="D18" t="b">
        <v>1</v>
      </c>
      <c r="E18">
        <v>97</v>
      </c>
      <c r="F18">
        <v>93</v>
      </c>
      <c r="G18">
        <v>26</v>
      </c>
      <c r="H18">
        <v>100</v>
      </c>
      <c r="I18">
        <v>45</v>
      </c>
      <c r="J18">
        <v>114</v>
      </c>
      <c r="K18">
        <v>44</v>
      </c>
      <c r="L18">
        <v>57</v>
      </c>
      <c r="M18">
        <v>39</v>
      </c>
      <c r="N18">
        <v>88</v>
      </c>
      <c r="O18">
        <v>86</v>
      </c>
    </row>
    <row r="19" spans="1:17" x14ac:dyDescent="0.3">
      <c r="A19">
        <v>4255823693</v>
      </c>
      <c r="B19">
        <v>1544016384</v>
      </c>
      <c r="C19">
        <v>6894</v>
      </c>
      <c r="D19" t="b">
        <v>1</v>
      </c>
      <c r="E19">
        <v>80</v>
      </c>
      <c r="F19">
        <v>103</v>
      </c>
      <c r="G19">
        <v>89</v>
      </c>
      <c r="H19">
        <v>78</v>
      </c>
      <c r="I19">
        <v>85</v>
      </c>
      <c r="J19">
        <v>27</v>
      </c>
      <c r="K19">
        <v>95</v>
      </c>
      <c r="L19">
        <v>100</v>
      </c>
      <c r="M19">
        <v>21</v>
      </c>
      <c r="N19">
        <v>110</v>
      </c>
      <c r="O19">
        <v>97</v>
      </c>
      <c r="P19">
        <v>10</v>
      </c>
      <c r="Q19">
        <v>44</v>
      </c>
    </row>
    <row r="20" spans="1:17" x14ac:dyDescent="0.3">
      <c r="A20">
        <v>4255844215</v>
      </c>
      <c r="B20">
        <v>1544017152</v>
      </c>
      <c r="C20">
        <v>7360</v>
      </c>
      <c r="D20" t="b">
        <v>1</v>
      </c>
      <c r="E20">
        <v>90</v>
      </c>
      <c r="F20">
        <v>1</v>
      </c>
      <c r="G20">
        <v>121</v>
      </c>
      <c r="H20">
        <v>97</v>
      </c>
      <c r="I20">
        <v>16</v>
      </c>
      <c r="J20">
        <v>114</v>
      </c>
      <c r="K20">
        <v>27</v>
      </c>
      <c r="L20">
        <v>53</v>
      </c>
      <c r="M20">
        <v>44</v>
      </c>
      <c r="N20">
        <v>62</v>
      </c>
      <c r="O20">
        <v>91</v>
      </c>
    </row>
    <row r="21" spans="1:17" x14ac:dyDescent="0.3">
      <c r="A21">
        <v>4255858506</v>
      </c>
      <c r="B21">
        <v>1544017536</v>
      </c>
      <c r="C21">
        <v>6986</v>
      </c>
      <c r="D21" t="b">
        <v>1</v>
      </c>
      <c r="E21">
        <v>16</v>
      </c>
      <c r="F21">
        <v>53</v>
      </c>
      <c r="G21">
        <v>41</v>
      </c>
      <c r="H21">
        <v>51</v>
      </c>
      <c r="I21">
        <v>78</v>
      </c>
      <c r="J21">
        <v>93</v>
      </c>
      <c r="K21">
        <v>31</v>
      </c>
      <c r="L21">
        <v>13</v>
      </c>
      <c r="M21">
        <v>62</v>
      </c>
      <c r="N21">
        <v>98</v>
      </c>
      <c r="O21">
        <v>44</v>
      </c>
      <c r="P21">
        <v>59</v>
      </c>
    </row>
    <row r="22" spans="1:17" x14ac:dyDescent="0.3">
      <c r="A22">
        <v>4255860370</v>
      </c>
      <c r="B22">
        <v>1544017664</v>
      </c>
      <c r="C22">
        <v>6924</v>
      </c>
    </row>
    <row r="23" spans="1:17" x14ac:dyDescent="0.3">
      <c r="A23">
        <v>4255893912</v>
      </c>
      <c r="B23">
        <v>1544018688</v>
      </c>
      <c r="C23">
        <v>7167</v>
      </c>
      <c r="D23" t="b">
        <v>1</v>
      </c>
      <c r="E23">
        <v>1</v>
      </c>
      <c r="F23">
        <v>31</v>
      </c>
      <c r="G23">
        <v>7</v>
      </c>
      <c r="H23">
        <v>45</v>
      </c>
      <c r="I23">
        <v>97</v>
      </c>
      <c r="J23">
        <v>76</v>
      </c>
      <c r="K23">
        <v>121</v>
      </c>
      <c r="L23">
        <v>41</v>
      </c>
      <c r="M23">
        <v>38</v>
      </c>
      <c r="N23">
        <v>86</v>
      </c>
      <c r="O23">
        <v>105</v>
      </c>
    </row>
    <row r="24" spans="1:17" x14ac:dyDescent="0.3">
      <c r="A24">
        <v>4255876090</v>
      </c>
      <c r="B24">
        <v>1544018176</v>
      </c>
      <c r="C24">
        <v>7005</v>
      </c>
      <c r="D24" t="b">
        <v>1</v>
      </c>
      <c r="E24">
        <v>31</v>
      </c>
      <c r="F24">
        <v>4</v>
      </c>
      <c r="G24">
        <v>100</v>
      </c>
      <c r="H24">
        <v>22</v>
      </c>
      <c r="I24">
        <v>28</v>
      </c>
      <c r="J24">
        <v>10</v>
      </c>
      <c r="K24">
        <v>16</v>
      </c>
      <c r="L24">
        <v>26</v>
      </c>
      <c r="M24">
        <v>34</v>
      </c>
      <c r="N24">
        <v>86</v>
      </c>
      <c r="O24">
        <v>93</v>
      </c>
      <c r="P24">
        <v>44</v>
      </c>
    </row>
    <row r="25" spans="1:17" x14ac:dyDescent="0.3">
      <c r="A25">
        <v>4255891168</v>
      </c>
      <c r="B25">
        <v>1544018688</v>
      </c>
      <c r="C25">
        <v>7065</v>
      </c>
      <c r="D25" t="b">
        <v>0</v>
      </c>
      <c r="E25">
        <v>97</v>
      </c>
      <c r="F25">
        <v>106</v>
      </c>
      <c r="G25">
        <v>76</v>
      </c>
      <c r="H25">
        <v>2</v>
      </c>
      <c r="I25">
        <v>111</v>
      </c>
      <c r="J25">
        <v>85</v>
      </c>
      <c r="K25">
        <v>29</v>
      </c>
      <c r="L25">
        <v>10</v>
      </c>
      <c r="M25">
        <v>11</v>
      </c>
      <c r="N25">
        <v>50</v>
      </c>
      <c r="O25">
        <v>44</v>
      </c>
    </row>
    <row r="26" spans="1:17" x14ac:dyDescent="0.3">
      <c r="A26">
        <v>4255850575</v>
      </c>
      <c r="B26">
        <v>1544017280</v>
      </c>
      <c r="C26">
        <v>6902</v>
      </c>
      <c r="D26" t="b">
        <v>0</v>
      </c>
      <c r="E26">
        <v>44</v>
      </c>
      <c r="F26">
        <v>97</v>
      </c>
      <c r="G26">
        <v>68</v>
      </c>
      <c r="H26">
        <v>23</v>
      </c>
      <c r="I26">
        <v>108</v>
      </c>
      <c r="J26">
        <v>31</v>
      </c>
      <c r="K26">
        <v>121</v>
      </c>
      <c r="L26">
        <v>6</v>
      </c>
      <c r="M26">
        <v>93</v>
      </c>
      <c r="N26">
        <v>69</v>
      </c>
      <c r="O26">
        <v>61</v>
      </c>
      <c r="P26">
        <v>85</v>
      </c>
    </row>
    <row r="27" spans="1:17" x14ac:dyDescent="0.3">
      <c r="A27">
        <v>4255909431</v>
      </c>
      <c r="B27">
        <v>1544019200</v>
      </c>
      <c r="C27">
        <v>7604</v>
      </c>
      <c r="D27" t="b">
        <v>1</v>
      </c>
      <c r="E27">
        <v>44</v>
      </c>
      <c r="F27">
        <v>100</v>
      </c>
      <c r="G27">
        <v>16</v>
      </c>
      <c r="H27">
        <v>76</v>
      </c>
      <c r="I27">
        <v>86</v>
      </c>
      <c r="J27">
        <v>78</v>
      </c>
      <c r="K27">
        <v>26</v>
      </c>
      <c r="L27">
        <v>95</v>
      </c>
      <c r="M27">
        <v>7</v>
      </c>
      <c r="N27">
        <v>97</v>
      </c>
      <c r="O27">
        <v>112</v>
      </c>
    </row>
    <row r="28" spans="1:17" x14ac:dyDescent="0.3">
      <c r="A28">
        <v>4255900664</v>
      </c>
      <c r="B28">
        <v>1544018944</v>
      </c>
      <c r="C28">
        <v>7144</v>
      </c>
      <c r="D28" t="b">
        <v>0</v>
      </c>
      <c r="E28">
        <v>78</v>
      </c>
      <c r="F28">
        <v>44</v>
      </c>
      <c r="G28">
        <v>75</v>
      </c>
      <c r="H28">
        <v>114</v>
      </c>
      <c r="I28">
        <v>85</v>
      </c>
      <c r="J28">
        <v>109</v>
      </c>
      <c r="K28">
        <v>83</v>
      </c>
      <c r="L28">
        <v>97</v>
      </c>
      <c r="M28">
        <v>77</v>
      </c>
      <c r="N28">
        <v>25</v>
      </c>
      <c r="O28">
        <v>34</v>
      </c>
      <c r="P28">
        <v>50</v>
      </c>
    </row>
    <row r="29" spans="1:17" x14ac:dyDescent="0.3">
      <c r="A29">
        <v>4255902095</v>
      </c>
      <c r="B29">
        <v>1544018944</v>
      </c>
      <c r="C29">
        <v>7111</v>
      </c>
      <c r="D29" t="b">
        <v>0</v>
      </c>
      <c r="E29">
        <v>38</v>
      </c>
      <c r="F29">
        <v>76</v>
      </c>
      <c r="G29">
        <v>91</v>
      </c>
      <c r="H29">
        <v>45</v>
      </c>
      <c r="I29">
        <v>86</v>
      </c>
      <c r="J29">
        <v>23</v>
      </c>
      <c r="K29">
        <v>1</v>
      </c>
      <c r="L29">
        <v>103</v>
      </c>
      <c r="M29">
        <v>85</v>
      </c>
      <c r="N29">
        <v>16</v>
      </c>
      <c r="O29">
        <v>53</v>
      </c>
      <c r="P29">
        <v>44</v>
      </c>
      <c r="Q29">
        <v>2</v>
      </c>
    </row>
    <row r="30" spans="1:17" x14ac:dyDescent="0.3">
      <c r="A30">
        <v>4255906591</v>
      </c>
      <c r="B30">
        <v>1544019200</v>
      </c>
      <c r="C30">
        <v>7108</v>
      </c>
      <c r="D30" t="b">
        <v>0</v>
      </c>
      <c r="E30">
        <v>56</v>
      </c>
      <c r="F30">
        <v>101</v>
      </c>
      <c r="G30">
        <v>2</v>
      </c>
      <c r="H30">
        <v>4</v>
      </c>
      <c r="I30">
        <v>121</v>
      </c>
      <c r="J30">
        <v>90</v>
      </c>
      <c r="K30">
        <v>22</v>
      </c>
      <c r="L30">
        <v>97</v>
      </c>
      <c r="M30">
        <v>64</v>
      </c>
      <c r="N30">
        <v>44</v>
      </c>
      <c r="O30">
        <v>34</v>
      </c>
    </row>
    <row r="31" spans="1:17" x14ac:dyDescent="0.3">
      <c r="A31">
        <v>4255930223</v>
      </c>
      <c r="B31">
        <v>1544019968</v>
      </c>
      <c r="C31">
        <v>7232</v>
      </c>
      <c r="D31" t="b">
        <v>0</v>
      </c>
      <c r="E31">
        <v>9</v>
      </c>
      <c r="F31">
        <v>1</v>
      </c>
      <c r="G31">
        <v>101</v>
      </c>
      <c r="H31">
        <v>91</v>
      </c>
      <c r="I31">
        <v>78</v>
      </c>
      <c r="J31">
        <v>13</v>
      </c>
      <c r="K31">
        <v>80</v>
      </c>
      <c r="L31">
        <v>121</v>
      </c>
      <c r="M31">
        <v>50</v>
      </c>
      <c r="N31">
        <v>107</v>
      </c>
      <c r="O31">
        <v>44</v>
      </c>
      <c r="P31">
        <v>97</v>
      </c>
    </row>
    <row r="32" spans="1:17" x14ac:dyDescent="0.3">
      <c r="A32">
        <v>4255944539</v>
      </c>
      <c r="B32">
        <v>1544020352</v>
      </c>
      <c r="C32">
        <v>7146</v>
      </c>
      <c r="D32" t="b">
        <v>1</v>
      </c>
      <c r="E32">
        <v>78</v>
      </c>
      <c r="F32">
        <v>39</v>
      </c>
      <c r="G32">
        <v>50</v>
      </c>
      <c r="H32">
        <v>44</v>
      </c>
      <c r="I32">
        <v>86</v>
      </c>
      <c r="J32">
        <v>109</v>
      </c>
      <c r="K32">
        <v>97</v>
      </c>
      <c r="L32">
        <v>7</v>
      </c>
      <c r="M32">
        <v>3</v>
      </c>
      <c r="N32">
        <v>87</v>
      </c>
      <c r="O32">
        <v>82</v>
      </c>
    </row>
    <row r="33" spans="1:17" x14ac:dyDescent="0.3">
      <c r="A33">
        <v>4255955300</v>
      </c>
      <c r="B33">
        <v>1544020736</v>
      </c>
      <c r="C33">
        <v>7075</v>
      </c>
      <c r="D33" t="b">
        <v>1</v>
      </c>
      <c r="E33">
        <v>97</v>
      </c>
      <c r="F33">
        <v>46</v>
      </c>
      <c r="G33">
        <v>26</v>
      </c>
      <c r="H33">
        <v>114</v>
      </c>
      <c r="I33">
        <v>38</v>
      </c>
      <c r="J33">
        <v>86</v>
      </c>
      <c r="K33">
        <v>6</v>
      </c>
      <c r="L33">
        <v>27</v>
      </c>
      <c r="M33">
        <v>16</v>
      </c>
      <c r="N33">
        <v>35</v>
      </c>
      <c r="O33">
        <v>76</v>
      </c>
      <c r="P33">
        <v>121</v>
      </c>
      <c r="Q33">
        <v>44</v>
      </c>
    </row>
    <row r="34" spans="1:17" x14ac:dyDescent="0.3">
      <c r="A34">
        <v>4255987496</v>
      </c>
      <c r="B34">
        <v>1544021888</v>
      </c>
      <c r="C34">
        <v>7202</v>
      </c>
      <c r="D34" t="b">
        <v>0</v>
      </c>
      <c r="E34">
        <v>91</v>
      </c>
      <c r="F34">
        <v>1</v>
      </c>
      <c r="G34">
        <v>45</v>
      </c>
      <c r="H34">
        <v>114</v>
      </c>
      <c r="I34">
        <v>86</v>
      </c>
      <c r="J34">
        <v>19</v>
      </c>
      <c r="K34">
        <v>37</v>
      </c>
      <c r="L34">
        <v>63</v>
      </c>
      <c r="M34">
        <v>100</v>
      </c>
      <c r="N34">
        <v>41</v>
      </c>
      <c r="O34">
        <v>80</v>
      </c>
      <c r="P34">
        <v>110</v>
      </c>
      <c r="Q34">
        <v>44</v>
      </c>
    </row>
    <row r="35" spans="1:17" x14ac:dyDescent="0.3">
      <c r="A35">
        <v>4255973983</v>
      </c>
      <c r="B35">
        <v>1544021376</v>
      </c>
      <c r="C35">
        <v>7028</v>
      </c>
      <c r="D35" t="b">
        <v>1</v>
      </c>
      <c r="E35">
        <v>50</v>
      </c>
      <c r="F35">
        <v>1</v>
      </c>
      <c r="G35">
        <v>100</v>
      </c>
      <c r="H35">
        <v>26</v>
      </c>
      <c r="I35">
        <v>22</v>
      </c>
      <c r="J35">
        <v>69</v>
      </c>
      <c r="K35">
        <v>8</v>
      </c>
      <c r="L35">
        <v>82</v>
      </c>
      <c r="M35">
        <v>31</v>
      </c>
      <c r="N35">
        <v>62</v>
      </c>
      <c r="O35">
        <v>97</v>
      </c>
      <c r="P35">
        <v>80</v>
      </c>
    </row>
    <row r="36" spans="1:17" x14ac:dyDescent="0.3">
      <c r="A36">
        <v>4255990367</v>
      </c>
      <c r="B36">
        <v>1544022016</v>
      </c>
      <c r="C36">
        <v>7234</v>
      </c>
      <c r="D36" t="b">
        <v>1</v>
      </c>
      <c r="E36">
        <v>53</v>
      </c>
      <c r="F36">
        <v>76</v>
      </c>
      <c r="G36">
        <v>50</v>
      </c>
      <c r="H36">
        <v>95</v>
      </c>
      <c r="I36">
        <v>7</v>
      </c>
      <c r="J36">
        <v>9</v>
      </c>
      <c r="K36">
        <v>1</v>
      </c>
      <c r="L36">
        <v>46</v>
      </c>
      <c r="M36">
        <v>14</v>
      </c>
      <c r="N36">
        <v>31</v>
      </c>
      <c r="O36">
        <v>44</v>
      </c>
      <c r="P36">
        <v>82</v>
      </c>
      <c r="Q36">
        <v>57</v>
      </c>
    </row>
    <row r="37" spans="1:17" x14ac:dyDescent="0.3">
      <c r="A37">
        <v>4256000928</v>
      </c>
      <c r="B37">
        <v>1544022400</v>
      </c>
      <c r="C37">
        <v>7033</v>
      </c>
      <c r="D37" t="b">
        <v>1</v>
      </c>
      <c r="E37">
        <v>40</v>
      </c>
      <c r="F37">
        <v>64</v>
      </c>
      <c r="G37">
        <v>93</v>
      </c>
      <c r="H37">
        <v>77</v>
      </c>
      <c r="I37">
        <v>100</v>
      </c>
      <c r="J37">
        <v>101</v>
      </c>
      <c r="K37">
        <v>111</v>
      </c>
      <c r="L37">
        <v>23</v>
      </c>
      <c r="M37">
        <v>38</v>
      </c>
      <c r="N37">
        <v>10</v>
      </c>
      <c r="O37">
        <v>121</v>
      </c>
      <c r="P37">
        <v>114</v>
      </c>
      <c r="Q37">
        <v>44</v>
      </c>
    </row>
    <row r="38" spans="1:17" x14ac:dyDescent="0.3">
      <c r="A38">
        <v>4255934941</v>
      </c>
      <c r="B38">
        <v>1544020096</v>
      </c>
      <c r="C38">
        <v>7016</v>
      </c>
      <c r="D38" t="b">
        <v>1</v>
      </c>
      <c r="E38">
        <v>85</v>
      </c>
      <c r="F38">
        <v>25</v>
      </c>
      <c r="G38">
        <v>97</v>
      </c>
      <c r="H38">
        <v>44</v>
      </c>
      <c r="I38">
        <v>13</v>
      </c>
      <c r="J38">
        <v>100</v>
      </c>
      <c r="K38">
        <v>38</v>
      </c>
      <c r="L38">
        <v>34</v>
      </c>
      <c r="M38">
        <v>67</v>
      </c>
      <c r="N38">
        <v>91</v>
      </c>
      <c r="O38">
        <v>93</v>
      </c>
    </row>
    <row r="39" spans="1:17" x14ac:dyDescent="0.3">
      <c r="A39">
        <v>4255968403</v>
      </c>
      <c r="B39">
        <v>1544021248</v>
      </c>
      <c r="C39">
        <v>6992</v>
      </c>
      <c r="D39" t="b">
        <v>0</v>
      </c>
      <c r="E39">
        <v>75</v>
      </c>
      <c r="F39">
        <v>50</v>
      </c>
      <c r="G39">
        <v>19</v>
      </c>
      <c r="H39">
        <v>41</v>
      </c>
      <c r="I39">
        <v>121</v>
      </c>
      <c r="J39">
        <v>31</v>
      </c>
      <c r="K39">
        <v>45</v>
      </c>
      <c r="L39">
        <v>97</v>
      </c>
      <c r="M39">
        <v>100</v>
      </c>
      <c r="N39">
        <v>1</v>
      </c>
      <c r="O39">
        <v>82</v>
      </c>
      <c r="P39">
        <v>44</v>
      </c>
      <c r="Q39">
        <v>89</v>
      </c>
    </row>
    <row r="40" spans="1:17" x14ac:dyDescent="0.3">
      <c r="A40">
        <v>4255974175</v>
      </c>
      <c r="B40">
        <v>1544021376</v>
      </c>
      <c r="C40">
        <v>7001</v>
      </c>
      <c r="D40" t="b">
        <v>0</v>
      </c>
      <c r="E40">
        <v>86</v>
      </c>
      <c r="F40">
        <v>89</v>
      </c>
      <c r="G40">
        <v>97</v>
      </c>
      <c r="H40">
        <v>31</v>
      </c>
      <c r="I40">
        <v>76</v>
      </c>
      <c r="J40">
        <v>1</v>
      </c>
      <c r="K40">
        <v>55</v>
      </c>
      <c r="L40">
        <v>114</v>
      </c>
      <c r="M40">
        <v>112</v>
      </c>
      <c r="N40">
        <v>71</v>
      </c>
      <c r="O40">
        <v>44</v>
      </c>
      <c r="P40">
        <v>2</v>
      </c>
    </row>
    <row r="41" spans="1:17" x14ac:dyDescent="0.3">
      <c r="A41">
        <v>4255978626</v>
      </c>
      <c r="B41">
        <v>1544021632</v>
      </c>
      <c r="C41">
        <v>6937</v>
      </c>
      <c r="D41" t="b">
        <v>0</v>
      </c>
      <c r="E41">
        <v>5</v>
      </c>
      <c r="F41">
        <v>78</v>
      </c>
      <c r="G41">
        <v>1</v>
      </c>
      <c r="H41">
        <v>76</v>
      </c>
      <c r="I41">
        <v>100</v>
      </c>
      <c r="J41">
        <v>62</v>
      </c>
      <c r="K41">
        <v>109</v>
      </c>
      <c r="L41">
        <v>111</v>
      </c>
      <c r="M41">
        <v>90</v>
      </c>
      <c r="N41">
        <v>113</v>
      </c>
      <c r="O41">
        <v>44</v>
      </c>
      <c r="P41">
        <v>33</v>
      </c>
      <c r="Q41">
        <v>6</v>
      </c>
    </row>
    <row r="42" spans="1:17" x14ac:dyDescent="0.3">
      <c r="A42">
        <v>4256004691</v>
      </c>
      <c r="B42">
        <v>1544022528</v>
      </c>
      <c r="C42">
        <v>6923</v>
      </c>
      <c r="D42" t="b">
        <v>1</v>
      </c>
      <c r="E42">
        <v>121</v>
      </c>
      <c r="F42">
        <v>86</v>
      </c>
      <c r="G42">
        <v>44</v>
      </c>
      <c r="H42">
        <v>2</v>
      </c>
      <c r="I42">
        <v>25</v>
      </c>
      <c r="J42">
        <v>27</v>
      </c>
      <c r="K42">
        <v>100</v>
      </c>
      <c r="L42">
        <v>1</v>
      </c>
      <c r="M42">
        <v>98</v>
      </c>
      <c r="N42">
        <v>34</v>
      </c>
      <c r="O42">
        <v>114</v>
      </c>
      <c r="P42">
        <v>50</v>
      </c>
      <c r="Q42">
        <v>97</v>
      </c>
    </row>
    <row r="43" spans="1:17" x14ac:dyDescent="0.3">
      <c r="A43">
        <v>4256027377</v>
      </c>
      <c r="B43">
        <v>1544023296</v>
      </c>
      <c r="C43">
        <v>6951</v>
      </c>
      <c r="D43" t="b">
        <v>0</v>
      </c>
      <c r="E43">
        <v>13</v>
      </c>
      <c r="F43">
        <v>91</v>
      </c>
      <c r="G43">
        <v>67</v>
      </c>
      <c r="H43">
        <v>50</v>
      </c>
      <c r="I43">
        <v>97</v>
      </c>
      <c r="J43">
        <v>90</v>
      </c>
      <c r="K43">
        <v>23</v>
      </c>
      <c r="L43">
        <v>44</v>
      </c>
      <c r="M43">
        <v>16</v>
      </c>
      <c r="N43">
        <v>14</v>
      </c>
      <c r="O43">
        <v>93</v>
      </c>
    </row>
    <row r="44" spans="1:17" x14ac:dyDescent="0.3">
      <c r="A44">
        <v>4256045553</v>
      </c>
      <c r="B44">
        <v>1544023936</v>
      </c>
      <c r="C44">
        <v>7123</v>
      </c>
      <c r="D44" t="b">
        <v>1</v>
      </c>
      <c r="E44">
        <v>48</v>
      </c>
      <c r="F44">
        <v>71</v>
      </c>
      <c r="G44">
        <v>86</v>
      </c>
      <c r="H44">
        <v>55</v>
      </c>
      <c r="I44">
        <v>16</v>
      </c>
      <c r="J44">
        <v>26</v>
      </c>
      <c r="K44">
        <v>29</v>
      </c>
      <c r="L44">
        <v>27</v>
      </c>
      <c r="M44">
        <v>95</v>
      </c>
      <c r="N44">
        <v>80</v>
      </c>
      <c r="O44">
        <v>93</v>
      </c>
      <c r="P44">
        <v>106</v>
      </c>
    </row>
    <row r="45" spans="1:17" x14ac:dyDescent="0.3">
      <c r="A45">
        <v>4256046128</v>
      </c>
      <c r="B45">
        <v>1544024064</v>
      </c>
      <c r="C45">
        <v>7188</v>
      </c>
      <c r="D45" t="b">
        <v>1</v>
      </c>
      <c r="E45">
        <v>88</v>
      </c>
      <c r="F45">
        <v>44</v>
      </c>
      <c r="G45">
        <v>121</v>
      </c>
      <c r="H45">
        <v>50</v>
      </c>
      <c r="I45">
        <v>76</v>
      </c>
      <c r="J45">
        <v>1</v>
      </c>
      <c r="K45">
        <v>14</v>
      </c>
      <c r="L45">
        <v>97</v>
      </c>
      <c r="M45">
        <v>19</v>
      </c>
      <c r="N45">
        <v>31</v>
      </c>
      <c r="O45">
        <v>86</v>
      </c>
      <c r="P45">
        <v>93</v>
      </c>
    </row>
    <row r="46" spans="1:17" x14ac:dyDescent="0.3">
      <c r="A46">
        <v>4256043315</v>
      </c>
      <c r="B46">
        <v>1544023936</v>
      </c>
      <c r="C46">
        <v>7036</v>
      </c>
      <c r="D46" t="b">
        <v>0</v>
      </c>
      <c r="E46">
        <v>11</v>
      </c>
      <c r="F46">
        <v>121</v>
      </c>
      <c r="G46">
        <v>93</v>
      </c>
      <c r="H46">
        <v>96</v>
      </c>
      <c r="I46">
        <v>91</v>
      </c>
      <c r="J46">
        <v>44</v>
      </c>
      <c r="K46">
        <v>97</v>
      </c>
      <c r="L46">
        <v>86</v>
      </c>
      <c r="M46">
        <v>119</v>
      </c>
      <c r="N46">
        <v>112</v>
      </c>
      <c r="O46">
        <v>19</v>
      </c>
      <c r="P46">
        <v>16</v>
      </c>
    </row>
    <row r="47" spans="1:17" x14ac:dyDescent="0.3">
      <c r="A47">
        <v>4256017942</v>
      </c>
      <c r="B47">
        <v>1544022912</v>
      </c>
      <c r="C47">
        <v>6918</v>
      </c>
      <c r="D47" t="b">
        <v>0</v>
      </c>
      <c r="E47">
        <v>72</v>
      </c>
      <c r="F47">
        <v>25</v>
      </c>
      <c r="G47">
        <v>32</v>
      </c>
      <c r="H47">
        <v>53</v>
      </c>
      <c r="I47">
        <v>91</v>
      </c>
      <c r="J47">
        <v>41</v>
      </c>
      <c r="K47">
        <v>87</v>
      </c>
      <c r="L47">
        <v>34</v>
      </c>
      <c r="M47">
        <v>9</v>
      </c>
      <c r="N47">
        <v>112</v>
      </c>
      <c r="O47">
        <v>97</v>
      </c>
      <c r="P47">
        <v>44</v>
      </c>
    </row>
    <row r="48" spans="1:17" x14ac:dyDescent="0.3">
      <c r="A48">
        <v>4256062415</v>
      </c>
      <c r="B48">
        <v>1544024576</v>
      </c>
      <c r="C48">
        <v>7174</v>
      </c>
      <c r="D48" t="b">
        <v>1</v>
      </c>
      <c r="E48">
        <v>38</v>
      </c>
      <c r="F48">
        <v>106</v>
      </c>
      <c r="G48">
        <v>26</v>
      </c>
      <c r="H48">
        <v>62</v>
      </c>
      <c r="I48">
        <v>44</v>
      </c>
      <c r="J48">
        <v>107</v>
      </c>
      <c r="K48">
        <v>79</v>
      </c>
      <c r="L48">
        <v>119</v>
      </c>
      <c r="M48">
        <v>97</v>
      </c>
      <c r="N48">
        <v>8</v>
      </c>
      <c r="O48">
        <v>32</v>
      </c>
    </row>
    <row r="49" spans="1:18" x14ac:dyDescent="0.3">
      <c r="A49">
        <v>4256054122</v>
      </c>
      <c r="B49">
        <v>1544024320</v>
      </c>
      <c r="C49">
        <v>7066</v>
      </c>
      <c r="D49" t="b">
        <v>0</v>
      </c>
      <c r="E49">
        <v>38</v>
      </c>
      <c r="F49">
        <v>26</v>
      </c>
      <c r="G49">
        <v>93</v>
      </c>
      <c r="H49">
        <v>106</v>
      </c>
      <c r="I49">
        <v>50</v>
      </c>
      <c r="J49">
        <v>41</v>
      </c>
      <c r="K49">
        <v>107</v>
      </c>
      <c r="L49">
        <v>111</v>
      </c>
      <c r="M49">
        <v>104</v>
      </c>
      <c r="N49">
        <v>74</v>
      </c>
      <c r="O49">
        <v>47</v>
      </c>
      <c r="P49">
        <v>44</v>
      </c>
    </row>
    <row r="50" spans="1:18" x14ac:dyDescent="0.3">
      <c r="A50">
        <v>4256063765</v>
      </c>
      <c r="B50">
        <v>1544024704</v>
      </c>
      <c r="C50">
        <v>7109</v>
      </c>
      <c r="D50" t="b">
        <v>1</v>
      </c>
      <c r="E50">
        <v>121</v>
      </c>
      <c r="F50">
        <v>45</v>
      </c>
      <c r="G50">
        <v>1</v>
      </c>
      <c r="H50">
        <v>50</v>
      </c>
      <c r="I50">
        <v>13</v>
      </c>
      <c r="J50">
        <v>44</v>
      </c>
      <c r="K50">
        <v>31</v>
      </c>
      <c r="L50">
        <v>47</v>
      </c>
      <c r="M50">
        <v>97</v>
      </c>
      <c r="N50">
        <v>84</v>
      </c>
    </row>
    <row r="51" spans="1:18" x14ac:dyDescent="0.3">
      <c r="A51">
        <v>4256069321</v>
      </c>
      <c r="B51">
        <v>1544024832</v>
      </c>
      <c r="C51">
        <v>6993</v>
      </c>
      <c r="D51" t="b">
        <v>1</v>
      </c>
      <c r="E51">
        <v>86</v>
      </c>
      <c r="F51">
        <v>114</v>
      </c>
      <c r="G51">
        <v>93</v>
      </c>
      <c r="H51">
        <v>121</v>
      </c>
      <c r="I51">
        <v>28</v>
      </c>
      <c r="J51">
        <v>78</v>
      </c>
      <c r="K51">
        <v>25</v>
      </c>
      <c r="L51">
        <v>44</v>
      </c>
      <c r="M51">
        <v>90</v>
      </c>
      <c r="N51">
        <v>97</v>
      </c>
      <c r="O51">
        <v>111</v>
      </c>
      <c r="P51">
        <v>36</v>
      </c>
      <c r="Q51">
        <v>34</v>
      </c>
    </row>
    <row r="52" spans="1:18" x14ac:dyDescent="0.3">
      <c r="A52">
        <v>4256080475</v>
      </c>
      <c r="B52">
        <v>1544025344</v>
      </c>
      <c r="C52">
        <v>7104</v>
      </c>
      <c r="D52" t="b">
        <v>1</v>
      </c>
      <c r="E52">
        <v>111</v>
      </c>
      <c r="F52">
        <v>82</v>
      </c>
      <c r="G52">
        <v>112</v>
      </c>
      <c r="H52">
        <v>50</v>
      </c>
      <c r="I52">
        <v>93</v>
      </c>
      <c r="J52">
        <v>29</v>
      </c>
      <c r="K52">
        <v>44</v>
      </c>
      <c r="L52">
        <v>41</v>
      </c>
      <c r="M52">
        <v>95</v>
      </c>
      <c r="N52">
        <v>90</v>
      </c>
      <c r="O52">
        <v>97</v>
      </c>
      <c r="P52">
        <v>2</v>
      </c>
    </row>
    <row r="53" spans="1:18" x14ac:dyDescent="0.3">
      <c r="A53">
        <v>4256088332</v>
      </c>
      <c r="B53">
        <v>1544025600</v>
      </c>
      <c r="C53">
        <v>7000</v>
      </c>
      <c r="D53" t="b">
        <v>0</v>
      </c>
      <c r="E53">
        <v>19</v>
      </c>
      <c r="F53">
        <v>50</v>
      </c>
      <c r="G53">
        <v>45</v>
      </c>
      <c r="H53">
        <v>1</v>
      </c>
      <c r="I53">
        <v>74</v>
      </c>
      <c r="J53">
        <v>76</v>
      </c>
      <c r="K53">
        <v>109</v>
      </c>
      <c r="L53">
        <v>97</v>
      </c>
      <c r="M53">
        <v>44</v>
      </c>
      <c r="N53">
        <v>31</v>
      </c>
      <c r="O53">
        <v>105</v>
      </c>
      <c r="P53">
        <v>2</v>
      </c>
    </row>
    <row r="54" spans="1:18" x14ac:dyDescent="0.3">
      <c r="A54">
        <v>4256082778</v>
      </c>
      <c r="B54">
        <v>1544025472</v>
      </c>
      <c r="C54">
        <v>6910</v>
      </c>
      <c r="D54" t="b">
        <v>1</v>
      </c>
      <c r="E54">
        <v>1</v>
      </c>
      <c r="F54">
        <v>85</v>
      </c>
      <c r="G54">
        <v>68</v>
      </c>
      <c r="H54">
        <v>76</v>
      </c>
      <c r="I54">
        <v>16</v>
      </c>
      <c r="J54">
        <v>114</v>
      </c>
      <c r="K54">
        <v>8</v>
      </c>
      <c r="L54">
        <v>50</v>
      </c>
      <c r="M54">
        <v>78</v>
      </c>
      <c r="N54">
        <v>26</v>
      </c>
      <c r="O54">
        <v>80</v>
      </c>
      <c r="P54">
        <v>97</v>
      </c>
      <c r="Q54">
        <v>121</v>
      </c>
    </row>
    <row r="55" spans="1:18" x14ac:dyDescent="0.3">
      <c r="A55">
        <v>4256101631</v>
      </c>
      <c r="B55">
        <v>1544026240</v>
      </c>
      <c r="C55">
        <v>7668</v>
      </c>
      <c r="D55" t="b">
        <v>1</v>
      </c>
      <c r="E55">
        <v>76</v>
      </c>
      <c r="F55">
        <v>97</v>
      </c>
      <c r="G55">
        <v>88</v>
      </c>
      <c r="H55">
        <v>50</v>
      </c>
      <c r="I55">
        <v>44</v>
      </c>
      <c r="J55">
        <v>93</v>
      </c>
      <c r="K55">
        <v>35</v>
      </c>
      <c r="L55">
        <v>55</v>
      </c>
      <c r="M55">
        <v>103</v>
      </c>
      <c r="N55">
        <v>86</v>
      </c>
      <c r="O55">
        <v>82</v>
      </c>
      <c r="P55">
        <v>114</v>
      </c>
    </row>
    <row r="56" spans="1:18" x14ac:dyDescent="0.3">
      <c r="A56">
        <v>4256110722</v>
      </c>
      <c r="B56">
        <v>1544026496</v>
      </c>
      <c r="C56">
        <v>7081</v>
      </c>
      <c r="D56" t="b">
        <v>0</v>
      </c>
      <c r="E56">
        <v>111</v>
      </c>
      <c r="F56">
        <v>93</v>
      </c>
      <c r="G56">
        <v>50</v>
      </c>
      <c r="H56">
        <v>74</v>
      </c>
      <c r="I56">
        <v>41</v>
      </c>
      <c r="J56">
        <v>5</v>
      </c>
      <c r="K56">
        <v>76</v>
      </c>
      <c r="L56">
        <v>121</v>
      </c>
      <c r="M56">
        <v>44</v>
      </c>
      <c r="N56">
        <v>29</v>
      </c>
      <c r="O56">
        <v>97</v>
      </c>
      <c r="P56">
        <v>78</v>
      </c>
    </row>
    <row r="57" spans="1:18" x14ac:dyDescent="0.3">
      <c r="A57">
        <v>4256093255</v>
      </c>
      <c r="B57">
        <v>1544025856</v>
      </c>
      <c r="C57">
        <v>6877</v>
      </c>
      <c r="D57" t="b">
        <v>1</v>
      </c>
      <c r="E57">
        <v>34</v>
      </c>
      <c r="F57">
        <v>62</v>
      </c>
      <c r="G57">
        <v>79</v>
      </c>
      <c r="H57">
        <v>97</v>
      </c>
      <c r="I57">
        <v>93</v>
      </c>
      <c r="J57">
        <v>74</v>
      </c>
      <c r="K57">
        <v>85</v>
      </c>
      <c r="L57">
        <v>86</v>
      </c>
      <c r="M57">
        <v>16</v>
      </c>
      <c r="N57">
        <v>44</v>
      </c>
      <c r="O57">
        <v>45</v>
      </c>
      <c r="P57">
        <v>76</v>
      </c>
    </row>
    <row r="58" spans="1:18" x14ac:dyDescent="0.3">
      <c r="A58">
        <v>4256073650</v>
      </c>
      <c r="B58">
        <v>1544025088</v>
      </c>
      <c r="C58">
        <v>6878</v>
      </c>
      <c r="D58" t="b">
        <v>1</v>
      </c>
      <c r="E58">
        <v>64</v>
      </c>
      <c r="F58">
        <v>100</v>
      </c>
      <c r="G58">
        <v>50</v>
      </c>
      <c r="H58">
        <v>114</v>
      </c>
      <c r="I58">
        <v>93</v>
      </c>
      <c r="J58">
        <v>12</v>
      </c>
      <c r="K58">
        <v>76</v>
      </c>
      <c r="L58">
        <v>101</v>
      </c>
      <c r="M58">
        <v>69</v>
      </c>
      <c r="N58">
        <v>97</v>
      </c>
      <c r="O58">
        <v>38</v>
      </c>
      <c r="P58">
        <v>44</v>
      </c>
    </row>
    <row r="59" spans="1:18" x14ac:dyDescent="0.3">
      <c r="A59">
        <v>4256085272</v>
      </c>
      <c r="B59">
        <v>1544025472</v>
      </c>
      <c r="C59">
        <v>6850</v>
      </c>
      <c r="D59" t="b">
        <v>1</v>
      </c>
      <c r="E59">
        <v>44</v>
      </c>
      <c r="F59">
        <v>112</v>
      </c>
      <c r="G59">
        <v>100</v>
      </c>
      <c r="H59">
        <v>74</v>
      </c>
      <c r="I59">
        <v>45</v>
      </c>
      <c r="J59">
        <v>10</v>
      </c>
      <c r="K59">
        <v>2</v>
      </c>
      <c r="L59">
        <v>7</v>
      </c>
      <c r="M59">
        <v>31</v>
      </c>
      <c r="N59">
        <v>25</v>
      </c>
      <c r="O59">
        <v>93</v>
      </c>
      <c r="P59">
        <v>97</v>
      </c>
    </row>
    <row r="60" spans="1:18" x14ac:dyDescent="0.3">
      <c r="A60">
        <v>4256126489</v>
      </c>
      <c r="B60">
        <v>1544027136</v>
      </c>
      <c r="C60">
        <v>7106</v>
      </c>
      <c r="D60" t="b">
        <v>1</v>
      </c>
      <c r="E60">
        <v>44</v>
      </c>
      <c r="F60">
        <v>45</v>
      </c>
      <c r="G60">
        <v>90</v>
      </c>
      <c r="H60">
        <v>97</v>
      </c>
      <c r="I60">
        <v>100</v>
      </c>
      <c r="J60">
        <v>86</v>
      </c>
      <c r="K60">
        <v>25</v>
      </c>
      <c r="L60">
        <v>31</v>
      </c>
      <c r="M60">
        <v>93</v>
      </c>
      <c r="N60">
        <v>50</v>
      </c>
      <c r="O60">
        <v>72</v>
      </c>
    </row>
    <row r="61" spans="1:18" x14ac:dyDescent="0.3">
      <c r="A61">
        <v>4256120479</v>
      </c>
      <c r="B61">
        <v>1544026880</v>
      </c>
      <c r="C61">
        <v>7053</v>
      </c>
      <c r="D61" t="b">
        <v>1</v>
      </c>
      <c r="E61">
        <v>51</v>
      </c>
      <c r="F61">
        <v>17</v>
      </c>
      <c r="G61">
        <v>111</v>
      </c>
      <c r="H61">
        <v>97</v>
      </c>
      <c r="I61">
        <v>1</v>
      </c>
      <c r="J61">
        <v>98</v>
      </c>
      <c r="K61">
        <v>101</v>
      </c>
      <c r="L61">
        <v>31</v>
      </c>
      <c r="M61">
        <v>114</v>
      </c>
      <c r="N61">
        <v>109</v>
      </c>
      <c r="O61">
        <v>46</v>
      </c>
      <c r="P61">
        <v>44</v>
      </c>
      <c r="Q61">
        <v>2</v>
      </c>
    </row>
    <row r="62" spans="1:18" x14ac:dyDescent="0.3">
      <c r="A62">
        <v>4256129635</v>
      </c>
      <c r="B62">
        <v>1544027264</v>
      </c>
      <c r="C62">
        <v>6986</v>
      </c>
      <c r="D62" t="b">
        <v>0</v>
      </c>
      <c r="E62">
        <v>105</v>
      </c>
      <c r="F62">
        <v>97</v>
      </c>
      <c r="G62">
        <v>44</v>
      </c>
      <c r="H62">
        <v>114</v>
      </c>
      <c r="I62">
        <v>87</v>
      </c>
      <c r="J62">
        <v>4</v>
      </c>
      <c r="K62">
        <v>38</v>
      </c>
      <c r="L62">
        <v>100</v>
      </c>
      <c r="M62">
        <v>34</v>
      </c>
      <c r="N62">
        <v>50</v>
      </c>
      <c r="O62">
        <v>16</v>
      </c>
      <c r="P62">
        <v>12</v>
      </c>
    </row>
    <row r="63" spans="1:18" x14ac:dyDescent="0.3">
      <c r="A63">
        <v>4256123750</v>
      </c>
      <c r="B63">
        <v>1544027136</v>
      </c>
      <c r="C63">
        <v>6925</v>
      </c>
      <c r="D63" t="b">
        <v>0</v>
      </c>
      <c r="E63">
        <v>21</v>
      </c>
      <c r="F63">
        <v>27</v>
      </c>
      <c r="G63">
        <v>77</v>
      </c>
      <c r="H63">
        <v>101</v>
      </c>
      <c r="I63">
        <v>25</v>
      </c>
      <c r="J63">
        <v>97</v>
      </c>
      <c r="K63">
        <v>29</v>
      </c>
      <c r="L63">
        <v>31</v>
      </c>
      <c r="M63">
        <v>44</v>
      </c>
      <c r="N63">
        <v>26</v>
      </c>
      <c r="O63">
        <v>83</v>
      </c>
      <c r="P63">
        <v>8</v>
      </c>
      <c r="Q63">
        <v>89</v>
      </c>
      <c r="R63">
        <v>41</v>
      </c>
    </row>
    <row r="64" spans="1:18" x14ac:dyDescent="0.3">
      <c r="A64">
        <v>4256137769</v>
      </c>
      <c r="B64">
        <v>1544027648</v>
      </c>
      <c r="C64">
        <v>7567</v>
      </c>
      <c r="D64" t="b">
        <v>1</v>
      </c>
      <c r="E64">
        <v>114</v>
      </c>
      <c r="F64">
        <v>85</v>
      </c>
      <c r="G64">
        <v>50</v>
      </c>
      <c r="H64">
        <v>10</v>
      </c>
      <c r="I64">
        <v>86</v>
      </c>
      <c r="J64">
        <v>38</v>
      </c>
      <c r="K64">
        <v>97</v>
      </c>
      <c r="L64">
        <v>100</v>
      </c>
      <c r="M64">
        <v>44</v>
      </c>
      <c r="N64">
        <v>23</v>
      </c>
      <c r="O64">
        <v>76</v>
      </c>
    </row>
    <row r="65" spans="1:18" x14ac:dyDescent="0.3">
      <c r="A65">
        <v>4256131519</v>
      </c>
      <c r="B65">
        <v>1544027392</v>
      </c>
      <c r="C65">
        <v>6994</v>
      </c>
      <c r="D65" t="b">
        <v>0</v>
      </c>
      <c r="E65">
        <v>110</v>
      </c>
      <c r="F65">
        <v>12</v>
      </c>
      <c r="G65">
        <v>44</v>
      </c>
      <c r="H65">
        <v>111</v>
      </c>
      <c r="I65">
        <v>76</v>
      </c>
      <c r="J65">
        <v>34</v>
      </c>
      <c r="K65">
        <v>107</v>
      </c>
      <c r="L65">
        <v>31</v>
      </c>
      <c r="M65">
        <v>93</v>
      </c>
      <c r="N65">
        <v>19</v>
      </c>
      <c r="O65">
        <v>41</v>
      </c>
      <c r="P65">
        <v>2</v>
      </c>
      <c r="Q65">
        <v>97</v>
      </c>
      <c r="R65">
        <v>16</v>
      </c>
    </row>
    <row r="66" spans="1:18" x14ac:dyDescent="0.3">
      <c r="A66">
        <v>4256129758</v>
      </c>
      <c r="B66">
        <v>1544027392</v>
      </c>
      <c r="C66">
        <v>6918</v>
      </c>
      <c r="D66" t="b">
        <v>0</v>
      </c>
      <c r="E66">
        <v>107</v>
      </c>
      <c r="F66">
        <v>121</v>
      </c>
      <c r="G66">
        <v>44</v>
      </c>
      <c r="H66">
        <v>92</v>
      </c>
      <c r="I66">
        <v>38</v>
      </c>
      <c r="J66">
        <v>86</v>
      </c>
      <c r="K66">
        <v>97</v>
      </c>
      <c r="L66">
        <v>3</v>
      </c>
      <c r="M66">
        <v>8</v>
      </c>
      <c r="N66">
        <v>114</v>
      </c>
    </row>
    <row r="67" spans="1:18" x14ac:dyDescent="0.3">
      <c r="A67">
        <v>4256133260</v>
      </c>
      <c r="B67">
        <v>1544027520</v>
      </c>
      <c r="C67">
        <v>6876</v>
      </c>
      <c r="D67" t="b">
        <v>0</v>
      </c>
      <c r="E67">
        <v>45</v>
      </c>
      <c r="F67">
        <v>89</v>
      </c>
      <c r="G67">
        <v>31</v>
      </c>
      <c r="H67">
        <v>96</v>
      </c>
      <c r="I67">
        <v>121</v>
      </c>
      <c r="J67">
        <v>78</v>
      </c>
      <c r="K67">
        <v>76</v>
      </c>
      <c r="L67">
        <v>27</v>
      </c>
      <c r="M67">
        <v>109</v>
      </c>
      <c r="N67">
        <v>90</v>
      </c>
      <c r="O67">
        <v>44</v>
      </c>
      <c r="P67">
        <v>114</v>
      </c>
      <c r="Q67">
        <v>85</v>
      </c>
    </row>
    <row r="68" spans="1:18" x14ac:dyDescent="0.3">
      <c r="A68">
        <v>4256155952</v>
      </c>
      <c r="B68">
        <v>1544028416</v>
      </c>
      <c r="C68">
        <v>7150</v>
      </c>
      <c r="D68" t="b">
        <v>0</v>
      </c>
      <c r="E68">
        <v>65</v>
      </c>
      <c r="F68">
        <v>2</v>
      </c>
      <c r="G68">
        <v>26</v>
      </c>
      <c r="H68">
        <v>86</v>
      </c>
      <c r="I68">
        <v>44</v>
      </c>
      <c r="J68">
        <v>49</v>
      </c>
      <c r="K68">
        <v>16</v>
      </c>
      <c r="L68">
        <v>121</v>
      </c>
      <c r="M68">
        <v>97</v>
      </c>
      <c r="N68">
        <v>67</v>
      </c>
      <c r="O68">
        <v>46</v>
      </c>
      <c r="P68">
        <v>120</v>
      </c>
    </row>
    <row r="69" spans="1:18" x14ac:dyDescent="0.3">
      <c r="A69">
        <v>4256144419</v>
      </c>
      <c r="B69">
        <v>1544027904</v>
      </c>
      <c r="C69">
        <v>6998</v>
      </c>
      <c r="D69" t="b">
        <v>1</v>
      </c>
      <c r="E69">
        <v>1</v>
      </c>
      <c r="F69">
        <v>22</v>
      </c>
      <c r="G69">
        <v>86</v>
      </c>
      <c r="H69">
        <v>2</v>
      </c>
      <c r="I69">
        <v>121</v>
      </c>
      <c r="J69">
        <v>41</v>
      </c>
      <c r="K69">
        <v>97</v>
      </c>
      <c r="L69">
        <v>76</v>
      </c>
      <c r="M69">
        <v>26</v>
      </c>
      <c r="N69">
        <v>33</v>
      </c>
      <c r="O69">
        <v>44</v>
      </c>
      <c r="P69">
        <v>75</v>
      </c>
    </row>
    <row r="70" spans="1:18" x14ac:dyDescent="0.3">
      <c r="A70">
        <v>4256158179</v>
      </c>
      <c r="B70">
        <v>1544028544</v>
      </c>
      <c r="C70">
        <v>7069</v>
      </c>
      <c r="D70" t="b">
        <v>1</v>
      </c>
      <c r="E70">
        <v>78</v>
      </c>
      <c r="F70">
        <v>8</v>
      </c>
      <c r="G70">
        <v>86</v>
      </c>
      <c r="H70">
        <v>79</v>
      </c>
      <c r="I70">
        <v>100</v>
      </c>
      <c r="J70">
        <v>48</v>
      </c>
      <c r="K70">
        <v>29</v>
      </c>
      <c r="L70">
        <v>103</v>
      </c>
      <c r="M70">
        <v>59</v>
      </c>
      <c r="N70">
        <v>90</v>
      </c>
      <c r="O70">
        <v>93</v>
      </c>
      <c r="P70">
        <v>44</v>
      </c>
      <c r="Q70">
        <v>91</v>
      </c>
    </row>
    <row r="71" spans="1:18" x14ac:dyDescent="0.3">
      <c r="A71">
        <v>4256169737</v>
      </c>
      <c r="B71">
        <v>1544029056</v>
      </c>
      <c r="C71">
        <v>7013</v>
      </c>
      <c r="D71" t="b">
        <v>1</v>
      </c>
      <c r="E71">
        <v>35</v>
      </c>
      <c r="F71">
        <v>38</v>
      </c>
      <c r="G71">
        <v>85</v>
      </c>
      <c r="H71">
        <v>44</v>
      </c>
      <c r="I71">
        <v>86</v>
      </c>
      <c r="J71">
        <v>100</v>
      </c>
      <c r="K71">
        <v>11</v>
      </c>
      <c r="L71">
        <v>121</v>
      </c>
      <c r="M71">
        <v>16</v>
      </c>
      <c r="N71">
        <v>93</v>
      </c>
      <c r="O71">
        <v>97</v>
      </c>
      <c r="P71">
        <v>2</v>
      </c>
    </row>
    <row r="72" spans="1:18" x14ac:dyDescent="0.3">
      <c r="A72">
        <v>4256180977</v>
      </c>
      <c r="B72">
        <v>1544029568</v>
      </c>
      <c r="C72">
        <v>6994</v>
      </c>
      <c r="D72" t="b">
        <v>0</v>
      </c>
      <c r="E72">
        <v>3</v>
      </c>
      <c r="F72">
        <v>8</v>
      </c>
      <c r="G72">
        <v>33</v>
      </c>
      <c r="H72">
        <v>111</v>
      </c>
      <c r="I72">
        <v>45</v>
      </c>
      <c r="J72">
        <v>2</v>
      </c>
      <c r="K72">
        <v>101</v>
      </c>
      <c r="L72">
        <v>121</v>
      </c>
      <c r="M72">
        <v>44</v>
      </c>
      <c r="N72">
        <v>50</v>
      </c>
      <c r="O72">
        <v>114</v>
      </c>
      <c r="P72">
        <v>16</v>
      </c>
      <c r="Q72">
        <v>97</v>
      </c>
    </row>
    <row r="73" spans="1:18" x14ac:dyDescent="0.3">
      <c r="A73">
        <v>4256166064</v>
      </c>
      <c r="B73">
        <v>1544028928</v>
      </c>
      <c r="C73">
        <v>6967</v>
      </c>
      <c r="D73" t="b">
        <v>1</v>
      </c>
      <c r="E73">
        <v>111</v>
      </c>
      <c r="F73">
        <v>44</v>
      </c>
      <c r="G73">
        <v>9</v>
      </c>
      <c r="H73">
        <v>86</v>
      </c>
      <c r="I73">
        <v>2</v>
      </c>
      <c r="J73">
        <v>97</v>
      </c>
      <c r="K73">
        <v>8</v>
      </c>
      <c r="L73">
        <v>78</v>
      </c>
      <c r="M73">
        <v>31</v>
      </c>
      <c r="N73">
        <v>89</v>
      </c>
      <c r="O73">
        <v>87</v>
      </c>
      <c r="P73">
        <v>59</v>
      </c>
    </row>
    <row r="74" spans="1:18" x14ac:dyDescent="0.3">
      <c r="A74">
        <v>4256171595</v>
      </c>
      <c r="B74">
        <v>1544029184</v>
      </c>
      <c r="C74">
        <v>6918</v>
      </c>
      <c r="D74" t="b">
        <v>1</v>
      </c>
      <c r="E74">
        <v>114</v>
      </c>
      <c r="F74">
        <v>53</v>
      </c>
      <c r="G74">
        <v>106</v>
      </c>
      <c r="H74">
        <v>101</v>
      </c>
      <c r="I74">
        <v>111</v>
      </c>
      <c r="J74">
        <v>41</v>
      </c>
      <c r="K74">
        <v>98</v>
      </c>
      <c r="L74">
        <v>94</v>
      </c>
      <c r="M74">
        <v>107</v>
      </c>
      <c r="N74">
        <v>50</v>
      </c>
      <c r="O74">
        <v>97</v>
      </c>
      <c r="P74">
        <v>16</v>
      </c>
    </row>
    <row r="75" spans="1:18" x14ac:dyDescent="0.3">
      <c r="A75">
        <v>4256170265</v>
      </c>
      <c r="B75">
        <v>1544029056</v>
      </c>
      <c r="C75">
        <v>6869</v>
      </c>
      <c r="D75" t="b">
        <v>0</v>
      </c>
      <c r="E75">
        <v>38</v>
      </c>
      <c r="F75">
        <v>86</v>
      </c>
      <c r="G75">
        <v>6</v>
      </c>
      <c r="H75">
        <v>50</v>
      </c>
      <c r="I75">
        <v>8</v>
      </c>
      <c r="J75">
        <v>78</v>
      </c>
      <c r="K75">
        <v>44</v>
      </c>
      <c r="L75">
        <v>97</v>
      </c>
      <c r="M75">
        <v>3</v>
      </c>
      <c r="N75">
        <v>114</v>
      </c>
      <c r="O75">
        <v>80</v>
      </c>
      <c r="P75">
        <v>121</v>
      </c>
      <c r="Q75">
        <v>103</v>
      </c>
    </row>
    <row r="76" spans="1:18" x14ac:dyDescent="0.3">
      <c r="A76">
        <v>4256192855</v>
      </c>
      <c r="B76">
        <v>1544030080</v>
      </c>
      <c r="C76">
        <v>7180</v>
      </c>
      <c r="D76" t="b">
        <v>1</v>
      </c>
      <c r="E76">
        <v>89</v>
      </c>
      <c r="F76">
        <v>27</v>
      </c>
      <c r="G76">
        <v>92</v>
      </c>
      <c r="H76">
        <v>33</v>
      </c>
      <c r="I76">
        <v>97</v>
      </c>
      <c r="J76">
        <v>121</v>
      </c>
      <c r="K76">
        <v>48</v>
      </c>
      <c r="L76">
        <v>86</v>
      </c>
      <c r="M76">
        <v>19</v>
      </c>
      <c r="N76">
        <v>34</v>
      </c>
      <c r="O76">
        <v>50</v>
      </c>
      <c r="P76">
        <v>78</v>
      </c>
    </row>
    <row r="77" spans="1:18" x14ac:dyDescent="0.3">
      <c r="A77">
        <v>4256183570</v>
      </c>
      <c r="B77">
        <v>1544029568</v>
      </c>
      <c r="C77">
        <v>6846</v>
      </c>
      <c r="D77" t="b">
        <v>1</v>
      </c>
      <c r="E77">
        <v>7</v>
      </c>
      <c r="F77">
        <v>76</v>
      </c>
      <c r="G77">
        <v>41</v>
      </c>
      <c r="H77">
        <v>120</v>
      </c>
      <c r="I77">
        <v>50</v>
      </c>
      <c r="J77">
        <v>111</v>
      </c>
      <c r="K77">
        <v>100</v>
      </c>
      <c r="L77">
        <v>80</v>
      </c>
      <c r="M77">
        <v>6</v>
      </c>
      <c r="N77">
        <v>21</v>
      </c>
      <c r="O77">
        <v>44</v>
      </c>
      <c r="P77">
        <v>93</v>
      </c>
    </row>
    <row r="78" spans="1:18" x14ac:dyDescent="0.3">
      <c r="A78">
        <v>4256211718</v>
      </c>
      <c r="B78">
        <v>1544030848</v>
      </c>
      <c r="C78">
        <v>7201</v>
      </c>
      <c r="D78" t="b">
        <v>1</v>
      </c>
      <c r="E78">
        <v>96</v>
      </c>
      <c r="F78">
        <v>8</v>
      </c>
      <c r="G78">
        <v>71</v>
      </c>
      <c r="H78">
        <v>101</v>
      </c>
      <c r="I78">
        <v>9</v>
      </c>
      <c r="J78">
        <v>84</v>
      </c>
      <c r="K78">
        <v>90</v>
      </c>
      <c r="L78">
        <v>23</v>
      </c>
      <c r="M78">
        <v>93</v>
      </c>
      <c r="N78">
        <v>78</v>
      </c>
      <c r="O78">
        <v>44</v>
      </c>
      <c r="P78">
        <v>3</v>
      </c>
    </row>
    <row r="79" spans="1:18" x14ac:dyDescent="0.3">
      <c r="A79">
        <v>4256207222</v>
      </c>
      <c r="B79">
        <v>1544030720</v>
      </c>
      <c r="C79">
        <v>6882</v>
      </c>
      <c r="D79" t="b">
        <v>0</v>
      </c>
      <c r="E79">
        <v>86</v>
      </c>
      <c r="F79">
        <v>6</v>
      </c>
      <c r="G79">
        <v>28</v>
      </c>
      <c r="H79">
        <v>1</v>
      </c>
      <c r="I79">
        <v>31</v>
      </c>
      <c r="J79">
        <v>121</v>
      </c>
      <c r="K79">
        <v>97</v>
      </c>
      <c r="L79">
        <v>91</v>
      </c>
      <c r="M79">
        <v>8</v>
      </c>
      <c r="N79">
        <v>94</v>
      </c>
      <c r="O79">
        <v>44</v>
      </c>
      <c r="P79">
        <v>59</v>
      </c>
      <c r="Q79">
        <v>38</v>
      </c>
    </row>
    <row r="80" spans="1:18" x14ac:dyDescent="0.3">
      <c r="A80">
        <v>4256175022</v>
      </c>
      <c r="B80">
        <v>1544029312</v>
      </c>
      <c r="C80">
        <v>6811</v>
      </c>
      <c r="D80" t="b">
        <v>0</v>
      </c>
      <c r="E80">
        <v>6</v>
      </c>
      <c r="F80">
        <v>2</v>
      </c>
      <c r="G80">
        <v>109</v>
      </c>
      <c r="H80">
        <v>110</v>
      </c>
      <c r="I80">
        <v>85</v>
      </c>
      <c r="J80">
        <v>9</v>
      </c>
      <c r="K80">
        <v>97</v>
      </c>
      <c r="L80">
        <v>1</v>
      </c>
      <c r="M80">
        <v>13</v>
      </c>
      <c r="N80">
        <v>50</v>
      </c>
      <c r="O80">
        <v>80</v>
      </c>
      <c r="P80">
        <v>44</v>
      </c>
      <c r="Q80">
        <v>62</v>
      </c>
    </row>
    <row r="81" spans="1:18" x14ac:dyDescent="0.3">
      <c r="A81">
        <v>4256221056</v>
      </c>
      <c r="B81">
        <v>1544031360</v>
      </c>
      <c r="C81">
        <v>7206</v>
      </c>
      <c r="D81" t="b">
        <v>1</v>
      </c>
      <c r="E81">
        <v>100</v>
      </c>
      <c r="F81">
        <v>120</v>
      </c>
      <c r="G81">
        <v>44</v>
      </c>
      <c r="H81">
        <v>78</v>
      </c>
      <c r="I81">
        <v>10</v>
      </c>
      <c r="J81">
        <v>86</v>
      </c>
      <c r="K81">
        <v>109</v>
      </c>
      <c r="L81">
        <v>16</v>
      </c>
      <c r="M81">
        <v>6</v>
      </c>
      <c r="N81">
        <v>85</v>
      </c>
      <c r="O81">
        <v>3</v>
      </c>
      <c r="P81">
        <v>82</v>
      </c>
    </row>
    <row r="82" spans="1:18" x14ac:dyDescent="0.3">
      <c r="A82">
        <v>4256224234</v>
      </c>
      <c r="B82">
        <v>1544031488</v>
      </c>
      <c r="C82">
        <v>7014</v>
      </c>
      <c r="D82" t="b">
        <v>0</v>
      </c>
      <c r="E82">
        <v>86</v>
      </c>
      <c r="F82">
        <v>114</v>
      </c>
      <c r="G82">
        <v>101</v>
      </c>
      <c r="H82">
        <v>76</v>
      </c>
      <c r="I82">
        <v>120</v>
      </c>
      <c r="J82">
        <v>97</v>
      </c>
      <c r="K82">
        <v>72</v>
      </c>
      <c r="L82">
        <v>91</v>
      </c>
      <c r="M82">
        <v>83</v>
      </c>
      <c r="N82">
        <v>56</v>
      </c>
      <c r="O82">
        <v>44</v>
      </c>
      <c r="P82">
        <v>62</v>
      </c>
    </row>
    <row r="83" spans="1:18" x14ac:dyDescent="0.3">
      <c r="A83">
        <v>4256211982</v>
      </c>
      <c r="B83">
        <v>1544030976</v>
      </c>
      <c r="C83">
        <v>6896</v>
      </c>
      <c r="D83" t="b">
        <v>0</v>
      </c>
      <c r="E83">
        <v>63</v>
      </c>
      <c r="F83">
        <v>80</v>
      </c>
      <c r="G83">
        <v>2</v>
      </c>
      <c r="H83">
        <v>85</v>
      </c>
      <c r="I83">
        <v>86</v>
      </c>
      <c r="J83">
        <v>76</v>
      </c>
      <c r="K83">
        <v>44</v>
      </c>
      <c r="L83">
        <v>78</v>
      </c>
      <c r="M83">
        <v>31</v>
      </c>
      <c r="N83">
        <v>26</v>
      </c>
      <c r="O83">
        <v>121</v>
      </c>
      <c r="P83">
        <v>97</v>
      </c>
    </row>
    <row r="84" spans="1:18" x14ac:dyDescent="0.3">
      <c r="A84">
        <v>4256204231</v>
      </c>
      <c r="B84">
        <v>1544030592</v>
      </c>
      <c r="C84">
        <v>6840</v>
      </c>
      <c r="D84" t="b">
        <v>0</v>
      </c>
      <c r="E84">
        <v>23</v>
      </c>
      <c r="F84">
        <v>2</v>
      </c>
      <c r="G84">
        <v>97</v>
      </c>
      <c r="H84">
        <v>121</v>
      </c>
      <c r="I84">
        <v>95</v>
      </c>
      <c r="J84">
        <v>111</v>
      </c>
      <c r="K84">
        <v>110</v>
      </c>
      <c r="L84">
        <v>93</v>
      </c>
      <c r="M84">
        <v>86</v>
      </c>
      <c r="N84">
        <v>22</v>
      </c>
      <c r="O84">
        <v>78</v>
      </c>
      <c r="P84">
        <v>42</v>
      </c>
      <c r="Q84">
        <v>44</v>
      </c>
      <c r="R84">
        <v>6</v>
      </c>
    </row>
    <row r="85" spans="1:18" x14ac:dyDescent="0.3">
      <c r="A85">
        <v>4256210808</v>
      </c>
      <c r="B85">
        <v>1544030848</v>
      </c>
      <c r="C85">
        <v>6853</v>
      </c>
      <c r="D85" t="b">
        <v>1</v>
      </c>
      <c r="E85">
        <v>23</v>
      </c>
      <c r="F85">
        <v>97</v>
      </c>
      <c r="G85">
        <v>1</v>
      </c>
      <c r="H85">
        <v>114</v>
      </c>
      <c r="I85">
        <v>31</v>
      </c>
      <c r="J85">
        <v>120</v>
      </c>
      <c r="K85">
        <v>86</v>
      </c>
      <c r="L85">
        <v>75</v>
      </c>
      <c r="M85">
        <v>34</v>
      </c>
      <c r="N85">
        <v>44</v>
      </c>
      <c r="O85">
        <v>41</v>
      </c>
      <c r="P85">
        <v>82</v>
      </c>
      <c r="Q85">
        <v>45</v>
      </c>
    </row>
    <row r="86" spans="1:18" x14ac:dyDescent="0.3">
      <c r="A86">
        <v>4256199452</v>
      </c>
      <c r="B86">
        <v>1544030336</v>
      </c>
      <c r="C86">
        <v>6795</v>
      </c>
      <c r="D86" t="b">
        <v>0</v>
      </c>
      <c r="E86">
        <v>86</v>
      </c>
      <c r="F86">
        <v>100</v>
      </c>
      <c r="G86">
        <v>1</v>
      </c>
      <c r="H86">
        <v>40</v>
      </c>
      <c r="I86">
        <v>45</v>
      </c>
      <c r="J86">
        <v>44</v>
      </c>
      <c r="K86">
        <v>50</v>
      </c>
      <c r="L86">
        <v>74</v>
      </c>
      <c r="M86">
        <v>16</v>
      </c>
      <c r="N86">
        <v>121</v>
      </c>
      <c r="O86">
        <v>77</v>
      </c>
      <c r="P86">
        <v>97</v>
      </c>
    </row>
    <row r="87" spans="1:18" x14ac:dyDescent="0.3">
      <c r="A87">
        <v>4256229212</v>
      </c>
      <c r="B87">
        <v>1544031744</v>
      </c>
      <c r="C87">
        <v>7132</v>
      </c>
      <c r="D87" t="b">
        <v>0</v>
      </c>
      <c r="E87">
        <v>100</v>
      </c>
      <c r="F87">
        <v>93</v>
      </c>
      <c r="G87">
        <v>76</v>
      </c>
      <c r="H87">
        <v>31</v>
      </c>
      <c r="I87">
        <v>19</v>
      </c>
      <c r="J87">
        <v>109</v>
      </c>
      <c r="K87">
        <v>9</v>
      </c>
      <c r="L87">
        <v>110</v>
      </c>
      <c r="M87">
        <v>97</v>
      </c>
      <c r="N87">
        <v>86</v>
      </c>
      <c r="O87">
        <v>113</v>
      </c>
      <c r="P87">
        <v>50</v>
      </c>
      <c r="Q87">
        <v>44</v>
      </c>
    </row>
    <row r="88" spans="1:18" x14ac:dyDescent="0.3">
      <c r="A88">
        <v>4256228375</v>
      </c>
      <c r="B88">
        <v>1544031616</v>
      </c>
      <c r="C88">
        <v>6973</v>
      </c>
      <c r="D88" t="b">
        <v>0</v>
      </c>
      <c r="E88">
        <v>86</v>
      </c>
      <c r="F88">
        <v>49</v>
      </c>
      <c r="G88">
        <v>107</v>
      </c>
      <c r="H88">
        <v>31</v>
      </c>
      <c r="I88">
        <v>93</v>
      </c>
      <c r="J88">
        <v>50</v>
      </c>
      <c r="K88">
        <v>45</v>
      </c>
      <c r="L88">
        <v>97</v>
      </c>
      <c r="M88">
        <v>16</v>
      </c>
      <c r="N88">
        <v>1</v>
      </c>
      <c r="O88">
        <v>44</v>
      </c>
      <c r="P88">
        <v>67</v>
      </c>
      <c r="Q88">
        <v>59</v>
      </c>
    </row>
    <row r="89" spans="1:18" x14ac:dyDescent="0.3">
      <c r="A89">
        <v>4256238641</v>
      </c>
      <c r="B89">
        <v>1544032128</v>
      </c>
      <c r="C89">
        <v>6956</v>
      </c>
      <c r="D89" t="b">
        <v>0</v>
      </c>
      <c r="E89">
        <v>90</v>
      </c>
      <c r="F89">
        <v>97</v>
      </c>
      <c r="G89">
        <v>121</v>
      </c>
      <c r="H89">
        <v>1</v>
      </c>
      <c r="I89">
        <v>10</v>
      </c>
      <c r="J89">
        <v>27</v>
      </c>
      <c r="K89">
        <v>93</v>
      </c>
      <c r="L89">
        <v>78</v>
      </c>
      <c r="M89">
        <v>19</v>
      </c>
      <c r="N89">
        <v>50</v>
      </c>
      <c r="O89">
        <v>120</v>
      </c>
      <c r="P89">
        <v>44</v>
      </c>
    </row>
    <row r="90" spans="1:18" x14ac:dyDescent="0.3">
      <c r="A90">
        <v>4256250828</v>
      </c>
      <c r="B90">
        <v>1544032768</v>
      </c>
      <c r="C90">
        <v>7016</v>
      </c>
      <c r="D90" t="b">
        <v>0</v>
      </c>
      <c r="E90">
        <v>114</v>
      </c>
      <c r="F90">
        <v>26</v>
      </c>
      <c r="G90">
        <v>97</v>
      </c>
      <c r="H90">
        <v>87</v>
      </c>
      <c r="I90">
        <v>80</v>
      </c>
      <c r="J90">
        <v>44</v>
      </c>
      <c r="K90">
        <v>31</v>
      </c>
      <c r="L90">
        <v>21</v>
      </c>
      <c r="M90">
        <v>103</v>
      </c>
      <c r="N90">
        <v>38</v>
      </c>
      <c r="O90">
        <v>121</v>
      </c>
      <c r="P90">
        <v>95</v>
      </c>
      <c r="Q90">
        <v>93</v>
      </c>
      <c r="R90">
        <v>53</v>
      </c>
    </row>
    <row r="91" spans="1:18" x14ac:dyDescent="0.3">
      <c r="A91">
        <v>4256246691</v>
      </c>
      <c r="B91">
        <v>1544032512</v>
      </c>
      <c r="C91">
        <v>6813</v>
      </c>
      <c r="D91" t="b">
        <v>1</v>
      </c>
      <c r="E91">
        <v>121</v>
      </c>
      <c r="F91">
        <v>27</v>
      </c>
      <c r="G91">
        <v>34</v>
      </c>
      <c r="H91">
        <v>97</v>
      </c>
      <c r="I91">
        <v>93</v>
      </c>
      <c r="J91">
        <v>101</v>
      </c>
      <c r="K91">
        <v>98</v>
      </c>
      <c r="L91">
        <v>119</v>
      </c>
      <c r="M91">
        <v>9</v>
      </c>
      <c r="N91">
        <v>15</v>
      </c>
      <c r="O91">
        <v>82</v>
      </c>
      <c r="P91">
        <v>44</v>
      </c>
    </row>
    <row r="92" spans="1:18" x14ac:dyDescent="0.3">
      <c r="A92">
        <v>4256271144</v>
      </c>
      <c r="B92">
        <v>1544033792</v>
      </c>
      <c r="C92">
        <v>7217</v>
      </c>
      <c r="D92" t="b">
        <v>1</v>
      </c>
      <c r="E92">
        <v>96</v>
      </c>
      <c r="F92">
        <v>6</v>
      </c>
      <c r="G92">
        <v>86</v>
      </c>
      <c r="H92">
        <v>121</v>
      </c>
      <c r="I92">
        <v>94</v>
      </c>
      <c r="J92">
        <v>48</v>
      </c>
      <c r="K92">
        <v>44</v>
      </c>
      <c r="L92">
        <v>111</v>
      </c>
      <c r="M92">
        <v>55</v>
      </c>
      <c r="N92">
        <v>97</v>
      </c>
      <c r="O92">
        <v>93</v>
      </c>
      <c r="P92">
        <v>38</v>
      </c>
      <c r="Q92">
        <v>23</v>
      </c>
    </row>
    <row r="93" spans="1:18" x14ac:dyDescent="0.3">
      <c r="A93">
        <v>4256265153</v>
      </c>
      <c r="B93">
        <v>1544033408</v>
      </c>
      <c r="C93">
        <v>7014</v>
      </c>
      <c r="D93" t="b">
        <v>1</v>
      </c>
      <c r="E93">
        <v>86</v>
      </c>
      <c r="F93">
        <v>87</v>
      </c>
      <c r="G93">
        <v>44</v>
      </c>
      <c r="H93">
        <v>59</v>
      </c>
      <c r="I93">
        <v>114</v>
      </c>
      <c r="J93">
        <v>7</v>
      </c>
      <c r="K93">
        <v>10</v>
      </c>
      <c r="L93">
        <v>31</v>
      </c>
      <c r="M93">
        <v>80</v>
      </c>
      <c r="N93">
        <v>121</v>
      </c>
      <c r="O93">
        <v>82</v>
      </c>
      <c r="P93">
        <v>101</v>
      </c>
      <c r="Q93">
        <v>93</v>
      </c>
      <c r="R93">
        <v>97</v>
      </c>
    </row>
    <row r="94" spans="1:18" x14ac:dyDescent="0.3">
      <c r="A94">
        <v>4256268617</v>
      </c>
      <c r="B94">
        <v>1544033664</v>
      </c>
      <c r="C94">
        <v>6848</v>
      </c>
      <c r="D94" t="b">
        <v>1</v>
      </c>
      <c r="E94">
        <v>97</v>
      </c>
      <c r="F94">
        <v>44</v>
      </c>
      <c r="G94">
        <v>76</v>
      </c>
      <c r="H94">
        <v>111</v>
      </c>
      <c r="I94">
        <v>86</v>
      </c>
      <c r="J94">
        <v>74</v>
      </c>
      <c r="K94">
        <v>101</v>
      </c>
      <c r="L94">
        <v>29</v>
      </c>
      <c r="M94">
        <v>106</v>
      </c>
      <c r="N94">
        <v>85</v>
      </c>
      <c r="O94">
        <v>2</v>
      </c>
      <c r="P94">
        <v>61</v>
      </c>
      <c r="Q94">
        <v>8</v>
      </c>
    </row>
    <row r="95" spans="1:18" x14ac:dyDescent="0.3">
      <c r="A95">
        <v>4256248932</v>
      </c>
      <c r="B95">
        <v>1544032640</v>
      </c>
      <c r="C95">
        <v>6800</v>
      </c>
      <c r="D95" t="b">
        <v>1</v>
      </c>
      <c r="E95">
        <v>35</v>
      </c>
      <c r="F95">
        <v>33</v>
      </c>
      <c r="G95">
        <v>29</v>
      </c>
      <c r="H95">
        <v>7</v>
      </c>
      <c r="I95">
        <v>3</v>
      </c>
      <c r="J95">
        <v>69</v>
      </c>
      <c r="K95">
        <v>19</v>
      </c>
      <c r="L95">
        <v>44</v>
      </c>
      <c r="M95">
        <v>101</v>
      </c>
      <c r="N95">
        <v>50</v>
      </c>
      <c r="O95">
        <v>61</v>
      </c>
      <c r="P95">
        <v>97</v>
      </c>
      <c r="Q95">
        <v>59</v>
      </c>
    </row>
    <row r="96" spans="1:18" x14ac:dyDescent="0.3">
      <c r="A96">
        <v>4256280431</v>
      </c>
      <c r="B96">
        <v>1544034176</v>
      </c>
      <c r="C96">
        <v>7244</v>
      </c>
      <c r="D96" t="b">
        <v>1</v>
      </c>
      <c r="E96">
        <v>107</v>
      </c>
      <c r="F96">
        <v>55</v>
      </c>
      <c r="G96">
        <v>44</v>
      </c>
      <c r="H96">
        <v>93</v>
      </c>
      <c r="I96">
        <v>75</v>
      </c>
      <c r="J96">
        <v>86</v>
      </c>
      <c r="K96">
        <v>111</v>
      </c>
      <c r="L96">
        <v>82</v>
      </c>
      <c r="M96">
        <v>6</v>
      </c>
      <c r="N96">
        <v>97</v>
      </c>
      <c r="O96">
        <v>31</v>
      </c>
    </row>
    <row r="97" spans="1:17" x14ac:dyDescent="0.3">
      <c r="A97">
        <v>4256284324</v>
      </c>
      <c r="B97">
        <v>1544034432</v>
      </c>
      <c r="C97">
        <v>6863</v>
      </c>
      <c r="D97" t="b">
        <v>0</v>
      </c>
      <c r="E97">
        <v>9</v>
      </c>
      <c r="F97">
        <v>27</v>
      </c>
      <c r="G97">
        <v>44</v>
      </c>
      <c r="H97">
        <v>69</v>
      </c>
      <c r="I97">
        <v>100</v>
      </c>
      <c r="J97">
        <v>76</v>
      </c>
      <c r="K97">
        <v>86</v>
      </c>
      <c r="L97">
        <v>93</v>
      </c>
      <c r="M97">
        <v>107</v>
      </c>
      <c r="N97">
        <v>85</v>
      </c>
      <c r="O97">
        <v>2</v>
      </c>
      <c r="P97">
        <v>97</v>
      </c>
    </row>
    <row r="98" spans="1:17" x14ac:dyDescent="0.3">
      <c r="A98">
        <v>4256293423</v>
      </c>
      <c r="B98">
        <v>1544034816</v>
      </c>
      <c r="C98">
        <v>7153</v>
      </c>
      <c r="D98" t="b">
        <v>1</v>
      </c>
      <c r="E98">
        <v>50</v>
      </c>
      <c r="F98">
        <v>114</v>
      </c>
      <c r="G98">
        <v>103</v>
      </c>
      <c r="H98">
        <v>80</v>
      </c>
      <c r="I98">
        <v>16</v>
      </c>
      <c r="J98">
        <v>8</v>
      </c>
      <c r="K98">
        <v>83</v>
      </c>
      <c r="L98">
        <v>30</v>
      </c>
      <c r="M98">
        <v>97</v>
      </c>
      <c r="N98">
        <v>107</v>
      </c>
      <c r="O98">
        <v>41</v>
      </c>
      <c r="P98">
        <v>31</v>
      </c>
      <c r="Q98">
        <v>110</v>
      </c>
    </row>
    <row r="99" spans="1:17" x14ac:dyDescent="0.3">
      <c r="A99">
        <v>4256293846</v>
      </c>
      <c r="B99">
        <v>1544034816</v>
      </c>
      <c r="C99">
        <v>6850</v>
      </c>
      <c r="D99" t="b">
        <v>1</v>
      </c>
      <c r="E99">
        <v>76</v>
      </c>
      <c r="F99">
        <v>27</v>
      </c>
      <c r="G99">
        <v>97</v>
      </c>
      <c r="H99">
        <v>45</v>
      </c>
      <c r="I99">
        <v>44</v>
      </c>
      <c r="J99">
        <v>51</v>
      </c>
      <c r="K99">
        <v>25</v>
      </c>
      <c r="L99">
        <v>86</v>
      </c>
      <c r="M99">
        <v>98</v>
      </c>
      <c r="N99">
        <v>19</v>
      </c>
      <c r="O99">
        <v>13</v>
      </c>
      <c r="P99">
        <v>62</v>
      </c>
      <c r="Q99">
        <v>114</v>
      </c>
    </row>
    <row r="100" spans="1:17" x14ac:dyDescent="0.3">
      <c r="A100">
        <v>4256296487</v>
      </c>
      <c r="B100">
        <v>1544035072</v>
      </c>
      <c r="C100">
        <v>6832</v>
      </c>
      <c r="D100" t="b">
        <v>1</v>
      </c>
      <c r="E100">
        <v>41</v>
      </c>
      <c r="F100">
        <v>31</v>
      </c>
      <c r="G100">
        <v>107</v>
      </c>
      <c r="H100">
        <v>114</v>
      </c>
      <c r="I100">
        <v>78</v>
      </c>
      <c r="J100">
        <v>29</v>
      </c>
      <c r="K100">
        <v>50</v>
      </c>
      <c r="L100">
        <v>66</v>
      </c>
      <c r="M100">
        <v>34</v>
      </c>
      <c r="N100">
        <v>93</v>
      </c>
      <c r="O100">
        <v>82</v>
      </c>
      <c r="P100">
        <v>10</v>
      </c>
      <c r="Q100">
        <v>97</v>
      </c>
    </row>
    <row r="101" spans="1:17" x14ac:dyDescent="0.3">
      <c r="A101">
        <v>4256277011</v>
      </c>
      <c r="B101">
        <v>1544034048</v>
      </c>
      <c r="C101">
        <v>6810</v>
      </c>
      <c r="D101" t="b">
        <v>0</v>
      </c>
      <c r="E101">
        <v>42</v>
      </c>
      <c r="F101">
        <v>38</v>
      </c>
      <c r="G101">
        <v>11</v>
      </c>
      <c r="H101">
        <v>100</v>
      </c>
      <c r="I101">
        <v>26</v>
      </c>
      <c r="J101">
        <v>1</v>
      </c>
      <c r="K101">
        <v>114</v>
      </c>
      <c r="L101">
        <v>5</v>
      </c>
      <c r="M101">
        <v>86</v>
      </c>
      <c r="N101">
        <v>16</v>
      </c>
      <c r="O101">
        <v>44</v>
      </c>
      <c r="P101">
        <v>97</v>
      </c>
      <c r="Q101">
        <v>72</v>
      </c>
    </row>
    <row r="102" spans="1:17" x14ac:dyDescent="0.3">
      <c r="A102">
        <v>4256305117</v>
      </c>
      <c r="B102">
        <v>1544035456</v>
      </c>
      <c r="C102">
        <v>7216</v>
      </c>
      <c r="D102" t="b">
        <v>0</v>
      </c>
      <c r="E102">
        <v>27</v>
      </c>
      <c r="F102">
        <v>6</v>
      </c>
      <c r="G102">
        <v>31</v>
      </c>
      <c r="H102">
        <v>39</v>
      </c>
      <c r="I102">
        <v>72</v>
      </c>
      <c r="J102">
        <v>10</v>
      </c>
      <c r="K102">
        <v>97</v>
      </c>
      <c r="L102">
        <v>12</v>
      </c>
      <c r="M102">
        <v>112</v>
      </c>
      <c r="N102">
        <v>114</v>
      </c>
      <c r="O102">
        <v>78</v>
      </c>
      <c r="P102">
        <v>44</v>
      </c>
      <c r="Q102">
        <v>50</v>
      </c>
    </row>
    <row r="103" spans="1:17" x14ac:dyDescent="0.3">
      <c r="A103">
        <v>4256303685</v>
      </c>
      <c r="B103">
        <v>1544035328</v>
      </c>
      <c r="C103">
        <v>7155</v>
      </c>
      <c r="D103" t="b">
        <v>0</v>
      </c>
      <c r="E103">
        <v>101</v>
      </c>
      <c r="F103">
        <v>16</v>
      </c>
      <c r="G103">
        <v>50</v>
      </c>
      <c r="H103">
        <v>76</v>
      </c>
      <c r="I103">
        <v>44</v>
      </c>
      <c r="J103">
        <v>21</v>
      </c>
      <c r="K103">
        <v>10</v>
      </c>
      <c r="L103">
        <v>35</v>
      </c>
      <c r="M103">
        <v>97</v>
      </c>
      <c r="N103">
        <v>84</v>
      </c>
      <c r="O103">
        <v>47</v>
      </c>
      <c r="P103">
        <v>120</v>
      </c>
      <c r="Q103">
        <v>2</v>
      </c>
    </row>
    <row r="104" spans="1:17" x14ac:dyDescent="0.3">
      <c r="A104">
        <v>4256306039</v>
      </c>
      <c r="B104">
        <v>1544035456</v>
      </c>
      <c r="C104">
        <v>7074</v>
      </c>
      <c r="D104" t="b">
        <v>1</v>
      </c>
      <c r="E104">
        <v>88</v>
      </c>
      <c r="F104">
        <v>50</v>
      </c>
      <c r="G104">
        <v>44</v>
      </c>
      <c r="H104">
        <v>100</v>
      </c>
      <c r="I104">
        <v>16</v>
      </c>
      <c r="J104">
        <v>78</v>
      </c>
      <c r="K104">
        <v>41</v>
      </c>
      <c r="L104">
        <v>110</v>
      </c>
      <c r="M104">
        <v>76</v>
      </c>
      <c r="N104">
        <v>121</v>
      </c>
      <c r="O104">
        <v>93</v>
      </c>
      <c r="P104">
        <v>61</v>
      </c>
      <c r="Q104">
        <v>97</v>
      </c>
    </row>
    <row r="105" spans="1:17" x14ac:dyDescent="0.3">
      <c r="A105">
        <v>4256310052</v>
      </c>
      <c r="B105">
        <v>1544035712</v>
      </c>
      <c r="C105">
        <v>7040</v>
      </c>
      <c r="D105" t="b">
        <v>0</v>
      </c>
      <c r="E105">
        <v>101</v>
      </c>
      <c r="F105">
        <v>55</v>
      </c>
      <c r="G105">
        <v>2</v>
      </c>
      <c r="H105">
        <v>1</v>
      </c>
      <c r="I105">
        <v>44</v>
      </c>
      <c r="J105">
        <v>49</v>
      </c>
      <c r="K105">
        <v>16</v>
      </c>
      <c r="L105">
        <v>114</v>
      </c>
      <c r="M105">
        <v>121</v>
      </c>
      <c r="N105">
        <v>111</v>
      </c>
      <c r="O105">
        <v>62</v>
      </c>
      <c r="P105">
        <v>82</v>
      </c>
      <c r="Q105">
        <v>97</v>
      </c>
    </row>
    <row r="106" spans="1:17" x14ac:dyDescent="0.3">
      <c r="A106">
        <v>4256318236</v>
      </c>
      <c r="B106">
        <v>1544036352</v>
      </c>
      <c r="C106">
        <v>7192</v>
      </c>
      <c r="D106" t="b">
        <v>0</v>
      </c>
      <c r="E106">
        <v>93</v>
      </c>
      <c r="F106">
        <v>7</v>
      </c>
      <c r="G106">
        <v>91</v>
      </c>
      <c r="H106">
        <v>103</v>
      </c>
      <c r="I106">
        <v>101</v>
      </c>
      <c r="J106">
        <v>106</v>
      </c>
      <c r="K106">
        <v>121</v>
      </c>
      <c r="L106">
        <v>69</v>
      </c>
      <c r="M106">
        <v>66</v>
      </c>
      <c r="N106">
        <v>44</v>
      </c>
      <c r="O106">
        <v>6</v>
      </c>
      <c r="P106">
        <v>31</v>
      </c>
    </row>
    <row r="107" spans="1:17" x14ac:dyDescent="0.3">
      <c r="A107">
        <v>4256314122</v>
      </c>
      <c r="B107">
        <v>1544036352</v>
      </c>
      <c r="C107">
        <v>6982</v>
      </c>
      <c r="D107" t="b">
        <v>0</v>
      </c>
      <c r="E107">
        <v>50</v>
      </c>
      <c r="F107">
        <v>44</v>
      </c>
      <c r="G107">
        <v>38</v>
      </c>
      <c r="H107">
        <v>6</v>
      </c>
      <c r="I107">
        <v>90</v>
      </c>
      <c r="J107">
        <v>85</v>
      </c>
      <c r="K107">
        <v>93</v>
      </c>
      <c r="L107">
        <v>97</v>
      </c>
      <c r="M107">
        <v>101</v>
      </c>
      <c r="N107">
        <v>114</v>
      </c>
      <c r="O107">
        <v>82</v>
      </c>
      <c r="P107">
        <v>41</v>
      </c>
      <c r="Q107">
        <v>34</v>
      </c>
    </row>
    <row r="108" spans="1:17" x14ac:dyDescent="0.3">
      <c r="A108">
        <v>4256331889</v>
      </c>
      <c r="B108">
        <v>1544036864</v>
      </c>
      <c r="C108">
        <v>7365</v>
      </c>
      <c r="D108" t="b">
        <v>0</v>
      </c>
      <c r="E108">
        <v>50</v>
      </c>
      <c r="F108">
        <v>107</v>
      </c>
      <c r="G108">
        <v>101</v>
      </c>
      <c r="H108">
        <v>110</v>
      </c>
      <c r="I108">
        <v>63</v>
      </c>
      <c r="J108">
        <v>76</v>
      </c>
      <c r="K108">
        <v>111</v>
      </c>
      <c r="L108">
        <v>21</v>
      </c>
      <c r="M108">
        <v>93</v>
      </c>
      <c r="N108">
        <v>100</v>
      </c>
      <c r="O108">
        <v>44</v>
      </c>
    </row>
    <row r="109" spans="1:17" x14ac:dyDescent="0.3">
      <c r="A109">
        <v>4256292755</v>
      </c>
      <c r="B109">
        <v>1544036352</v>
      </c>
      <c r="C109">
        <v>6814</v>
      </c>
      <c r="D109" t="b">
        <v>0</v>
      </c>
      <c r="E109">
        <v>27</v>
      </c>
      <c r="F109">
        <v>108</v>
      </c>
      <c r="G109">
        <v>76</v>
      </c>
      <c r="H109">
        <v>8</v>
      </c>
      <c r="I109">
        <v>7</v>
      </c>
      <c r="J109">
        <v>44</v>
      </c>
      <c r="K109">
        <v>22</v>
      </c>
      <c r="L109">
        <v>45</v>
      </c>
      <c r="M109">
        <v>50</v>
      </c>
      <c r="N109">
        <v>2</v>
      </c>
      <c r="O109">
        <v>97</v>
      </c>
      <c r="P109">
        <v>1</v>
      </c>
    </row>
    <row r="110" spans="1:17" x14ac:dyDescent="0.3">
      <c r="A110">
        <v>4256341672</v>
      </c>
      <c r="B110">
        <v>1544037376</v>
      </c>
      <c r="C110">
        <v>7044</v>
      </c>
      <c r="D110" t="b">
        <v>1</v>
      </c>
      <c r="E110">
        <v>31</v>
      </c>
      <c r="F110">
        <v>1</v>
      </c>
      <c r="G110">
        <v>97</v>
      </c>
      <c r="H110">
        <v>85</v>
      </c>
      <c r="I110">
        <v>26</v>
      </c>
      <c r="J110">
        <v>41</v>
      </c>
      <c r="K110">
        <v>29</v>
      </c>
      <c r="L110">
        <v>50</v>
      </c>
      <c r="M110">
        <v>76</v>
      </c>
      <c r="N110">
        <v>9</v>
      </c>
      <c r="O110">
        <v>93</v>
      </c>
      <c r="P110">
        <v>44</v>
      </c>
    </row>
    <row r="111" spans="1:17" x14ac:dyDescent="0.3">
      <c r="A111">
        <v>4256342238</v>
      </c>
      <c r="B111">
        <v>1544037376</v>
      </c>
      <c r="C111">
        <v>7008</v>
      </c>
      <c r="D111" t="b">
        <v>1</v>
      </c>
      <c r="E111">
        <v>86</v>
      </c>
      <c r="F111">
        <v>8</v>
      </c>
      <c r="G111">
        <v>75</v>
      </c>
      <c r="H111">
        <v>97</v>
      </c>
      <c r="I111">
        <v>25</v>
      </c>
      <c r="J111">
        <v>110</v>
      </c>
      <c r="K111">
        <v>55</v>
      </c>
      <c r="L111">
        <v>1</v>
      </c>
      <c r="M111">
        <v>14</v>
      </c>
      <c r="N111">
        <v>45</v>
      </c>
      <c r="O111">
        <v>44</v>
      </c>
      <c r="P111">
        <v>59</v>
      </c>
    </row>
    <row r="112" spans="1:17" x14ac:dyDescent="0.3">
      <c r="A112">
        <v>4256337556</v>
      </c>
      <c r="B112">
        <v>1544037120</v>
      </c>
      <c r="C112">
        <v>6967</v>
      </c>
      <c r="D112" t="b">
        <v>0</v>
      </c>
      <c r="E112">
        <v>86</v>
      </c>
      <c r="F112">
        <v>44</v>
      </c>
      <c r="G112">
        <v>50</v>
      </c>
      <c r="H112">
        <v>38</v>
      </c>
      <c r="I112">
        <v>75</v>
      </c>
      <c r="J112">
        <v>114</v>
      </c>
      <c r="K112">
        <v>101</v>
      </c>
      <c r="L112">
        <v>97</v>
      </c>
      <c r="M112">
        <v>95</v>
      </c>
      <c r="N112">
        <v>111</v>
      </c>
      <c r="O112">
        <v>93</v>
      </c>
      <c r="P112">
        <v>76</v>
      </c>
      <c r="Q112">
        <v>1</v>
      </c>
    </row>
    <row r="113" spans="1:17" x14ac:dyDescent="0.3">
      <c r="A113">
        <v>4256341812</v>
      </c>
      <c r="B113">
        <v>1544037376</v>
      </c>
      <c r="C113">
        <v>6925</v>
      </c>
      <c r="D113" t="b">
        <v>1</v>
      </c>
      <c r="E113">
        <v>109</v>
      </c>
      <c r="F113">
        <v>49</v>
      </c>
      <c r="G113">
        <v>101</v>
      </c>
      <c r="H113">
        <v>45</v>
      </c>
      <c r="I113">
        <v>97</v>
      </c>
      <c r="J113">
        <v>121</v>
      </c>
      <c r="K113">
        <v>86</v>
      </c>
      <c r="L113">
        <v>8</v>
      </c>
      <c r="M113">
        <v>106</v>
      </c>
      <c r="N113">
        <v>2</v>
      </c>
    </row>
    <row r="114" spans="1:17" x14ac:dyDescent="0.3">
      <c r="A114">
        <v>4256355066</v>
      </c>
      <c r="B114">
        <v>1544038016</v>
      </c>
      <c r="C114">
        <v>7027</v>
      </c>
      <c r="D114" t="b">
        <v>0</v>
      </c>
      <c r="E114">
        <v>86</v>
      </c>
      <c r="F114">
        <v>74</v>
      </c>
      <c r="G114">
        <v>100</v>
      </c>
      <c r="H114">
        <v>28</v>
      </c>
      <c r="I114">
        <v>93</v>
      </c>
      <c r="J114">
        <v>64</v>
      </c>
      <c r="K114">
        <v>16</v>
      </c>
      <c r="L114">
        <v>41</v>
      </c>
      <c r="M114">
        <v>62</v>
      </c>
      <c r="N114">
        <v>61</v>
      </c>
      <c r="O114">
        <v>17</v>
      </c>
      <c r="P114">
        <v>44</v>
      </c>
      <c r="Q114">
        <v>97</v>
      </c>
    </row>
    <row r="115" spans="1:17" x14ac:dyDescent="0.3">
      <c r="A115">
        <v>4256350044</v>
      </c>
      <c r="B115">
        <v>1544037760</v>
      </c>
      <c r="C115">
        <v>6995</v>
      </c>
      <c r="D115" t="b">
        <v>0</v>
      </c>
      <c r="E115">
        <v>1</v>
      </c>
      <c r="F115">
        <v>78</v>
      </c>
      <c r="G115">
        <v>46</v>
      </c>
      <c r="H115">
        <v>121</v>
      </c>
      <c r="I115">
        <v>31</v>
      </c>
      <c r="J115">
        <v>16</v>
      </c>
      <c r="K115">
        <v>45</v>
      </c>
      <c r="L115">
        <v>109</v>
      </c>
      <c r="M115">
        <v>25</v>
      </c>
      <c r="N115">
        <v>85</v>
      </c>
      <c r="O115">
        <v>44</v>
      </c>
      <c r="P115">
        <v>82</v>
      </c>
      <c r="Q115">
        <v>50</v>
      </c>
    </row>
    <row r="116" spans="1:17" x14ac:dyDescent="0.3">
      <c r="A116">
        <v>4256348641</v>
      </c>
      <c r="B116">
        <v>1544037632</v>
      </c>
      <c r="C116">
        <v>6989</v>
      </c>
      <c r="D116" t="b">
        <v>0</v>
      </c>
      <c r="E116">
        <v>80</v>
      </c>
      <c r="F116">
        <v>6</v>
      </c>
      <c r="G116">
        <v>88</v>
      </c>
      <c r="H116">
        <v>33</v>
      </c>
      <c r="I116">
        <v>68</v>
      </c>
      <c r="J116">
        <v>94</v>
      </c>
      <c r="K116">
        <v>91</v>
      </c>
      <c r="L116">
        <v>38</v>
      </c>
      <c r="M116">
        <v>111</v>
      </c>
      <c r="N116">
        <v>40</v>
      </c>
      <c r="O116">
        <v>34</v>
      </c>
      <c r="P116">
        <v>44</v>
      </c>
    </row>
    <row r="117" spans="1:17" x14ac:dyDescent="0.3">
      <c r="A117">
        <v>4256345237</v>
      </c>
      <c r="B117">
        <v>1544037504</v>
      </c>
      <c r="C117">
        <v>6906</v>
      </c>
      <c r="D117" t="b">
        <v>1</v>
      </c>
      <c r="E117">
        <v>76</v>
      </c>
      <c r="F117">
        <v>44</v>
      </c>
      <c r="G117">
        <v>31</v>
      </c>
      <c r="H117">
        <v>97</v>
      </c>
      <c r="I117">
        <v>50</v>
      </c>
      <c r="J117">
        <v>6</v>
      </c>
      <c r="K117">
        <v>2</v>
      </c>
      <c r="L117">
        <v>86</v>
      </c>
      <c r="M117">
        <v>91</v>
      </c>
      <c r="N117">
        <v>72</v>
      </c>
      <c r="O117">
        <v>64</v>
      </c>
      <c r="P117">
        <v>55</v>
      </c>
      <c r="Q117">
        <v>114</v>
      </c>
    </row>
    <row r="118" spans="1:17" x14ac:dyDescent="0.3">
      <c r="A118">
        <v>4256351781</v>
      </c>
      <c r="B118">
        <v>1544037888</v>
      </c>
      <c r="C118">
        <v>6873</v>
      </c>
      <c r="D118" t="b">
        <v>0</v>
      </c>
      <c r="E118">
        <v>2</v>
      </c>
      <c r="F118">
        <v>100</v>
      </c>
      <c r="G118">
        <v>34</v>
      </c>
      <c r="H118">
        <v>75</v>
      </c>
      <c r="I118">
        <v>4</v>
      </c>
      <c r="J118">
        <v>55</v>
      </c>
      <c r="K118">
        <v>14</v>
      </c>
      <c r="L118">
        <v>71</v>
      </c>
      <c r="M118">
        <v>59</v>
      </c>
      <c r="N118">
        <v>8</v>
      </c>
      <c r="O118">
        <v>97</v>
      </c>
      <c r="P118">
        <v>76</v>
      </c>
      <c r="Q118">
        <v>44</v>
      </c>
    </row>
    <row r="119" spans="1:17" x14ac:dyDescent="0.3">
      <c r="A119">
        <v>4256376053</v>
      </c>
      <c r="B119">
        <v>1544039168</v>
      </c>
      <c r="C119">
        <v>7560</v>
      </c>
      <c r="D119" t="b">
        <v>0</v>
      </c>
      <c r="E119">
        <v>3</v>
      </c>
      <c r="F119">
        <v>16</v>
      </c>
      <c r="G119">
        <v>93</v>
      </c>
      <c r="H119">
        <v>91</v>
      </c>
      <c r="I119">
        <v>80</v>
      </c>
      <c r="J119">
        <v>9</v>
      </c>
      <c r="K119">
        <v>13</v>
      </c>
      <c r="L119">
        <v>100</v>
      </c>
      <c r="M119">
        <v>50</v>
      </c>
      <c r="N119">
        <v>44</v>
      </c>
      <c r="O119">
        <v>97</v>
      </c>
      <c r="P119">
        <v>76</v>
      </c>
    </row>
    <row r="120" spans="1:17" x14ac:dyDescent="0.3">
      <c r="A120">
        <v>4256368275</v>
      </c>
      <c r="B120">
        <v>1544038784</v>
      </c>
      <c r="C120">
        <v>6982</v>
      </c>
      <c r="D120" t="b">
        <v>0</v>
      </c>
      <c r="E120">
        <v>86</v>
      </c>
      <c r="F120">
        <v>2</v>
      </c>
      <c r="G120">
        <v>9</v>
      </c>
      <c r="H120">
        <v>76</v>
      </c>
      <c r="I120">
        <v>79</v>
      </c>
      <c r="J120">
        <v>110</v>
      </c>
      <c r="K120">
        <v>1</v>
      </c>
      <c r="L120">
        <v>3</v>
      </c>
      <c r="M120">
        <v>46</v>
      </c>
      <c r="N120">
        <v>97</v>
      </c>
      <c r="O120">
        <v>38</v>
      </c>
      <c r="P120">
        <v>44</v>
      </c>
      <c r="Q120">
        <v>114</v>
      </c>
    </row>
    <row r="121" spans="1:17" x14ac:dyDescent="0.3">
      <c r="A121">
        <v>4256376345</v>
      </c>
      <c r="B121">
        <v>1544039296</v>
      </c>
      <c r="C121">
        <v>7006</v>
      </c>
      <c r="D121" t="b">
        <v>1</v>
      </c>
      <c r="E121">
        <v>76</v>
      </c>
      <c r="F121">
        <v>41</v>
      </c>
      <c r="G121">
        <v>16</v>
      </c>
      <c r="H121">
        <v>31</v>
      </c>
      <c r="I121">
        <v>101</v>
      </c>
      <c r="J121">
        <v>86</v>
      </c>
      <c r="K121">
        <v>78</v>
      </c>
      <c r="L121">
        <v>109</v>
      </c>
      <c r="M121">
        <v>19</v>
      </c>
      <c r="N121">
        <v>121</v>
      </c>
      <c r="O121">
        <v>44</v>
      </c>
      <c r="P121">
        <v>97</v>
      </c>
      <c r="Q121">
        <v>61</v>
      </c>
    </row>
    <row r="122" spans="1:17" x14ac:dyDescent="0.3">
      <c r="A122">
        <v>4256369205</v>
      </c>
      <c r="B122">
        <v>1544038784</v>
      </c>
      <c r="C122">
        <v>6844</v>
      </c>
      <c r="D122" t="b">
        <v>1</v>
      </c>
      <c r="E122">
        <v>8</v>
      </c>
      <c r="F122">
        <v>62</v>
      </c>
      <c r="G122">
        <v>75</v>
      </c>
      <c r="H122">
        <v>111</v>
      </c>
      <c r="I122">
        <v>120</v>
      </c>
      <c r="J122">
        <v>97</v>
      </c>
      <c r="K122">
        <v>44</v>
      </c>
      <c r="L122">
        <v>19</v>
      </c>
      <c r="M122">
        <v>32</v>
      </c>
      <c r="N122">
        <v>49</v>
      </c>
      <c r="O122">
        <v>83</v>
      </c>
      <c r="P122">
        <v>2</v>
      </c>
      <c r="Q122">
        <v>109</v>
      </c>
    </row>
    <row r="123" spans="1:17" x14ac:dyDescent="0.3">
      <c r="A123">
        <v>4256368619</v>
      </c>
      <c r="B123">
        <v>1544038784</v>
      </c>
      <c r="C123">
        <v>6829</v>
      </c>
      <c r="D123" t="b">
        <v>0</v>
      </c>
      <c r="E123">
        <v>38</v>
      </c>
      <c r="F123">
        <v>94</v>
      </c>
      <c r="G123">
        <v>90</v>
      </c>
      <c r="H123">
        <v>114</v>
      </c>
      <c r="I123">
        <v>97</v>
      </c>
      <c r="J123">
        <v>44</v>
      </c>
      <c r="K123">
        <v>19</v>
      </c>
      <c r="L123">
        <v>86</v>
      </c>
      <c r="M123">
        <v>25</v>
      </c>
      <c r="N123">
        <v>75</v>
      </c>
      <c r="O123">
        <v>41</v>
      </c>
      <c r="P123">
        <v>50</v>
      </c>
    </row>
    <row r="124" spans="1:17" x14ac:dyDescent="0.3">
      <c r="A124">
        <v>4256378681</v>
      </c>
      <c r="B124">
        <v>1544039424</v>
      </c>
      <c r="C124">
        <v>7009</v>
      </c>
      <c r="D124" t="b">
        <v>1</v>
      </c>
      <c r="E124">
        <v>61</v>
      </c>
      <c r="F124">
        <v>41</v>
      </c>
      <c r="G124">
        <v>50</v>
      </c>
      <c r="H124">
        <v>14</v>
      </c>
      <c r="I124">
        <v>16</v>
      </c>
      <c r="J124">
        <v>66</v>
      </c>
      <c r="K124">
        <v>28</v>
      </c>
      <c r="L124">
        <v>44</v>
      </c>
      <c r="M124">
        <v>107</v>
      </c>
      <c r="N124">
        <v>76</v>
      </c>
      <c r="O124">
        <v>119</v>
      </c>
      <c r="P124">
        <v>97</v>
      </c>
      <c r="Q124">
        <v>82</v>
      </c>
    </row>
    <row r="125" spans="1:17" x14ac:dyDescent="0.3">
      <c r="A125">
        <v>4256386131</v>
      </c>
      <c r="B125">
        <v>1544039808</v>
      </c>
      <c r="C125">
        <v>6999</v>
      </c>
      <c r="D125" t="b">
        <v>0</v>
      </c>
      <c r="E125">
        <v>50</v>
      </c>
      <c r="F125">
        <v>121</v>
      </c>
      <c r="G125">
        <v>93</v>
      </c>
      <c r="H125">
        <v>78</v>
      </c>
      <c r="I125">
        <v>76</v>
      </c>
      <c r="J125">
        <v>101</v>
      </c>
      <c r="K125">
        <v>25</v>
      </c>
      <c r="L125">
        <v>8</v>
      </c>
      <c r="M125">
        <v>97</v>
      </c>
      <c r="N125">
        <v>75</v>
      </c>
      <c r="O125">
        <v>91</v>
      </c>
    </row>
    <row r="126" spans="1:17" x14ac:dyDescent="0.3">
      <c r="A126">
        <v>4256386224</v>
      </c>
      <c r="B126">
        <v>1544039808</v>
      </c>
      <c r="C126">
        <v>6844</v>
      </c>
      <c r="D126" t="b">
        <v>1</v>
      </c>
      <c r="E126">
        <v>12</v>
      </c>
      <c r="F126">
        <v>7</v>
      </c>
      <c r="G126">
        <v>2</v>
      </c>
      <c r="H126">
        <v>112</v>
      </c>
      <c r="I126">
        <v>45</v>
      </c>
      <c r="J126">
        <v>93</v>
      </c>
      <c r="K126">
        <v>3</v>
      </c>
      <c r="L126">
        <v>50</v>
      </c>
      <c r="M126">
        <v>86</v>
      </c>
      <c r="N126">
        <v>34</v>
      </c>
      <c r="O126">
        <v>44</v>
      </c>
      <c r="P126">
        <v>59</v>
      </c>
      <c r="Q126">
        <v>97</v>
      </c>
    </row>
    <row r="127" spans="1:17" x14ac:dyDescent="0.3">
      <c r="A127">
        <v>4256406852</v>
      </c>
      <c r="B127">
        <v>1544041088</v>
      </c>
      <c r="C127">
        <v>6863</v>
      </c>
      <c r="D127" t="b">
        <v>1</v>
      </c>
      <c r="E127">
        <v>44</v>
      </c>
      <c r="F127">
        <v>86</v>
      </c>
      <c r="G127">
        <v>85</v>
      </c>
      <c r="H127">
        <v>76</v>
      </c>
      <c r="I127">
        <v>28</v>
      </c>
      <c r="J127">
        <v>121</v>
      </c>
      <c r="K127">
        <v>19</v>
      </c>
      <c r="L127">
        <v>50</v>
      </c>
      <c r="M127">
        <v>8</v>
      </c>
      <c r="N127">
        <v>97</v>
      </c>
      <c r="O127">
        <v>82</v>
      </c>
      <c r="P127">
        <v>78</v>
      </c>
    </row>
    <row r="128" spans="1:17" x14ac:dyDescent="0.3">
      <c r="A128">
        <v>4256370017</v>
      </c>
      <c r="B128">
        <v>1544038912</v>
      </c>
      <c r="C128">
        <v>6804</v>
      </c>
      <c r="D128" t="b">
        <v>1</v>
      </c>
      <c r="E128">
        <v>101</v>
      </c>
      <c r="F128">
        <v>50</v>
      </c>
      <c r="G128">
        <v>44</v>
      </c>
      <c r="H128">
        <v>119</v>
      </c>
      <c r="I128">
        <v>7</v>
      </c>
      <c r="J128">
        <v>1</v>
      </c>
      <c r="K128">
        <v>74</v>
      </c>
      <c r="L128">
        <v>90</v>
      </c>
      <c r="M128">
        <v>107</v>
      </c>
      <c r="N128">
        <v>45</v>
      </c>
      <c r="O128">
        <v>2</v>
      </c>
      <c r="P128">
        <v>97</v>
      </c>
      <c r="Q128">
        <v>91</v>
      </c>
    </row>
    <row r="129" spans="1:18" x14ac:dyDescent="0.3">
      <c r="A129">
        <v>4256388231</v>
      </c>
      <c r="B129">
        <v>1544039936</v>
      </c>
      <c r="C129">
        <v>6734</v>
      </c>
      <c r="D129" t="b">
        <v>0</v>
      </c>
      <c r="E129">
        <v>110</v>
      </c>
      <c r="F129">
        <v>121</v>
      </c>
      <c r="G129">
        <v>76</v>
      </c>
      <c r="H129">
        <v>95</v>
      </c>
      <c r="I129">
        <v>28</v>
      </c>
      <c r="J129">
        <v>16</v>
      </c>
      <c r="K129">
        <v>70</v>
      </c>
      <c r="L129">
        <v>69</v>
      </c>
      <c r="M129">
        <v>44</v>
      </c>
      <c r="N129">
        <v>40</v>
      </c>
      <c r="O129">
        <v>109</v>
      </c>
      <c r="P129">
        <v>97</v>
      </c>
    </row>
    <row r="130" spans="1:18" x14ac:dyDescent="0.3">
      <c r="A130">
        <v>4256394043</v>
      </c>
      <c r="B130">
        <v>1544040320</v>
      </c>
      <c r="C130">
        <v>6691</v>
      </c>
      <c r="D130" t="b">
        <v>0</v>
      </c>
      <c r="E130">
        <v>100</v>
      </c>
      <c r="F130">
        <v>34</v>
      </c>
      <c r="G130">
        <v>101</v>
      </c>
      <c r="H130">
        <v>114</v>
      </c>
      <c r="I130">
        <v>9</v>
      </c>
      <c r="J130">
        <v>44</v>
      </c>
      <c r="K130">
        <v>71</v>
      </c>
      <c r="L130">
        <v>2</v>
      </c>
      <c r="M130">
        <v>66</v>
      </c>
      <c r="N130">
        <v>86</v>
      </c>
      <c r="O130">
        <v>93</v>
      </c>
      <c r="P130">
        <v>97</v>
      </c>
      <c r="Q130">
        <v>82</v>
      </c>
    </row>
    <row r="131" spans="1:18" x14ac:dyDescent="0.3">
      <c r="A131">
        <v>4256414000</v>
      </c>
      <c r="B131">
        <v>1544041472</v>
      </c>
      <c r="C131">
        <v>7424</v>
      </c>
      <c r="D131" t="b">
        <v>0</v>
      </c>
      <c r="E131">
        <v>109</v>
      </c>
      <c r="F131">
        <v>101</v>
      </c>
      <c r="G131">
        <v>64</v>
      </c>
      <c r="H131">
        <v>76</v>
      </c>
      <c r="I131">
        <v>16</v>
      </c>
      <c r="J131">
        <v>88</v>
      </c>
      <c r="K131">
        <v>1</v>
      </c>
      <c r="L131">
        <v>86</v>
      </c>
      <c r="M131">
        <v>50</v>
      </c>
      <c r="N131">
        <v>9</v>
      </c>
      <c r="O131">
        <v>44</v>
      </c>
      <c r="P131">
        <v>97</v>
      </c>
    </row>
    <row r="132" spans="1:18" x14ac:dyDescent="0.3">
      <c r="A132">
        <v>4256416204</v>
      </c>
      <c r="B132">
        <v>1544041600</v>
      </c>
      <c r="C132">
        <v>7176</v>
      </c>
      <c r="D132" t="b">
        <v>1</v>
      </c>
      <c r="E132">
        <v>97</v>
      </c>
      <c r="F132">
        <v>19</v>
      </c>
      <c r="G132">
        <v>111</v>
      </c>
      <c r="H132">
        <v>100</v>
      </c>
      <c r="I132">
        <v>44</v>
      </c>
      <c r="J132">
        <v>101</v>
      </c>
      <c r="K132">
        <v>114</v>
      </c>
      <c r="L132">
        <v>78</v>
      </c>
      <c r="M132">
        <v>86</v>
      </c>
      <c r="N132">
        <v>59</v>
      </c>
      <c r="O132">
        <v>80</v>
      </c>
      <c r="P132">
        <v>93</v>
      </c>
      <c r="Q132">
        <v>82</v>
      </c>
    </row>
    <row r="133" spans="1:18" x14ac:dyDescent="0.3">
      <c r="A133">
        <v>4256416062</v>
      </c>
      <c r="B133">
        <v>1544041600</v>
      </c>
      <c r="C133">
        <v>7085</v>
      </c>
      <c r="D133" t="b">
        <v>0</v>
      </c>
      <c r="E133">
        <v>45</v>
      </c>
      <c r="F133">
        <v>111</v>
      </c>
      <c r="G133">
        <v>97</v>
      </c>
      <c r="H133">
        <v>29</v>
      </c>
      <c r="I133">
        <v>1</v>
      </c>
      <c r="J133">
        <v>55</v>
      </c>
      <c r="K133">
        <v>110</v>
      </c>
      <c r="L133">
        <v>76</v>
      </c>
      <c r="M133">
        <v>71</v>
      </c>
      <c r="N133">
        <v>44</v>
      </c>
      <c r="O133">
        <v>34</v>
      </c>
    </row>
    <row r="134" spans="1:18" x14ac:dyDescent="0.3">
      <c r="A134">
        <v>4256408466</v>
      </c>
      <c r="B134">
        <v>1544041216</v>
      </c>
      <c r="C134">
        <v>6867</v>
      </c>
      <c r="D134" t="b">
        <v>1</v>
      </c>
      <c r="E134">
        <v>69</v>
      </c>
      <c r="F134">
        <v>59</v>
      </c>
      <c r="G134">
        <v>114</v>
      </c>
      <c r="H134">
        <v>87</v>
      </c>
      <c r="I134">
        <v>21</v>
      </c>
      <c r="J134">
        <v>40</v>
      </c>
      <c r="K134">
        <v>22</v>
      </c>
      <c r="L134">
        <v>48</v>
      </c>
      <c r="M134">
        <v>50</v>
      </c>
      <c r="N134">
        <v>86</v>
      </c>
      <c r="O134">
        <v>85</v>
      </c>
      <c r="P134">
        <v>1</v>
      </c>
      <c r="Q134">
        <v>44</v>
      </c>
    </row>
    <row r="135" spans="1:18" x14ac:dyDescent="0.3">
      <c r="A135">
        <v>4256424538</v>
      </c>
      <c r="B135">
        <v>1544042112</v>
      </c>
      <c r="C135">
        <v>6916</v>
      </c>
      <c r="D135" t="b">
        <v>1</v>
      </c>
      <c r="E135">
        <v>109</v>
      </c>
      <c r="F135">
        <v>79</v>
      </c>
      <c r="G135">
        <v>2</v>
      </c>
      <c r="H135">
        <v>45</v>
      </c>
      <c r="I135">
        <v>86</v>
      </c>
      <c r="J135">
        <v>76</v>
      </c>
      <c r="K135">
        <v>85</v>
      </c>
      <c r="L135">
        <v>93</v>
      </c>
      <c r="M135">
        <v>101</v>
      </c>
      <c r="N135">
        <v>98</v>
      </c>
      <c r="O135">
        <v>97</v>
      </c>
      <c r="P135">
        <v>44</v>
      </c>
    </row>
    <row r="136" spans="1:18" x14ac:dyDescent="0.3">
      <c r="A136">
        <v>4256413611</v>
      </c>
      <c r="B136">
        <v>1544041472</v>
      </c>
      <c r="C136">
        <v>6807</v>
      </c>
      <c r="D136" t="b">
        <v>1</v>
      </c>
      <c r="E136">
        <v>48</v>
      </c>
      <c r="F136">
        <v>97</v>
      </c>
      <c r="G136">
        <v>68</v>
      </c>
      <c r="H136">
        <v>6</v>
      </c>
      <c r="I136">
        <v>38</v>
      </c>
      <c r="J136">
        <v>19</v>
      </c>
      <c r="K136">
        <v>59</v>
      </c>
      <c r="L136">
        <v>109</v>
      </c>
      <c r="M136">
        <v>66</v>
      </c>
      <c r="N136">
        <v>50</v>
      </c>
      <c r="O136">
        <v>44</v>
      </c>
      <c r="P136">
        <v>47</v>
      </c>
    </row>
    <row r="137" spans="1:18" x14ac:dyDescent="0.3">
      <c r="A137">
        <v>4256420728</v>
      </c>
      <c r="B137">
        <v>1544041984</v>
      </c>
      <c r="C137">
        <v>6806</v>
      </c>
      <c r="D137" t="b">
        <v>0</v>
      </c>
      <c r="E137">
        <v>8</v>
      </c>
      <c r="F137">
        <v>5</v>
      </c>
      <c r="G137">
        <v>80</v>
      </c>
      <c r="H137">
        <v>16</v>
      </c>
      <c r="I137">
        <v>91</v>
      </c>
      <c r="J137">
        <v>50</v>
      </c>
      <c r="K137">
        <v>55</v>
      </c>
      <c r="L137">
        <v>74</v>
      </c>
      <c r="M137">
        <v>71</v>
      </c>
      <c r="N137">
        <v>114</v>
      </c>
      <c r="O137">
        <v>97</v>
      </c>
      <c r="P137">
        <v>44</v>
      </c>
      <c r="Q137">
        <v>10</v>
      </c>
    </row>
    <row r="138" spans="1:18" x14ac:dyDescent="0.3">
      <c r="A138">
        <v>4256426131</v>
      </c>
      <c r="B138">
        <v>1544042240</v>
      </c>
      <c r="C138">
        <v>6746</v>
      </c>
      <c r="D138" t="b">
        <v>1</v>
      </c>
      <c r="E138">
        <v>111</v>
      </c>
      <c r="F138">
        <v>44</v>
      </c>
      <c r="G138">
        <v>7</v>
      </c>
      <c r="H138">
        <v>19</v>
      </c>
      <c r="I138">
        <v>22</v>
      </c>
      <c r="J138">
        <v>8</v>
      </c>
      <c r="K138">
        <v>50</v>
      </c>
      <c r="L138">
        <v>75</v>
      </c>
      <c r="M138">
        <v>29</v>
      </c>
      <c r="N138">
        <v>87</v>
      </c>
      <c r="O138">
        <v>2</v>
      </c>
      <c r="P138">
        <v>97</v>
      </c>
      <c r="Q138">
        <v>34</v>
      </c>
    </row>
    <row r="139" spans="1:18" x14ac:dyDescent="0.3">
      <c r="A139">
        <v>4256420303</v>
      </c>
      <c r="B139">
        <v>1544041856</v>
      </c>
      <c r="C139">
        <v>6725</v>
      </c>
      <c r="D139" t="b">
        <v>0</v>
      </c>
      <c r="E139">
        <v>86</v>
      </c>
      <c r="F139">
        <v>93</v>
      </c>
      <c r="G139">
        <v>11</v>
      </c>
      <c r="H139">
        <v>96</v>
      </c>
      <c r="I139">
        <v>97</v>
      </c>
      <c r="J139">
        <v>100</v>
      </c>
      <c r="K139">
        <v>111</v>
      </c>
      <c r="L139">
        <v>95</v>
      </c>
      <c r="M139">
        <v>2</v>
      </c>
      <c r="N139">
        <v>68</v>
      </c>
      <c r="O139">
        <v>120</v>
      </c>
      <c r="P139">
        <v>114</v>
      </c>
      <c r="Q139">
        <v>1</v>
      </c>
      <c r="R139">
        <v>41</v>
      </c>
    </row>
    <row r="140" spans="1:18" x14ac:dyDescent="0.3">
      <c r="A140">
        <v>4256427106</v>
      </c>
      <c r="B140">
        <v>1544042368</v>
      </c>
      <c r="C140">
        <v>7043</v>
      </c>
      <c r="D140" t="b">
        <v>1</v>
      </c>
      <c r="E140">
        <v>45</v>
      </c>
      <c r="F140">
        <v>107</v>
      </c>
      <c r="G140">
        <v>44</v>
      </c>
      <c r="H140">
        <v>66</v>
      </c>
      <c r="I140">
        <v>110</v>
      </c>
      <c r="J140">
        <v>112</v>
      </c>
      <c r="K140">
        <v>16</v>
      </c>
      <c r="L140">
        <v>6</v>
      </c>
      <c r="M140">
        <v>50</v>
      </c>
      <c r="N140">
        <v>10</v>
      </c>
      <c r="O140">
        <v>97</v>
      </c>
    </row>
    <row r="141" spans="1:18" x14ac:dyDescent="0.3">
      <c r="A141">
        <v>4256431517</v>
      </c>
      <c r="B141">
        <v>1544042624</v>
      </c>
      <c r="C141">
        <v>7012</v>
      </c>
      <c r="D141" t="b">
        <v>1</v>
      </c>
      <c r="E141">
        <v>107</v>
      </c>
      <c r="F141">
        <v>50</v>
      </c>
      <c r="G141">
        <v>31</v>
      </c>
      <c r="H141">
        <v>93</v>
      </c>
      <c r="I141">
        <v>35</v>
      </c>
      <c r="J141">
        <v>121</v>
      </c>
      <c r="K141">
        <v>76</v>
      </c>
      <c r="L141">
        <v>6</v>
      </c>
      <c r="M141">
        <v>2</v>
      </c>
      <c r="N141">
        <v>86</v>
      </c>
      <c r="O141">
        <v>16</v>
      </c>
      <c r="P141">
        <v>61</v>
      </c>
      <c r="Q141">
        <v>44</v>
      </c>
      <c r="R141">
        <v>97</v>
      </c>
    </row>
    <row r="142" spans="1:18" x14ac:dyDescent="0.3">
      <c r="A142">
        <v>4256442387</v>
      </c>
      <c r="B142">
        <v>1544043392</v>
      </c>
      <c r="C142">
        <v>7138</v>
      </c>
      <c r="D142" t="b">
        <v>0</v>
      </c>
      <c r="E142">
        <v>44</v>
      </c>
      <c r="F142">
        <v>101</v>
      </c>
      <c r="G142">
        <v>74</v>
      </c>
      <c r="H142">
        <v>21</v>
      </c>
      <c r="I142">
        <v>111</v>
      </c>
      <c r="J142">
        <v>114</v>
      </c>
      <c r="K142">
        <v>97</v>
      </c>
      <c r="L142">
        <v>3</v>
      </c>
      <c r="M142">
        <v>78</v>
      </c>
      <c r="N142">
        <v>121</v>
      </c>
      <c r="O142">
        <v>40</v>
      </c>
      <c r="P142">
        <v>82</v>
      </c>
    </row>
    <row r="143" spans="1:18" x14ac:dyDescent="0.3">
      <c r="A143">
        <v>4256438934</v>
      </c>
      <c r="B143">
        <v>1544043136</v>
      </c>
      <c r="C143">
        <v>6981</v>
      </c>
      <c r="D143" t="b">
        <v>1</v>
      </c>
      <c r="E143">
        <v>36</v>
      </c>
      <c r="F143">
        <v>121</v>
      </c>
      <c r="G143">
        <v>97</v>
      </c>
      <c r="H143">
        <v>93</v>
      </c>
      <c r="I143">
        <v>87</v>
      </c>
      <c r="J143">
        <v>50</v>
      </c>
      <c r="K143">
        <v>75</v>
      </c>
      <c r="L143">
        <v>101</v>
      </c>
      <c r="M143">
        <v>109</v>
      </c>
      <c r="N143">
        <v>80</v>
      </c>
      <c r="O143">
        <v>41</v>
      </c>
      <c r="P143">
        <v>1</v>
      </c>
      <c r="Q143">
        <v>44</v>
      </c>
    </row>
    <row r="144" spans="1:18" x14ac:dyDescent="0.3">
      <c r="A144">
        <v>4256444021</v>
      </c>
      <c r="B144">
        <v>1544043520</v>
      </c>
      <c r="C144">
        <v>7017</v>
      </c>
      <c r="D144" t="b">
        <v>1</v>
      </c>
      <c r="E144">
        <v>16</v>
      </c>
      <c r="F144">
        <v>71</v>
      </c>
      <c r="G144">
        <v>3</v>
      </c>
      <c r="H144">
        <v>23</v>
      </c>
      <c r="I144">
        <v>44</v>
      </c>
      <c r="J144">
        <v>86</v>
      </c>
      <c r="K144">
        <v>110</v>
      </c>
      <c r="L144">
        <v>26</v>
      </c>
      <c r="M144">
        <v>38</v>
      </c>
      <c r="N144">
        <v>48</v>
      </c>
      <c r="O144">
        <v>91</v>
      </c>
      <c r="P144">
        <v>97</v>
      </c>
    </row>
    <row r="145" spans="1:17" x14ac:dyDescent="0.3">
      <c r="A145">
        <v>4256437158</v>
      </c>
      <c r="B145">
        <v>1544043008</v>
      </c>
      <c r="C145">
        <v>6903</v>
      </c>
      <c r="D145" t="b">
        <v>0</v>
      </c>
      <c r="E145">
        <v>35</v>
      </c>
      <c r="F145">
        <v>19</v>
      </c>
      <c r="G145">
        <v>85</v>
      </c>
      <c r="H145">
        <v>97</v>
      </c>
      <c r="I145">
        <v>10</v>
      </c>
      <c r="J145">
        <v>76</v>
      </c>
      <c r="K145">
        <v>57</v>
      </c>
      <c r="L145">
        <v>105</v>
      </c>
      <c r="M145">
        <v>27</v>
      </c>
      <c r="N145">
        <v>41</v>
      </c>
      <c r="O145">
        <v>44</v>
      </c>
      <c r="P145">
        <v>50</v>
      </c>
      <c r="Q145">
        <v>61</v>
      </c>
    </row>
    <row r="146" spans="1:17" x14ac:dyDescent="0.3">
      <c r="A146">
        <v>4256452679</v>
      </c>
      <c r="B146">
        <v>1544044032</v>
      </c>
      <c r="C146">
        <v>7294</v>
      </c>
      <c r="D146" t="b">
        <v>1</v>
      </c>
      <c r="E146">
        <v>44</v>
      </c>
      <c r="F146">
        <v>112</v>
      </c>
      <c r="G146">
        <v>76</v>
      </c>
      <c r="H146">
        <v>100</v>
      </c>
      <c r="I146">
        <v>50</v>
      </c>
      <c r="J146">
        <v>91</v>
      </c>
      <c r="K146">
        <v>72</v>
      </c>
      <c r="L146">
        <v>36</v>
      </c>
      <c r="M146">
        <v>10</v>
      </c>
      <c r="N146">
        <v>31</v>
      </c>
      <c r="O146">
        <v>121</v>
      </c>
      <c r="P146">
        <v>110</v>
      </c>
      <c r="Q146">
        <v>97</v>
      </c>
    </row>
    <row r="147" spans="1:17" x14ac:dyDescent="0.3">
      <c r="A147">
        <v>4256452885</v>
      </c>
      <c r="B147">
        <v>1544044032</v>
      </c>
      <c r="C147">
        <v>6879</v>
      </c>
      <c r="D147" t="b">
        <v>0</v>
      </c>
      <c r="E147">
        <v>121</v>
      </c>
      <c r="F147">
        <v>59</v>
      </c>
      <c r="G147">
        <v>114</v>
      </c>
      <c r="H147">
        <v>8</v>
      </c>
      <c r="I147">
        <v>19</v>
      </c>
      <c r="J147">
        <v>26</v>
      </c>
      <c r="K147">
        <v>51</v>
      </c>
      <c r="L147">
        <v>86</v>
      </c>
      <c r="M147">
        <v>70</v>
      </c>
      <c r="N147">
        <v>80</v>
      </c>
      <c r="O147">
        <v>44</v>
      </c>
      <c r="P147">
        <v>97</v>
      </c>
    </row>
    <row r="148" spans="1:17" x14ac:dyDescent="0.3">
      <c r="A148">
        <v>4256461335</v>
      </c>
      <c r="B148">
        <v>1544044672</v>
      </c>
      <c r="C148">
        <v>6936</v>
      </c>
    </row>
    <row r="149" spans="1:17" x14ac:dyDescent="0.3">
      <c r="A149">
        <v>4256454639</v>
      </c>
      <c r="B149">
        <v>1544044160</v>
      </c>
      <c r="C149">
        <v>6810</v>
      </c>
      <c r="D149" t="b">
        <v>1</v>
      </c>
      <c r="E149">
        <v>96</v>
      </c>
      <c r="F149">
        <v>13</v>
      </c>
      <c r="G149">
        <v>1</v>
      </c>
      <c r="H149">
        <v>64</v>
      </c>
      <c r="I149">
        <v>97</v>
      </c>
      <c r="J149">
        <v>31</v>
      </c>
      <c r="K149">
        <v>44</v>
      </c>
      <c r="L149">
        <v>104</v>
      </c>
      <c r="M149">
        <v>14</v>
      </c>
      <c r="N149">
        <v>100</v>
      </c>
      <c r="O149">
        <v>59</v>
      </c>
    </row>
    <row r="150" spans="1:17" x14ac:dyDescent="0.3">
      <c r="A150">
        <v>4256430401</v>
      </c>
      <c r="B150">
        <v>1544042496</v>
      </c>
      <c r="C150">
        <v>6783</v>
      </c>
      <c r="D150" t="b">
        <v>0</v>
      </c>
      <c r="E150">
        <v>90</v>
      </c>
      <c r="F150">
        <v>6</v>
      </c>
      <c r="G150">
        <v>41</v>
      </c>
      <c r="H150">
        <v>78</v>
      </c>
      <c r="I150">
        <v>50</v>
      </c>
      <c r="J150">
        <v>114</v>
      </c>
      <c r="K150">
        <v>21</v>
      </c>
      <c r="L150">
        <v>44</v>
      </c>
      <c r="M150">
        <v>14</v>
      </c>
      <c r="N150">
        <v>9</v>
      </c>
      <c r="O150">
        <v>121</v>
      </c>
      <c r="P150">
        <v>93</v>
      </c>
      <c r="Q150">
        <v>94</v>
      </c>
    </row>
    <row r="151" spans="1:17" x14ac:dyDescent="0.3">
      <c r="A151">
        <v>4256470676</v>
      </c>
      <c r="B151">
        <v>1544045312</v>
      </c>
      <c r="C151">
        <v>7125</v>
      </c>
      <c r="D151" t="b">
        <v>1</v>
      </c>
      <c r="E151">
        <v>7</v>
      </c>
      <c r="F151">
        <v>76</v>
      </c>
      <c r="G151">
        <v>38</v>
      </c>
      <c r="H151">
        <v>111</v>
      </c>
      <c r="I151">
        <v>86</v>
      </c>
      <c r="J151">
        <v>19</v>
      </c>
      <c r="K151">
        <v>68</v>
      </c>
      <c r="L151">
        <v>49</v>
      </c>
      <c r="M151">
        <v>44</v>
      </c>
      <c r="N151">
        <v>71</v>
      </c>
      <c r="O151">
        <v>121</v>
      </c>
      <c r="P151">
        <v>82</v>
      </c>
      <c r="Q151">
        <v>66</v>
      </c>
    </row>
    <row r="152" spans="1:17" x14ac:dyDescent="0.3">
      <c r="A152">
        <v>4256462443</v>
      </c>
      <c r="B152">
        <v>1544044800</v>
      </c>
      <c r="C152">
        <v>6896</v>
      </c>
      <c r="D152" t="b">
        <v>0</v>
      </c>
      <c r="E152">
        <v>86</v>
      </c>
      <c r="F152">
        <v>84</v>
      </c>
      <c r="G152">
        <v>74</v>
      </c>
      <c r="H152">
        <v>8</v>
      </c>
      <c r="I152">
        <v>29</v>
      </c>
      <c r="J152">
        <v>35</v>
      </c>
      <c r="K152">
        <v>71</v>
      </c>
      <c r="L152">
        <v>26</v>
      </c>
      <c r="M152">
        <v>31</v>
      </c>
      <c r="N152">
        <v>44</v>
      </c>
      <c r="O152">
        <v>82</v>
      </c>
      <c r="P152">
        <v>97</v>
      </c>
      <c r="Q152">
        <v>50</v>
      </c>
    </row>
    <row r="153" spans="1:17" x14ac:dyDescent="0.3">
      <c r="A153">
        <v>4256467267</v>
      </c>
      <c r="B153">
        <v>1544045056</v>
      </c>
      <c r="C153">
        <v>6805</v>
      </c>
      <c r="D153" t="b">
        <v>0</v>
      </c>
      <c r="E153">
        <v>114</v>
      </c>
      <c r="F153">
        <v>15</v>
      </c>
      <c r="G153">
        <v>44</v>
      </c>
      <c r="H153">
        <v>86</v>
      </c>
      <c r="I153">
        <v>96</v>
      </c>
      <c r="J153">
        <v>97</v>
      </c>
      <c r="K153">
        <v>62</v>
      </c>
      <c r="L153">
        <v>8</v>
      </c>
      <c r="M153">
        <v>59</v>
      </c>
      <c r="N153">
        <v>121</v>
      </c>
      <c r="O153">
        <v>41</v>
      </c>
      <c r="P153">
        <v>93</v>
      </c>
    </row>
    <row r="154" spans="1:17" x14ac:dyDescent="0.3">
      <c r="A154">
        <v>4256463852</v>
      </c>
      <c r="B154">
        <v>1544044928</v>
      </c>
      <c r="C154">
        <v>6794</v>
      </c>
      <c r="D154" t="b">
        <v>1</v>
      </c>
      <c r="E154">
        <v>121</v>
      </c>
      <c r="F154">
        <v>44</v>
      </c>
      <c r="G154">
        <v>39</v>
      </c>
      <c r="H154">
        <v>96</v>
      </c>
      <c r="I154">
        <v>87</v>
      </c>
      <c r="J154">
        <v>54</v>
      </c>
      <c r="K154">
        <v>23</v>
      </c>
      <c r="L154">
        <v>100</v>
      </c>
      <c r="M154">
        <v>91</v>
      </c>
      <c r="N154">
        <v>50</v>
      </c>
      <c r="O154">
        <v>97</v>
      </c>
      <c r="P154">
        <v>86</v>
      </c>
    </row>
    <row r="155" spans="1:17" x14ac:dyDescent="0.3">
      <c r="A155">
        <v>4256472357</v>
      </c>
      <c r="B155">
        <v>1544045440</v>
      </c>
      <c r="C155">
        <v>7202</v>
      </c>
      <c r="D155" t="b">
        <v>0</v>
      </c>
      <c r="E155">
        <v>8</v>
      </c>
      <c r="F155">
        <v>27</v>
      </c>
      <c r="G155">
        <v>28</v>
      </c>
      <c r="H155">
        <v>7</v>
      </c>
      <c r="I155">
        <v>76</v>
      </c>
      <c r="J155">
        <v>100</v>
      </c>
      <c r="K155">
        <v>49</v>
      </c>
      <c r="L155">
        <v>91</v>
      </c>
      <c r="M155">
        <v>72</v>
      </c>
      <c r="N155">
        <v>9</v>
      </c>
      <c r="O155">
        <v>97</v>
      </c>
    </row>
    <row r="156" spans="1:17" x14ac:dyDescent="0.3">
      <c r="A156">
        <v>4256474144</v>
      </c>
      <c r="B156">
        <v>1544045696</v>
      </c>
      <c r="C156">
        <v>7029</v>
      </c>
      <c r="D156" t="b">
        <v>1</v>
      </c>
      <c r="E156">
        <v>1</v>
      </c>
      <c r="F156">
        <v>31</v>
      </c>
      <c r="G156">
        <v>86</v>
      </c>
      <c r="H156">
        <v>107</v>
      </c>
      <c r="I156">
        <v>97</v>
      </c>
      <c r="J156">
        <v>27</v>
      </c>
      <c r="K156">
        <v>79</v>
      </c>
      <c r="L156">
        <v>102</v>
      </c>
      <c r="M156">
        <v>110</v>
      </c>
      <c r="N156">
        <v>10</v>
      </c>
      <c r="O156">
        <v>82</v>
      </c>
      <c r="P156">
        <v>44</v>
      </c>
    </row>
    <row r="157" spans="1:17" x14ac:dyDescent="0.3">
      <c r="A157">
        <v>4256477978</v>
      </c>
      <c r="B157">
        <v>1544045952</v>
      </c>
      <c r="C157">
        <v>6902</v>
      </c>
      <c r="D157" t="b">
        <v>1</v>
      </c>
      <c r="E157">
        <v>48</v>
      </c>
      <c r="F157">
        <v>97</v>
      </c>
      <c r="G157">
        <v>60</v>
      </c>
      <c r="H157">
        <v>84</v>
      </c>
      <c r="I157">
        <v>26</v>
      </c>
      <c r="J157">
        <v>16</v>
      </c>
      <c r="K157">
        <v>3</v>
      </c>
      <c r="L157">
        <v>86</v>
      </c>
      <c r="M157">
        <v>90</v>
      </c>
      <c r="N157">
        <v>44</v>
      </c>
      <c r="O157">
        <v>82</v>
      </c>
      <c r="P157">
        <v>114</v>
      </c>
    </row>
    <row r="158" spans="1:17" x14ac:dyDescent="0.3">
      <c r="A158">
        <v>4256484286</v>
      </c>
      <c r="B158">
        <v>1544046464</v>
      </c>
      <c r="C158">
        <v>7323</v>
      </c>
      <c r="D158" t="b">
        <v>1</v>
      </c>
      <c r="E158">
        <v>45</v>
      </c>
      <c r="F158">
        <v>31</v>
      </c>
      <c r="G158">
        <v>68</v>
      </c>
      <c r="H158">
        <v>1</v>
      </c>
      <c r="I158">
        <v>76</v>
      </c>
      <c r="J158">
        <v>6</v>
      </c>
      <c r="K158">
        <v>10</v>
      </c>
      <c r="L158">
        <v>90</v>
      </c>
      <c r="M158">
        <v>23</v>
      </c>
      <c r="N158">
        <v>50</v>
      </c>
      <c r="O158">
        <v>41</v>
      </c>
    </row>
    <row r="159" spans="1:17" x14ac:dyDescent="0.3">
      <c r="A159">
        <v>4256481575</v>
      </c>
      <c r="B159">
        <v>1544046208</v>
      </c>
      <c r="C159">
        <v>6975</v>
      </c>
      <c r="D159" t="b">
        <v>1</v>
      </c>
      <c r="E159">
        <v>121</v>
      </c>
      <c r="F159">
        <v>76</v>
      </c>
      <c r="G159">
        <v>1</v>
      </c>
      <c r="H159">
        <v>90</v>
      </c>
      <c r="I159">
        <v>72</v>
      </c>
      <c r="J159">
        <v>99</v>
      </c>
      <c r="K159">
        <v>45</v>
      </c>
      <c r="L159">
        <v>91</v>
      </c>
      <c r="M159">
        <v>103</v>
      </c>
      <c r="N159">
        <v>41</v>
      </c>
      <c r="O159">
        <v>44</v>
      </c>
      <c r="P159">
        <v>10</v>
      </c>
    </row>
    <row r="160" spans="1:17" x14ac:dyDescent="0.3">
      <c r="A160">
        <v>4256488162</v>
      </c>
      <c r="B160">
        <v>1544046720</v>
      </c>
      <c r="C160">
        <v>7102</v>
      </c>
      <c r="D160" t="b">
        <v>1</v>
      </c>
      <c r="E160">
        <v>101</v>
      </c>
      <c r="F160">
        <v>27</v>
      </c>
      <c r="G160">
        <v>86</v>
      </c>
      <c r="H160">
        <v>12</v>
      </c>
      <c r="I160">
        <v>38</v>
      </c>
      <c r="J160">
        <v>45</v>
      </c>
      <c r="K160">
        <v>85</v>
      </c>
      <c r="L160">
        <v>103</v>
      </c>
      <c r="M160">
        <v>109</v>
      </c>
      <c r="N160">
        <v>82</v>
      </c>
      <c r="O160">
        <v>91</v>
      </c>
      <c r="P160">
        <v>97</v>
      </c>
      <c r="Q160">
        <v>44</v>
      </c>
    </row>
    <row r="161" spans="1:18" x14ac:dyDescent="0.3">
      <c r="A161">
        <v>4256492324</v>
      </c>
      <c r="B161">
        <v>1544047104</v>
      </c>
      <c r="C161">
        <v>6986</v>
      </c>
      <c r="D161" t="b">
        <v>0</v>
      </c>
      <c r="E161">
        <v>1</v>
      </c>
      <c r="F161">
        <v>44</v>
      </c>
      <c r="G161">
        <v>97</v>
      </c>
      <c r="H161">
        <v>29</v>
      </c>
      <c r="I161">
        <v>111</v>
      </c>
      <c r="J161">
        <v>19</v>
      </c>
      <c r="K161">
        <v>4</v>
      </c>
      <c r="L161">
        <v>40</v>
      </c>
      <c r="M161">
        <v>121</v>
      </c>
      <c r="N161">
        <v>85</v>
      </c>
      <c r="O161">
        <v>77</v>
      </c>
      <c r="P161">
        <v>82</v>
      </c>
    </row>
    <row r="162" spans="1:18" x14ac:dyDescent="0.3">
      <c r="A162">
        <v>4256487466</v>
      </c>
      <c r="B162">
        <v>1544046720</v>
      </c>
      <c r="C162">
        <v>6837</v>
      </c>
      <c r="D162" t="b">
        <v>0</v>
      </c>
      <c r="E162">
        <v>2</v>
      </c>
      <c r="F162">
        <v>106</v>
      </c>
      <c r="G162">
        <v>48</v>
      </c>
      <c r="H162">
        <v>110</v>
      </c>
      <c r="I162">
        <v>86</v>
      </c>
      <c r="J162">
        <v>1</v>
      </c>
      <c r="K162">
        <v>50</v>
      </c>
      <c r="L162">
        <v>97</v>
      </c>
      <c r="M162">
        <v>62</v>
      </c>
      <c r="N162">
        <v>11</v>
      </c>
      <c r="O162">
        <v>61</v>
      </c>
      <c r="P162">
        <v>114</v>
      </c>
      <c r="Q162">
        <v>44</v>
      </c>
    </row>
    <row r="163" spans="1:18" x14ac:dyDescent="0.3">
      <c r="A163">
        <v>4256494517</v>
      </c>
      <c r="B163">
        <v>1544047232</v>
      </c>
      <c r="C163">
        <v>6903</v>
      </c>
      <c r="D163" t="b">
        <v>1</v>
      </c>
      <c r="E163">
        <v>28</v>
      </c>
      <c r="F163">
        <v>93</v>
      </c>
      <c r="G163">
        <v>50</v>
      </c>
      <c r="H163">
        <v>121</v>
      </c>
      <c r="I163">
        <v>107</v>
      </c>
      <c r="J163">
        <v>2</v>
      </c>
      <c r="K163">
        <v>109</v>
      </c>
      <c r="L163">
        <v>75</v>
      </c>
      <c r="M163">
        <v>6</v>
      </c>
      <c r="N163">
        <v>31</v>
      </c>
      <c r="O163">
        <v>44</v>
      </c>
    </row>
    <row r="164" spans="1:18" x14ac:dyDescent="0.3">
      <c r="A164">
        <v>4256499840</v>
      </c>
      <c r="B164">
        <v>1544047744</v>
      </c>
      <c r="C164">
        <v>6750</v>
      </c>
      <c r="D164" t="b">
        <v>0</v>
      </c>
      <c r="E164">
        <v>86</v>
      </c>
      <c r="F164">
        <v>38</v>
      </c>
      <c r="G164">
        <v>121</v>
      </c>
      <c r="H164">
        <v>1</v>
      </c>
      <c r="I164">
        <v>22</v>
      </c>
      <c r="J164">
        <v>97</v>
      </c>
      <c r="K164">
        <v>59</v>
      </c>
      <c r="L164">
        <v>87</v>
      </c>
      <c r="M164">
        <v>41</v>
      </c>
      <c r="N164">
        <v>50</v>
      </c>
      <c r="O164">
        <v>44</v>
      </c>
      <c r="P164">
        <v>61</v>
      </c>
      <c r="Q164">
        <v>96</v>
      </c>
    </row>
    <row r="165" spans="1:18" x14ac:dyDescent="0.3">
      <c r="A165">
        <v>4256501940</v>
      </c>
      <c r="B165">
        <v>1544047872</v>
      </c>
      <c r="C165">
        <v>7115</v>
      </c>
      <c r="D165" t="b">
        <v>0</v>
      </c>
      <c r="E165">
        <v>22</v>
      </c>
      <c r="F165">
        <v>31</v>
      </c>
      <c r="G165">
        <v>107</v>
      </c>
      <c r="H165">
        <v>10</v>
      </c>
      <c r="I165">
        <v>85</v>
      </c>
      <c r="J165">
        <v>72</v>
      </c>
      <c r="K165">
        <v>25</v>
      </c>
      <c r="L165">
        <v>91</v>
      </c>
      <c r="M165">
        <v>44</v>
      </c>
      <c r="N165">
        <v>111</v>
      </c>
      <c r="O165">
        <v>97</v>
      </c>
      <c r="P165">
        <v>1</v>
      </c>
      <c r="Q165">
        <v>34</v>
      </c>
    </row>
    <row r="166" spans="1:18" x14ac:dyDescent="0.3">
      <c r="A166">
        <v>4256506329</v>
      </c>
      <c r="B166">
        <v>1544048256</v>
      </c>
      <c r="C166">
        <v>7144</v>
      </c>
      <c r="D166" t="b">
        <v>0</v>
      </c>
      <c r="E166">
        <v>13</v>
      </c>
      <c r="F166">
        <v>67</v>
      </c>
      <c r="G166">
        <v>78</v>
      </c>
      <c r="H166">
        <v>62</v>
      </c>
      <c r="I166">
        <v>3</v>
      </c>
      <c r="J166">
        <v>71</v>
      </c>
      <c r="K166">
        <v>8</v>
      </c>
      <c r="L166">
        <v>46</v>
      </c>
      <c r="M166">
        <v>55</v>
      </c>
      <c r="N166">
        <v>31</v>
      </c>
      <c r="O166">
        <v>97</v>
      </c>
      <c r="P166">
        <v>45</v>
      </c>
    </row>
    <row r="167" spans="1:18" x14ac:dyDescent="0.3">
      <c r="A167">
        <v>4256504130</v>
      </c>
      <c r="B167">
        <v>1544048000</v>
      </c>
      <c r="C167">
        <v>7130</v>
      </c>
      <c r="D167" t="b">
        <v>1</v>
      </c>
      <c r="E167">
        <v>74</v>
      </c>
      <c r="F167">
        <v>121</v>
      </c>
      <c r="G167">
        <v>1</v>
      </c>
      <c r="H167">
        <v>111</v>
      </c>
      <c r="I167">
        <v>33</v>
      </c>
      <c r="J167">
        <v>101</v>
      </c>
      <c r="K167">
        <v>50</v>
      </c>
      <c r="L167">
        <v>106</v>
      </c>
      <c r="M167">
        <v>10</v>
      </c>
      <c r="N167">
        <v>97</v>
      </c>
      <c r="O167">
        <v>82</v>
      </c>
      <c r="P167">
        <v>93</v>
      </c>
    </row>
    <row r="168" spans="1:18" x14ac:dyDescent="0.3">
      <c r="A168">
        <v>4256506747</v>
      </c>
      <c r="B168">
        <v>1544048256</v>
      </c>
      <c r="C168">
        <v>6947</v>
      </c>
      <c r="D168" t="b">
        <v>1</v>
      </c>
      <c r="E168">
        <v>111</v>
      </c>
      <c r="F168">
        <v>97</v>
      </c>
      <c r="G168">
        <v>103</v>
      </c>
      <c r="H168">
        <v>6</v>
      </c>
      <c r="I168">
        <v>41</v>
      </c>
      <c r="J168">
        <v>76</v>
      </c>
      <c r="K168">
        <v>78</v>
      </c>
      <c r="L168">
        <v>48</v>
      </c>
      <c r="M168">
        <v>121</v>
      </c>
      <c r="N168">
        <v>100</v>
      </c>
      <c r="O168">
        <v>44</v>
      </c>
    </row>
    <row r="169" spans="1:18" x14ac:dyDescent="0.3">
      <c r="A169">
        <v>4256512337</v>
      </c>
      <c r="B169">
        <v>1544048768</v>
      </c>
      <c r="C169">
        <v>7117</v>
      </c>
      <c r="D169" t="b">
        <v>1</v>
      </c>
      <c r="E169">
        <v>93</v>
      </c>
      <c r="F169">
        <v>38</v>
      </c>
      <c r="G169">
        <v>62</v>
      </c>
      <c r="H169">
        <v>111</v>
      </c>
      <c r="I169">
        <v>101</v>
      </c>
      <c r="J169">
        <v>28</v>
      </c>
      <c r="K169">
        <v>100</v>
      </c>
      <c r="L169">
        <v>44</v>
      </c>
      <c r="M169">
        <v>113</v>
      </c>
      <c r="N169">
        <v>31</v>
      </c>
      <c r="O169">
        <v>86</v>
      </c>
      <c r="P169">
        <v>97</v>
      </c>
      <c r="Q169">
        <v>64</v>
      </c>
    </row>
    <row r="170" spans="1:18" x14ac:dyDescent="0.3">
      <c r="A170">
        <v>4256511671</v>
      </c>
      <c r="B170">
        <v>1544048640</v>
      </c>
      <c r="C170">
        <v>6917</v>
      </c>
      <c r="D170" t="b">
        <v>0</v>
      </c>
      <c r="E170">
        <v>44</v>
      </c>
      <c r="F170">
        <v>86</v>
      </c>
      <c r="G170">
        <v>6</v>
      </c>
      <c r="H170">
        <v>111</v>
      </c>
      <c r="I170">
        <v>114</v>
      </c>
      <c r="J170">
        <v>85</v>
      </c>
      <c r="K170">
        <v>76</v>
      </c>
      <c r="L170">
        <v>1</v>
      </c>
      <c r="M170">
        <v>50</v>
      </c>
      <c r="N170">
        <v>97</v>
      </c>
      <c r="O170">
        <v>45</v>
      </c>
    </row>
    <row r="171" spans="1:18" x14ac:dyDescent="0.3">
      <c r="A171">
        <v>4256516157</v>
      </c>
      <c r="B171">
        <v>1544049024</v>
      </c>
      <c r="C171">
        <v>7001</v>
      </c>
      <c r="D171" t="b">
        <v>1</v>
      </c>
      <c r="E171">
        <v>98</v>
      </c>
      <c r="F171">
        <v>121</v>
      </c>
      <c r="G171">
        <v>90</v>
      </c>
      <c r="H171">
        <v>93</v>
      </c>
      <c r="I171">
        <v>3</v>
      </c>
      <c r="J171">
        <v>8</v>
      </c>
      <c r="K171">
        <v>78</v>
      </c>
      <c r="L171">
        <v>31</v>
      </c>
      <c r="M171">
        <v>2</v>
      </c>
      <c r="N171">
        <v>11</v>
      </c>
      <c r="O171">
        <v>80</v>
      </c>
      <c r="P171">
        <v>79</v>
      </c>
      <c r="Q171">
        <v>97</v>
      </c>
      <c r="R171">
        <v>44</v>
      </c>
    </row>
    <row r="172" spans="1:18" x14ac:dyDescent="0.3">
      <c r="A172">
        <v>4256519853</v>
      </c>
      <c r="B172">
        <v>1544049408</v>
      </c>
      <c r="C172">
        <v>7004</v>
      </c>
      <c r="D172" t="b">
        <v>1</v>
      </c>
      <c r="E172">
        <v>91</v>
      </c>
      <c r="F172">
        <v>72</v>
      </c>
      <c r="G172">
        <v>76</v>
      </c>
      <c r="H172">
        <v>41</v>
      </c>
      <c r="I172">
        <v>31</v>
      </c>
      <c r="J172">
        <v>26</v>
      </c>
      <c r="K172">
        <v>94</v>
      </c>
      <c r="L172">
        <v>16</v>
      </c>
      <c r="M172">
        <v>10</v>
      </c>
      <c r="N172">
        <v>19</v>
      </c>
      <c r="O172">
        <v>44</v>
      </c>
    </row>
    <row r="173" spans="1:18" x14ac:dyDescent="0.3">
      <c r="A173">
        <v>4256518373</v>
      </c>
      <c r="B173">
        <v>1544049280</v>
      </c>
      <c r="C173">
        <v>6983</v>
      </c>
      <c r="D173" t="b">
        <v>0</v>
      </c>
      <c r="E173">
        <v>9</v>
      </c>
      <c r="F173">
        <v>8</v>
      </c>
      <c r="G173">
        <v>103</v>
      </c>
      <c r="H173">
        <v>62</v>
      </c>
      <c r="I173">
        <v>100</v>
      </c>
      <c r="J173">
        <v>86</v>
      </c>
      <c r="K173">
        <v>31</v>
      </c>
      <c r="L173">
        <v>106</v>
      </c>
      <c r="M173">
        <v>82</v>
      </c>
      <c r="N173">
        <v>2</v>
      </c>
      <c r="O173">
        <v>76</v>
      </c>
      <c r="P173">
        <v>97</v>
      </c>
    </row>
    <row r="174" spans="1:18" x14ac:dyDescent="0.3">
      <c r="A174">
        <v>4256525191</v>
      </c>
      <c r="B174">
        <v>1544049920</v>
      </c>
      <c r="C174">
        <v>6872</v>
      </c>
      <c r="D174" t="b">
        <v>0</v>
      </c>
      <c r="E174">
        <v>62</v>
      </c>
      <c r="F174">
        <v>121</v>
      </c>
      <c r="G174">
        <v>53</v>
      </c>
      <c r="H174">
        <v>80</v>
      </c>
      <c r="I174">
        <v>11</v>
      </c>
      <c r="J174">
        <v>49</v>
      </c>
      <c r="K174">
        <v>111</v>
      </c>
      <c r="L174">
        <v>44</v>
      </c>
      <c r="M174">
        <v>97</v>
      </c>
      <c r="N174">
        <v>16</v>
      </c>
      <c r="O174">
        <v>93</v>
      </c>
    </row>
    <row r="175" spans="1:18" x14ac:dyDescent="0.3">
      <c r="A175">
        <v>4256523006</v>
      </c>
      <c r="B175">
        <v>1544049920</v>
      </c>
      <c r="C175">
        <v>6746</v>
      </c>
      <c r="D175" t="b">
        <v>0</v>
      </c>
      <c r="E175">
        <v>6</v>
      </c>
      <c r="F175">
        <v>96</v>
      </c>
      <c r="G175">
        <v>86</v>
      </c>
      <c r="H175">
        <v>76</v>
      </c>
      <c r="I175">
        <v>50</v>
      </c>
      <c r="J175">
        <v>121</v>
      </c>
      <c r="K175">
        <v>97</v>
      </c>
      <c r="L175">
        <v>9</v>
      </c>
      <c r="M175">
        <v>1</v>
      </c>
      <c r="N175">
        <v>26</v>
      </c>
      <c r="O175">
        <v>8</v>
      </c>
      <c r="P175">
        <v>44</v>
      </c>
    </row>
    <row r="176" spans="1:18" x14ac:dyDescent="0.3">
      <c r="A176">
        <v>4256530154</v>
      </c>
      <c r="B176">
        <v>1544050176</v>
      </c>
      <c r="C176">
        <v>7038</v>
      </c>
      <c r="D176" t="b">
        <v>1</v>
      </c>
      <c r="E176">
        <v>1</v>
      </c>
      <c r="F176">
        <v>121</v>
      </c>
      <c r="G176">
        <v>31</v>
      </c>
      <c r="H176">
        <v>16</v>
      </c>
      <c r="I176">
        <v>44</v>
      </c>
      <c r="J176">
        <v>85</v>
      </c>
      <c r="K176">
        <v>9</v>
      </c>
      <c r="L176">
        <v>86</v>
      </c>
      <c r="M176">
        <v>114</v>
      </c>
      <c r="N176">
        <v>48</v>
      </c>
      <c r="O176">
        <v>56</v>
      </c>
      <c r="P176">
        <v>89</v>
      </c>
      <c r="Q176">
        <v>97</v>
      </c>
    </row>
    <row r="177" spans="1:18" x14ac:dyDescent="0.3">
      <c r="A177">
        <v>4256533270</v>
      </c>
      <c r="B177">
        <v>1544050432</v>
      </c>
      <c r="C177">
        <v>6805</v>
      </c>
      <c r="D177" t="b">
        <v>1</v>
      </c>
      <c r="E177">
        <v>26</v>
      </c>
      <c r="F177">
        <v>1</v>
      </c>
      <c r="G177">
        <v>2</v>
      </c>
      <c r="H177">
        <v>97</v>
      </c>
      <c r="I177">
        <v>111</v>
      </c>
      <c r="J177">
        <v>50</v>
      </c>
      <c r="K177">
        <v>48</v>
      </c>
      <c r="L177">
        <v>90</v>
      </c>
      <c r="M177">
        <v>86</v>
      </c>
      <c r="N177">
        <v>78</v>
      </c>
      <c r="O177">
        <v>93</v>
      </c>
      <c r="P177">
        <v>53</v>
      </c>
    </row>
    <row r="178" spans="1:18" x14ac:dyDescent="0.3">
      <c r="A178">
        <v>4256533543</v>
      </c>
      <c r="B178">
        <v>1544050432</v>
      </c>
      <c r="C178">
        <v>6777</v>
      </c>
      <c r="D178" t="b">
        <v>1</v>
      </c>
      <c r="E178">
        <v>95</v>
      </c>
      <c r="F178">
        <v>86</v>
      </c>
      <c r="G178">
        <v>121</v>
      </c>
      <c r="H178">
        <v>62</v>
      </c>
      <c r="I178">
        <v>96</v>
      </c>
      <c r="J178">
        <v>114</v>
      </c>
      <c r="K178">
        <v>26</v>
      </c>
      <c r="L178">
        <v>76</v>
      </c>
      <c r="M178">
        <v>110</v>
      </c>
      <c r="N178">
        <v>16</v>
      </c>
      <c r="O178">
        <v>44</v>
      </c>
      <c r="P178">
        <v>97</v>
      </c>
      <c r="Q178">
        <v>50</v>
      </c>
    </row>
    <row r="179" spans="1:18" x14ac:dyDescent="0.3">
      <c r="A179">
        <v>4256517985</v>
      </c>
      <c r="B179">
        <v>1544049920</v>
      </c>
      <c r="C179">
        <v>6709</v>
      </c>
      <c r="D179" t="b">
        <v>1</v>
      </c>
      <c r="E179">
        <v>22</v>
      </c>
      <c r="F179">
        <v>31</v>
      </c>
      <c r="G179">
        <v>78</v>
      </c>
      <c r="H179">
        <v>121</v>
      </c>
      <c r="I179">
        <v>12</v>
      </c>
      <c r="J179">
        <v>34</v>
      </c>
      <c r="K179">
        <v>105</v>
      </c>
      <c r="L179">
        <v>14</v>
      </c>
      <c r="M179">
        <v>44</v>
      </c>
      <c r="N179">
        <v>100</v>
      </c>
      <c r="O179">
        <v>8</v>
      </c>
      <c r="P179">
        <v>95</v>
      </c>
    </row>
    <row r="180" spans="1:18" x14ac:dyDescent="0.3">
      <c r="A180">
        <v>4256535012</v>
      </c>
      <c r="B180">
        <v>1544050560</v>
      </c>
      <c r="C180">
        <v>6706</v>
      </c>
      <c r="D180" t="b">
        <v>0</v>
      </c>
      <c r="E180">
        <v>100</v>
      </c>
      <c r="F180">
        <v>41</v>
      </c>
      <c r="G180">
        <v>2</v>
      </c>
      <c r="H180">
        <v>110</v>
      </c>
      <c r="I180">
        <v>74</v>
      </c>
      <c r="J180">
        <v>97</v>
      </c>
      <c r="K180">
        <v>93</v>
      </c>
      <c r="L180">
        <v>120</v>
      </c>
      <c r="M180">
        <v>16</v>
      </c>
      <c r="N180">
        <v>26</v>
      </c>
      <c r="O180">
        <v>121</v>
      </c>
      <c r="P180">
        <v>1</v>
      </c>
      <c r="Q180">
        <v>46</v>
      </c>
    </row>
    <row r="181" spans="1:18" x14ac:dyDescent="0.3">
      <c r="A181">
        <v>4256538640</v>
      </c>
      <c r="B181">
        <v>1544050944</v>
      </c>
      <c r="C181">
        <v>7049</v>
      </c>
      <c r="D181" t="b">
        <v>1</v>
      </c>
      <c r="E181">
        <v>97</v>
      </c>
      <c r="F181">
        <v>107</v>
      </c>
      <c r="G181">
        <v>1</v>
      </c>
      <c r="H181">
        <v>76</v>
      </c>
      <c r="I181">
        <v>31</v>
      </c>
      <c r="J181">
        <v>109</v>
      </c>
      <c r="K181">
        <v>111</v>
      </c>
      <c r="L181">
        <v>114</v>
      </c>
      <c r="M181">
        <v>73</v>
      </c>
      <c r="N181">
        <v>84</v>
      </c>
      <c r="O181">
        <v>80</v>
      </c>
      <c r="P181">
        <v>48</v>
      </c>
      <c r="Q181">
        <v>44</v>
      </c>
    </row>
    <row r="182" spans="1:18" x14ac:dyDescent="0.3">
      <c r="A182">
        <v>4256538163</v>
      </c>
      <c r="B182">
        <v>1544050816</v>
      </c>
      <c r="C182">
        <v>7050</v>
      </c>
      <c r="D182" t="b">
        <v>0</v>
      </c>
      <c r="E182">
        <v>44</v>
      </c>
      <c r="F182">
        <v>35</v>
      </c>
      <c r="G182">
        <v>97</v>
      </c>
      <c r="H182">
        <v>111</v>
      </c>
      <c r="I182">
        <v>45</v>
      </c>
      <c r="J182">
        <v>86</v>
      </c>
      <c r="K182">
        <v>114</v>
      </c>
      <c r="L182">
        <v>50</v>
      </c>
      <c r="M182">
        <v>16</v>
      </c>
      <c r="N182">
        <v>109</v>
      </c>
      <c r="O182">
        <v>80</v>
      </c>
      <c r="P182">
        <v>82</v>
      </c>
      <c r="Q182">
        <v>78</v>
      </c>
    </row>
    <row r="183" spans="1:18" x14ac:dyDescent="0.3">
      <c r="A183">
        <v>4256538232</v>
      </c>
      <c r="B183">
        <v>1544050816</v>
      </c>
      <c r="C183">
        <v>7042</v>
      </c>
      <c r="D183" t="b">
        <v>0</v>
      </c>
      <c r="E183">
        <v>100</v>
      </c>
      <c r="F183">
        <v>2</v>
      </c>
      <c r="G183">
        <v>31</v>
      </c>
      <c r="H183">
        <v>22</v>
      </c>
      <c r="I183">
        <v>93</v>
      </c>
      <c r="J183">
        <v>16</v>
      </c>
      <c r="K183">
        <v>109</v>
      </c>
      <c r="L183">
        <v>45</v>
      </c>
      <c r="M183">
        <v>97</v>
      </c>
      <c r="N183">
        <v>3</v>
      </c>
      <c r="O183">
        <v>46</v>
      </c>
      <c r="P183">
        <v>76</v>
      </c>
    </row>
    <row r="184" spans="1:18" x14ac:dyDescent="0.3">
      <c r="A184">
        <v>4256539424</v>
      </c>
      <c r="B184">
        <v>1544050944</v>
      </c>
      <c r="C184">
        <v>6925</v>
      </c>
      <c r="D184" t="b">
        <v>0</v>
      </c>
      <c r="E184">
        <v>44</v>
      </c>
      <c r="F184">
        <v>28</v>
      </c>
      <c r="G184">
        <v>49</v>
      </c>
      <c r="H184">
        <v>79</v>
      </c>
      <c r="I184">
        <v>86</v>
      </c>
      <c r="J184">
        <v>76</v>
      </c>
      <c r="K184">
        <v>119</v>
      </c>
      <c r="L184">
        <v>26</v>
      </c>
      <c r="M184">
        <v>8</v>
      </c>
      <c r="N184">
        <v>97</v>
      </c>
      <c r="O184">
        <v>10</v>
      </c>
    </row>
    <row r="185" spans="1:18" x14ac:dyDescent="0.3">
      <c r="A185">
        <v>4256542979</v>
      </c>
      <c r="B185">
        <v>1544051328</v>
      </c>
      <c r="C185">
        <v>6958</v>
      </c>
      <c r="D185" t="b">
        <v>1</v>
      </c>
      <c r="E185">
        <v>121</v>
      </c>
      <c r="F185">
        <v>110</v>
      </c>
      <c r="G185">
        <v>1</v>
      </c>
      <c r="H185">
        <v>97</v>
      </c>
      <c r="I185">
        <v>29</v>
      </c>
      <c r="J185">
        <v>28</v>
      </c>
      <c r="K185">
        <v>44</v>
      </c>
      <c r="L185">
        <v>92</v>
      </c>
      <c r="M185">
        <v>107</v>
      </c>
      <c r="N185">
        <v>86</v>
      </c>
      <c r="O185">
        <v>105</v>
      </c>
      <c r="P185">
        <v>65</v>
      </c>
    </row>
    <row r="186" spans="1:18" x14ac:dyDescent="0.3">
      <c r="A186">
        <v>4256546855</v>
      </c>
      <c r="B186">
        <v>1544051712</v>
      </c>
      <c r="C186">
        <v>6903</v>
      </c>
      <c r="D186" t="b">
        <v>0</v>
      </c>
      <c r="E186">
        <v>12</v>
      </c>
      <c r="F186">
        <v>110</v>
      </c>
      <c r="G186">
        <v>97</v>
      </c>
      <c r="H186">
        <v>112</v>
      </c>
      <c r="I186">
        <v>44</v>
      </c>
      <c r="J186">
        <v>9</v>
      </c>
      <c r="K186">
        <v>72</v>
      </c>
      <c r="L186">
        <v>91</v>
      </c>
      <c r="M186">
        <v>101</v>
      </c>
      <c r="N186">
        <v>50</v>
      </c>
      <c r="O186">
        <v>75</v>
      </c>
      <c r="P186">
        <v>82</v>
      </c>
    </row>
    <row r="187" spans="1:18" x14ac:dyDescent="0.3">
      <c r="A187">
        <v>4256548591</v>
      </c>
      <c r="B187">
        <v>1544051840</v>
      </c>
      <c r="C187">
        <v>6775</v>
      </c>
      <c r="D187" t="b">
        <v>0</v>
      </c>
      <c r="E187">
        <v>69</v>
      </c>
      <c r="F187">
        <v>50</v>
      </c>
      <c r="G187">
        <v>121</v>
      </c>
      <c r="H187">
        <v>86</v>
      </c>
      <c r="I187">
        <v>44</v>
      </c>
      <c r="J187">
        <v>110</v>
      </c>
      <c r="K187">
        <v>45</v>
      </c>
      <c r="L187">
        <v>25</v>
      </c>
      <c r="M187">
        <v>41</v>
      </c>
      <c r="N187">
        <v>111</v>
      </c>
      <c r="O187">
        <v>59</v>
      </c>
    </row>
    <row r="188" spans="1:18" x14ac:dyDescent="0.3">
      <c r="A188">
        <v>4256550216</v>
      </c>
      <c r="B188">
        <v>1544052096</v>
      </c>
      <c r="C188">
        <v>7046</v>
      </c>
      <c r="D188" t="b">
        <v>0</v>
      </c>
      <c r="E188">
        <v>25</v>
      </c>
      <c r="F188">
        <v>50</v>
      </c>
      <c r="G188">
        <v>34</v>
      </c>
      <c r="H188">
        <v>10</v>
      </c>
      <c r="I188">
        <v>38</v>
      </c>
      <c r="J188">
        <v>31</v>
      </c>
      <c r="K188">
        <v>78</v>
      </c>
      <c r="L188">
        <v>82</v>
      </c>
      <c r="M188">
        <v>81</v>
      </c>
      <c r="N188">
        <v>100</v>
      </c>
      <c r="O188">
        <v>44</v>
      </c>
      <c r="P188">
        <v>97</v>
      </c>
    </row>
    <row r="189" spans="1:18" x14ac:dyDescent="0.3">
      <c r="A189">
        <v>4256549240</v>
      </c>
      <c r="B189">
        <v>1544052096</v>
      </c>
      <c r="C189">
        <v>6988</v>
      </c>
      <c r="D189" t="b">
        <v>0</v>
      </c>
      <c r="E189">
        <v>25</v>
      </c>
      <c r="F189">
        <v>101</v>
      </c>
      <c r="G189">
        <v>16</v>
      </c>
      <c r="H189">
        <v>85</v>
      </c>
      <c r="I189">
        <v>93</v>
      </c>
      <c r="J189">
        <v>38</v>
      </c>
      <c r="K189">
        <v>84</v>
      </c>
      <c r="L189">
        <v>1</v>
      </c>
      <c r="M189">
        <v>50</v>
      </c>
      <c r="N189">
        <v>47</v>
      </c>
      <c r="O189">
        <v>44</v>
      </c>
      <c r="P189">
        <v>114</v>
      </c>
      <c r="Q189">
        <v>97</v>
      </c>
      <c r="R189">
        <v>78</v>
      </c>
    </row>
    <row r="190" spans="1:18" x14ac:dyDescent="0.3">
      <c r="A190">
        <v>4256560591</v>
      </c>
      <c r="B190">
        <v>1544052864</v>
      </c>
      <c r="C190">
        <v>6819</v>
      </c>
      <c r="D190" t="b">
        <v>1</v>
      </c>
      <c r="E190">
        <v>97</v>
      </c>
      <c r="F190">
        <v>114</v>
      </c>
      <c r="G190">
        <v>103</v>
      </c>
      <c r="H190">
        <v>76</v>
      </c>
      <c r="I190">
        <v>50</v>
      </c>
      <c r="J190">
        <v>14</v>
      </c>
      <c r="K190">
        <v>29</v>
      </c>
      <c r="L190">
        <v>7</v>
      </c>
      <c r="M190">
        <v>15</v>
      </c>
      <c r="N190">
        <v>1</v>
      </c>
      <c r="O190">
        <v>93</v>
      </c>
      <c r="P190">
        <v>110</v>
      </c>
      <c r="Q190">
        <v>86</v>
      </c>
    </row>
    <row r="191" spans="1:18" x14ac:dyDescent="0.3">
      <c r="A191">
        <v>4256555322</v>
      </c>
      <c r="B191">
        <v>1544054144</v>
      </c>
      <c r="C191">
        <v>5906</v>
      </c>
      <c r="D191" t="b">
        <v>1</v>
      </c>
      <c r="E191">
        <v>2</v>
      </c>
      <c r="F191">
        <v>13</v>
      </c>
      <c r="G191">
        <v>66</v>
      </c>
      <c r="H191">
        <v>50</v>
      </c>
      <c r="I191">
        <v>44</v>
      </c>
      <c r="J191">
        <v>107</v>
      </c>
      <c r="K191">
        <v>41</v>
      </c>
      <c r="L191">
        <v>74</v>
      </c>
      <c r="M191">
        <v>97</v>
      </c>
      <c r="N191">
        <v>64</v>
      </c>
      <c r="O191">
        <v>121</v>
      </c>
      <c r="P191">
        <v>85</v>
      </c>
    </row>
    <row r="192" spans="1:18" x14ac:dyDescent="0.3">
      <c r="A192">
        <v>4256541602</v>
      </c>
      <c r="B192">
        <v>1544054144</v>
      </c>
      <c r="C192">
        <v>5852</v>
      </c>
      <c r="D192" t="b">
        <v>1</v>
      </c>
      <c r="E192">
        <v>62</v>
      </c>
      <c r="F192">
        <v>44</v>
      </c>
      <c r="G192">
        <v>12</v>
      </c>
      <c r="H192">
        <v>55</v>
      </c>
      <c r="I192">
        <v>3</v>
      </c>
      <c r="J192">
        <v>8</v>
      </c>
      <c r="K192">
        <v>121</v>
      </c>
      <c r="L192">
        <v>26</v>
      </c>
      <c r="M192">
        <v>7</v>
      </c>
      <c r="N192">
        <v>94</v>
      </c>
      <c r="O192">
        <v>2</v>
      </c>
      <c r="P192">
        <v>34</v>
      </c>
      <c r="Q192">
        <v>109</v>
      </c>
      <c r="R192">
        <v>97</v>
      </c>
    </row>
    <row r="193" spans="1:18" x14ac:dyDescent="0.3">
      <c r="A193">
        <v>4256539254</v>
      </c>
      <c r="B193">
        <v>1544054144</v>
      </c>
      <c r="C193">
        <v>5764</v>
      </c>
      <c r="D193" t="b">
        <v>0</v>
      </c>
      <c r="E193">
        <v>50</v>
      </c>
      <c r="F193">
        <v>7</v>
      </c>
      <c r="G193">
        <v>86</v>
      </c>
      <c r="H193">
        <v>114</v>
      </c>
      <c r="I193">
        <v>21</v>
      </c>
      <c r="J193">
        <v>89</v>
      </c>
      <c r="K193">
        <v>110</v>
      </c>
      <c r="L193">
        <v>121</v>
      </c>
      <c r="M193">
        <v>94</v>
      </c>
      <c r="N193">
        <v>31</v>
      </c>
      <c r="O193">
        <v>44</v>
      </c>
      <c r="P193">
        <v>59</v>
      </c>
      <c r="Q193">
        <v>82</v>
      </c>
    </row>
    <row r="194" spans="1:18" x14ac:dyDescent="0.3">
      <c r="A194">
        <v>4256547044</v>
      </c>
      <c r="B194">
        <v>1544054144</v>
      </c>
      <c r="C194">
        <v>5733</v>
      </c>
      <c r="D194" t="b">
        <v>1</v>
      </c>
      <c r="E194">
        <v>2</v>
      </c>
      <c r="F194">
        <v>41</v>
      </c>
      <c r="G194">
        <v>85</v>
      </c>
      <c r="H194">
        <v>82</v>
      </c>
      <c r="I194">
        <v>101</v>
      </c>
      <c r="J194">
        <v>8</v>
      </c>
      <c r="K194">
        <v>28</v>
      </c>
      <c r="L194">
        <v>26</v>
      </c>
      <c r="M194">
        <v>121</v>
      </c>
      <c r="N194">
        <v>113</v>
      </c>
      <c r="O194">
        <v>93</v>
      </c>
      <c r="P194">
        <v>44</v>
      </c>
    </row>
    <row r="195" spans="1:18" x14ac:dyDescent="0.3">
      <c r="A195">
        <v>4256546100</v>
      </c>
      <c r="B195">
        <v>1544054144</v>
      </c>
      <c r="C195">
        <v>5666</v>
      </c>
      <c r="D195" t="b">
        <v>1</v>
      </c>
      <c r="E195">
        <v>67</v>
      </c>
      <c r="F195">
        <v>9</v>
      </c>
      <c r="G195">
        <v>74</v>
      </c>
      <c r="H195">
        <v>50</v>
      </c>
      <c r="I195">
        <v>62</v>
      </c>
      <c r="J195">
        <v>100</v>
      </c>
      <c r="K195">
        <v>41</v>
      </c>
      <c r="L195">
        <v>97</v>
      </c>
      <c r="M195">
        <v>61</v>
      </c>
      <c r="N195">
        <v>95</v>
      </c>
      <c r="O195">
        <v>44</v>
      </c>
      <c r="P195">
        <v>114</v>
      </c>
      <c r="Q195">
        <v>93</v>
      </c>
    </row>
    <row r="196" spans="1:18" x14ac:dyDescent="0.3">
      <c r="A196">
        <v>4256558147</v>
      </c>
      <c r="B196">
        <v>1544054144</v>
      </c>
      <c r="C196">
        <v>5514</v>
      </c>
      <c r="D196" t="b">
        <v>0</v>
      </c>
      <c r="E196">
        <v>31</v>
      </c>
      <c r="F196">
        <v>46</v>
      </c>
      <c r="G196">
        <v>97</v>
      </c>
      <c r="H196">
        <v>94</v>
      </c>
      <c r="I196">
        <v>41</v>
      </c>
      <c r="J196">
        <v>86</v>
      </c>
      <c r="K196">
        <v>1</v>
      </c>
      <c r="L196">
        <v>53</v>
      </c>
      <c r="M196">
        <v>10</v>
      </c>
      <c r="N196">
        <v>111</v>
      </c>
      <c r="O196">
        <v>44</v>
      </c>
    </row>
    <row r="197" spans="1:18" x14ac:dyDescent="0.3">
      <c r="A197">
        <v>4256554664</v>
      </c>
      <c r="B197">
        <v>1544054144</v>
      </c>
      <c r="C197">
        <v>5301</v>
      </c>
      <c r="D197" t="b">
        <v>0</v>
      </c>
      <c r="E197">
        <v>19</v>
      </c>
      <c r="F197">
        <v>1</v>
      </c>
      <c r="G197">
        <v>16</v>
      </c>
      <c r="H197">
        <v>11</v>
      </c>
      <c r="I197">
        <v>110</v>
      </c>
      <c r="J197">
        <v>75</v>
      </c>
      <c r="K197">
        <v>25</v>
      </c>
      <c r="L197">
        <v>78</v>
      </c>
      <c r="M197">
        <v>74</v>
      </c>
      <c r="N197">
        <v>8</v>
      </c>
      <c r="O197">
        <v>44</v>
      </c>
    </row>
    <row r="198" spans="1:18" x14ac:dyDescent="0.3">
      <c r="A198">
        <v>4256562158</v>
      </c>
      <c r="B198">
        <v>1544054144</v>
      </c>
      <c r="C198">
        <v>5256</v>
      </c>
      <c r="D198" t="b">
        <v>1</v>
      </c>
      <c r="E198">
        <v>28</v>
      </c>
      <c r="F198">
        <v>22</v>
      </c>
      <c r="G198">
        <v>79</v>
      </c>
      <c r="H198">
        <v>62</v>
      </c>
      <c r="I198">
        <v>44</v>
      </c>
      <c r="J198">
        <v>93</v>
      </c>
      <c r="K198">
        <v>121</v>
      </c>
      <c r="L198">
        <v>61</v>
      </c>
      <c r="M198">
        <v>56</v>
      </c>
      <c r="N198">
        <v>27</v>
      </c>
      <c r="O198">
        <v>97</v>
      </c>
      <c r="P198">
        <v>10</v>
      </c>
    </row>
    <row r="199" spans="1:18" x14ac:dyDescent="0.3">
      <c r="A199">
        <v>4256534884</v>
      </c>
      <c r="B199">
        <v>1544054144</v>
      </c>
      <c r="C199">
        <v>4912</v>
      </c>
      <c r="D199" t="b">
        <v>1</v>
      </c>
      <c r="E199">
        <v>16</v>
      </c>
      <c r="F199">
        <v>50</v>
      </c>
      <c r="G199">
        <v>48</v>
      </c>
      <c r="H199">
        <v>62</v>
      </c>
      <c r="I199">
        <v>47</v>
      </c>
      <c r="J199">
        <v>40</v>
      </c>
      <c r="K199">
        <v>25</v>
      </c>
      <c r="L199">
        <v>67</v>
      </c>
      <c r="M199">
        <v>37</v>
      </c>
      <c r="N199">
        <v>14</v>
      </c>
      <c r="O199">
        <v>82</v>
      </c>
      <c r="P199">
        <v>59</v>
      </c>
      <c r="Q199">
        <v>44</v>
      </c>
    </row>
    <row r="200" spans="1:18" x14ac:dyDescent="0.3">
      <c r="A200">
        <v>4256540385</v>
      </c>
      <c r="B200">
        <v>1544054144</v>
      </c>
      <c r="C200">
        <v>4721</v>
      </c>
      <c r="D200" t="b">
        <v>1</v>
      </c>
      <c r="E200">
        <v>86</v>
      </c>
      <c r="F200">
        <v>64</v>
      </c>
      <c r="G200">
        <v>48</v>
      </c>
      <c r="H200">
        <v>114</v>
      </c>
      <c r="I200">
        <v>110</v>
      </c>
      <c r="J200">
        <v>25</v>
      </c>
      <c r="K200">
        <v>60</v>
      </c>
      <c r="L200">
        <v>8</v>
      </c>
      <c r="M200">
        <v>63</v>
      </c>
      <c r="N200">
        <v>53</v>
      </c>
      <c r="O200">
        <v>17</v>
      </c>
      <c r="P200">
        <v>50</v>
      </c>
      <c r="Q200">
        <v>44</v>
      </c>
    </row>
    <row r="201" spans="1:18" x14ac:dyDescent="0.3">
      <c r="A201">
        <v>4256565024</v>
      </c>
      <c r="B201">
        <v>1544054144</v>
      </c>
      <c r="C201">
        <v>7007</v>
      </c>
      <c r="D201" t="b">
        <v>0</v>
      </c>
      <c r="E201">
        <v>71</v>
      </c>
      <c r="F201">
        <v>95</v>
      </c>
      <c r="G201">
        <v>112</v>
      </c>
      <c r="H201">
        <v>101</v>
      </c>
      <c r="I201">
        <v>110</v>
      </c>
      <c r="J201">
        <v>86</v>
      </c>
      <c r="K201">
        <v>85</v>
      </c>
      <c r="L201">
        <v>1</v>
      </c>
      <c r="M201">
        <v>76</v>
      </c>
      <c r="N201">
        <v>96</v>
      </c>
      <c r="O201">
        <v>97</v>
      </c>
      <c r="P201">
        <v>44</v>
      </c>
    </row>
    <row r="202" spans="1:18" x14ac:dyDescent="0.3">
      <c r="A202">
        <v>4256571896</v>
      </c>
      <c r="B202">
        <v>1544054656</v>
      </c>
      <c r="C202">
        <v>7071</v>
      </c>
      <c r="D202" t="b">
        <v>1</v>
      </c>
      <c r="E202">
        <v>86</v>
      </c>
      <c r="F202">
        <v>50</v>
      </c>
      <c r="G202">
        <v>44</v>
      </c>
      <c r="H202">
        <v>101</v>
      </c>
      <c r="I202">
        <v>57</v>
      </c>
      <c r="J202">
        <v>48</v>
      </c>
      <c r="K202">
        <v>45</v>
      </c>
      <c r="L202">
        <v>91</v>
      </c>
      <c r="M202">
        <v>112</v>
      </c>
      <c r="N202">
        <v>72</v>
      </c>
      <c r="O202">
        <v>97</v>
      </c>
      <c r="P202">
        <v>34</v>
      </c>
    </row>
    <row r="203" spans="1:18" x14ac:dyDescent="0.3">
      <c r="A203">
        <v>4256571538</v>
      </c>
      <c r="B203">
        <v>1544054656</v>
      </c>
      <c r="C203">
        <v>7051</v>
      </c>
      <c r="D203" t="b">
        <v>1</v>
      </c>
      <c r="E203">
        <v>44</v>
      </c>
      <c r="F203">
        <v>50</v>
      </c>
      <c r="G203">
        <v>97</v>
      </c>
      <c r="H203">
        <v>109</v>
      </c>
      <c r="I203">
        <v>101</v>
      </c>
      <c r="J203">
        <v>108</v>
      </c>
      <c r="K203">
        <v>1</v>
      </c>
      <c r="L203">
        <v>107</v>
      </c>
      <c r="M203">
        <v>76</v>
      </c>
      <c r="N203">
        <v>79</v>
      </c>
      <c r="O203">
        <v>2</v>
      </c>
      <c r="P203">
        <v>32</v>
      </c>
    </row>
    <row r="204" spans="1:18" x14ac:dyDescent="0.3">
      <c r="A204">
        <v>4256564620</v>
      </c>
      <c r="B204">
        <v>1544054144</v>
      </c>
      <c r="C204">
        <v>6912</v>
      </c>
      <c r="D204" t="b">
        <v>1</v>
      </c>
      <c r="E204">
        <v>101</v>
      </c>
      <c r="F204">
        <v>107</v>
      </c>
      <c r="G204">
        <v>2</v>
      </c>
      <c r="H204">
        <v>114</v>
      </c>
      <c r="I204">
        <v>120</v>
      </c>
      <c r="J204">
        <v>84</v>
      </c>
      <c r="K204">
        <v>31</v>
      </c>
      <c r="L204">
        <v>45</v>
      </c>
      <c r="M204">
        <v>50</v>
      </c>
      <c r="N204">
        <v>59</v>
      </c>
      <c r="O204">
        <v>97</v>
      </c>
      <c r="P204">
        <v>34</v>
      </c>
    </row>
    <row r="205" spans="1:18" x14ac:dyDescent="0.3">
      <c r="A205">
        <v>4256571994</v>
      </c>
      <c r="B205">
        <v>1544054656</v>
      </c>
      <c r="C205">
        <v>6933</v>
      </c>
      <c r="D205" t="b">
        <v>1</v>
      </c>
      <c r="E205">
        <v>95</v>
      </c>
      <c r="F205">
        <v>31</v>
      </c>
      <c r="G205">
        <v>27</v>
      </c>
      <c r="H205">
        <v>38</v>
      </c>
      <c r="I205">
        <v>3</v>
      </c>
      <c r="J205">
        <v>111</v>
      </c>
      <c r="K205">
        <v>28</v>
      </c>
      <c r="L205">
        <v>35</v>
      </c>
      <c r="M205">
        <v>26</v>
      </c>
      <c r="N205">
        <v>41</v>
      </c>
      <c r="O205">
        <v>50</v>
      </c>
      <c r="P205">
        <v>44</v>
      </c>
      <c r="Q205">
        <v>97</v>
      </c>
    </row>
    <row r="206" spans="1:18" x14ac:dyDescent="0.3">
      <c r="A206">
        <v>4256559116</v>
      </c>
      <c r="B206">
        <v>1544054144</v>
      </c>
      <c r="C206">
        <v>6754</v>
      </c>
      <c r="D206" t="b">
        <v>0</v>
      </c>
      <c r="E206">
        <v>27</v>
      </c>
      <c r="F206">
        <v>9</v>
      </c>
      <c r="G206">
        <v>6</v>
      </c>
      <c r="H206">
        <v>103</v>
      </c>
      <c r="I206">
        <v>114</v>
      </c>
      <c r="J206">
        <v>97</v>
      </c>
      <c r="K206">
        <v>74</v>
      </c>
      <c r="L206">
        <v>86</v>
      </c>
      <c r="M206">
        <v>31</v>
      </c>
      <c r="N206">
        <v>41</v>
      </c>
      <c r="O206">
        <v>44</v>
      </c>
      <c r="P206">
        <v>76</v>
      </c>
      <c r="Q206">
        <v>82</v>
      </c>
    </row>
    <row r="207" spans="1:18" x14ac:dyDescent="0.3">
      <c r="A207">
        <v>4256572018</v>
      </c>
      <c r="B207">
        <v>1544054656</v>
      </c>
      <c r="C207">
        <v>6698</v>
      </c>
      <c r="D207" t="b">
        <v>1</v>
      </c>
      <c r="E207">
        <v>44</v>
      </c>
      <c r="F207">
        <v>16</v>
      </c>
      <c r="G207">
        <v>82</v>
      </c>
      <c r="H207">
        <v>97</v>
      </c>
      <c r="I207">
        <v>27</v>
      </c>
      <c r="J207">
        <v>121</v>
      </c>
      <c r="K207">
        <v>86</v>
      </c>
      <c r="L207">
        <v>93</v>
      </c>
      <c r="M207">
        <v>26</v>
      </c>
      <c r="N207">
        <v>13</v>
      </c>
      <c r="O207">
        <v>45</v>
      </c>
      <c r="P207">
        <v>2</v>
      </c>
      <c r="Q207">
        <v>8</v>
      </c>
    </row>
    <row r="208" spans="1:18" x14ac:dyDescent="0.3">
      <c r="A208">
        <v>4256562716</v>
      </c>
      <c r="B208">
        <v>1544054144</v>
      </c>
      <c r="C208">
        <v>6536</v>
      </c>
      <c r="D208" t="b">
        <v>1</v>
      </c>
      <c r="E208">
        <v>111</v>
      </c>
      <c r="F208">
        <v>29</v>
      </c>
      <c r="G208">
        <v>87</v>
      </c>
      <c r="H208">
        <v>35</v>
      </c>
      <c r="I208">
        <v>10</v>
      </c>
      <c r="J208">
        <v>50</v>
      </c>
      <c r="K208">
        <v>6</v>
      </c>
      <c r="L208">
        <v>62</v>
      </c>
      <c r="M208">
        <v>59</v>
      </c>
      <c r="N208">
        <v>60</v>
      </c>
      <c r="O208">
        <v>44</v>
      </c>
      <c r="P208">
        <v>93</v>
      </c>
      <c r="Q208">
        <v>80</v>
      </c>
      <c r="R208">
        <v>97</v>
      </c>
    </row>
    <row r="209" spans="1:18" x14ac:dyDescent="0.3">
      <c r="A209">
        <v>4256579619</v>
      </c>
      <c r="B209">
        <v>1544055040</v>
      </c>
      <c r="C209">
        <v>7059</v>
      </c>
      <c r="D209" t="b">
        <v>0</v>
      </c>
      <c r="E209">
        <v>107</v>
      </c>
      <c r="F209">
        <v>44</v>
      </c>
      <c r="G209">
        <v>3</v>
      </c>
      <c r="H209">
        <v>86</v>
      </c>
      <c r="I209">
        <v>50</v>
      </c>
      <c r="J209">
        <v>121</v>
      </c>
      <c r="K209">
        <v>23</v>
      </c>
      <c r="L209">
        <v>97</v>
      </c>
      <c r="M209">
        <v>26</v>
      </c>
      <c r="N209">
        <v>41</v>
      </c>
      <c r="O209">
        <v>111</v>
      </c>
      <c r="P209">
        <v>80</v>
      </c>
      <c r="Q209">
        <v>46</v>
      </c>
    </row>
    <row r="210" spans="1:18" x14ac:dyDescent="0.3">
      <c r="A210">
        <v>4256578947</v>
      </c>
      <c r="B210">
        <v>1544054912</v>
      </c>
      <c r="C210">
        <v>6769</v>
      </c>
      <c r="D210" t="b">
        <v>1</v>
      </c>
      <c r="E210">
        <v>26</v>
      </c>
      <c r="F210">
        <v>89</v>
      </c>
      <c r="G210">
        <v>76</v>
      </c>
      <c r="H210">
        <v>101</v>
      </c>
      <c r="I210">
        <v>84</v>
      </c>
      <c r="J210">
        <v>1</v>
      </c>
      <c r="K210">
        <v>85</v>
      </c>
      <c r="L210">
        <v>82</v>
      </c>
      <c r="M210">
        <v>50</v>
      </c>
      <c r="N210">
        <v>114</v>
      </c>
      <c r="O210">
        <v>70</v>
      </c>
      <c r="P210">
        <v>44</v>
      </c>
      <c r="Q210">
        <v>80</v>
      </c>
      <c r="R210">
        <v>112</v>
      </c>
    </row>
    <row r="211" spans="1:18" x14ac:dyDescent="0.3">
      <c r="A211">
        <v>4256576548</v>
      </c>
      <c r="B211">
        <v>1544054784</v>
      </c>
      <c r="C211">
        <v>6706</v>
      </c>
      <c r="D211" t="b">
        <v>0</v>
      </c>
      <c r="E211">
        <v>44</v>
      </c>
      <c r="F211">
        <v>2</v>
      </c>
      <c r="G211">
        <v>121</v>
      </c>
      <c r="H211">
        <v>112</v>
      </c>
      <c r="I211">
        <v>79</v>
      </c>
      <c r="J211">
        <v>64</v>
      </c>
      <c r="K211">
        <v>39</v>
      </c>
      <c r="L211">
        <v>93</v>
      </c>
      <c r="M211">
        <v>92</v>
      </c>
      <c r="N211">
        <v>16</v>
      </c>
      <c r="O211">
        <v>97</v>
      </c>
      <c r="P211">
        <v>76</v>
      </c>
      <c r="Q211">
        <v>17</v>
      </c>
    </row>
    <row r="212" spans="1:18" x14ac:dyDescent="0.3">
      <c r="A212">
        <v>4256587416</v>
      </c>
      <c r="B212">
        <v>1544055680</v>
      </c>
      <c r="C212">
        <v>7200</v>
      </c>
      <c r="D212" t="b">
        <v>0</v>
      </c>
      <c r="E212">
        <v>72</v>
      </c>
      <c r="F212">
        <v>25</v>
      </c>
      <c r="G212">
        <v>97</v>
      </c>
      <c r="H212">
        <v>93</v>
      </c>
      <c r="I212">
        <v>50</v>
      </c>
      <c r="J212">
        <v>76</v>
      </c>
      <c r="K212">
        <v>69</v>
      </c>
      <c r="L212">
        <v>85</v>
      </c>
      <c r="M212">
        <v>107</v>
      </c>
      <c r="N212">
        <v>44</v>
      </c>
      <c r="O212">
        <v>31</v>
      </c>
      <c r="P212">
        <v>80</v>
      </c>
    </row>
    <row r="213" spans="1:18" x14ac:dyDescent="0.3">
      <c r="A213">
        <v>4256586460</v>
      </c>
      <c r="B213">
        <v>1544055680</v>
      </c>
      <c r="C213">
        <v>6951</v>
      </c>
      <c r="D213" t="b">
        <v>1</v>
      </c>
      <c r="E213">
        <v>84</v>
      </c>
      <c r="F213">
        <v>80</v>
      </c>
      <c r="G213">
        <v>68</v>
      </c>
      <c r="H213">
        <v>45</v>
      </c>
      <c r="I213">
        <v>93</v>
      </c>
      <c r="J213">
        <v>38</v>
      </c>
      <c r="K213">
        <v>19</v>
      </c>
      <c r="L213">
        <v>76</v>
      </c>
      <c r="M213">
        <v>44</v>
      </c>
      <c r="N213">
        <v>7</v>
      </c>
      <c r="O213">
        <v>97</v>
      </c>
    </row>
    <row r="214" spans="1:18" x14ac:dyDescent="0.3">
      <c r="A214">
        <v>4256592928</v>
      </c>
      <c r="B214">
        <v>1544056576</v>
      </c>
      <c r="C214">
        <v>6871</v>
      </c>
      <c r="D214" t="b">
        <v>1</v>
      </c>
      <c r="E214">
        <v>50</v>
      </c>
      <c r="F214">
        <v>20</v>
      </c>
      <c r="G214">
        <v>21</v>
      </c>
      <c r="H214">
        <v>48</v>
      </c>
      <c r="I214">
        <v>6</v>
      </c>
      <c r="J214">
        <v>84</v>
      </c>
      <c r="K214">
        <v>8</v>
      </c>
      <c r="L214">
        <v>39</v>
      </c>
      <c r="M214">
        <v>79</v>
      </c>
      <c r="N214">
        <v>110</v>
      </c>
      <c r="O214">
        <v>44</v>
      </c>
      <c r="P214">
        <v>97</v>
      </c>
    </row>
    <row r="215" spans="1:18" x14ac:dyDescent="0.3">
      <c r="A215">
        <v>4256593403</v>
      </c>
      <c r="B215">
        <v>1544056576</v>
      </c>
      <c r="C215">
        <v>6826</v>
      </c>
      <c r="D215" t="b">
        <v>1</v>
      </c>
      <c r="E215">
        <v>16</v>
      </c>
      <c r="F215">
        <v>91</v>
      </c>
      <c r="G215">
        <v>41</v>
      </c>
      <c r="H215">
        <v>40</v>
      </c>
      <c r="I215">
        <v>50</v>
      </c>
      <c r="J215">
        <v>80</v>
      </c>
      <c r="K215">
        <v>121</v>
      </c>
      <c r="L215">
        <v>112</v>
      </c>
      <c r="M215">
        <v>44</v>
      </c>
      <c r="N215">
        <v>97</v>
      </c>
      <c r="O215">
        <v>14</v>
      </c>
      <c r="P215">
        <v>76</v>
      </c>
    </row>
    <row r="216" spans="1:18" x14ac:dyDescent="0.3">
      <c r="A216">
        <v>4256605559</v>
      </c>
      <c r="B216">
        <v>1544057344</v>
      </c>
      <c r="C216">
        <v>7168</v>
      </c>
      <c r="D216" t="b">
        <v>0</v>
      </c>
      <c r="E216">
        <v>78</v>
      </c>
      <c r="F216">
        <v>76</v>
      </c>
      <c r="G216">
        <v>37</v>
      </c>
      <c r="H216">
        <v>86</v>
      </c>
      <c r="I216">
        <v>44</v>
      </c>
      <c r="J216">
        <v>97</v>
      </c>
      <c r="K216">
        <v>109</v>
      </c>
      <c r="L216">
        <v>121</v>
      </c>
      <c r="M216">
        <v>45</v>
      </c>
      <c r="N216">
        <v>30</v>
      </c>
      <c r="O216">
        <v>6</v>
      </c>
      <c r="P216">
        <v>2</v>
      </c>
      <c r="Q216">
        <v>82</v>
      </c>
    </row>
    <row r="217" spans="1:18" x14ac:dyDescent="0.3">
      <c r="A217">
        <v>4256604525</v>
      </c>
      <c r="B217">
        <v>1544057344</v>
      </c>
      <c r="C217">
        <v>7044</v>
      </c>
    </row>
    <row r="218" spans="1:18" x14ac:dyDescent="0.3">
      <c r="A218">
        <v>4256602524</v>
      </c>
      <c r="B218">
        <v>1544057344</v>
      </c>
      <c r="C218">
        <v>6862</v>
      </c>
      <c r="D218" t="b">
        <v>1</v>
      </c>
      <c r="E218">
        <v>93</v>
      </c>
      <c r="F218">
        <v>106</v>
      </c>
      <c r="G218">
        <v>3</v>
      </c>
      <c r="H218">
        <v>121</v>
      </c>
      <c r="I218">
        <v>16</v>
      </c>
      <c r="J218">
        <v>86</v>
      </c>
      <c r="K218">
        <v>44</v>
      </c>
      <c r="L218">
        <v>114</v>
      </c>
      <c r="M218">
        <v>41</v>
      </c>
      <c r="N218">
        <v>112</v>
      </c>
      <c r="O218">
        <v>34</v>
      </c>
      <c r="P218">
        <v>97</v>
      </c>
    </row>
    <row r="219" spans="1:18" x14ac:dyDescent="0.3">
      <c r="A219">
        <v>4256609887</v>
      </c>
      <c r="B219">
        <v>1544057472</v>
      </c>
      <c r="C219">
        <v>7299</v>
      </c>
      <c r="D219" t="b">
        <v>0</v>
      </c>
      <c r="E219">
        <v>72</v>
      </c>
      <c r="F219">
        <v>50</v>
      </c>
      <c r="G219">
        <v>95</v>
      </c>
      <c r="H219">
        <v>107</v>
      </c>
      <c r="I219">
        <v>86</v>
      </c>
      <c r="J219">
        <v>76</v>
      </c>
      <c r="K219">
        <v>97</v>
      </c>
      <c r="L219">
        <v>25</v>
      </c>
      <c r="M219">
        <v>44</v>
      </c>
      <c r="N219">
        <v>31</v>
      </c>
      <c r="O219">
        <v>121</v>
      </c>
      <c r="P219">
        <v>45</v>
      </c>
    </row>
    <row r="220" spans="1:18" x14ac:dyDescent="0.3">
      <c r="A220">
        <v>4256614511</v>
      </c>
      <c r="B220">
        <v>1544057856</v>
      </c>
      <c r="C220">
        <v>7157</v>
      </c>
      <c r="D220" t="b">
        <v>0</v>
      </c>
      <c r="E220">
        <v>19</v>
      </c>
      <c r="F220">
        <v>41</v>
      </c>
      <c r="G220">
        <v>80</v>
      </c>
      <c r="H220">
        <v>96</v>
      </c>
      <c r="I220">
        <v>50</v>
      </c>
      <c r="J220">
        <v>98</v>
      </c>
      <c r="K220">
        <v>16</v>
      </c>
      <c r="L220">
        <v>31</v>
      </c>
      <c r="M220">
        <v>121</v>
      </c>
      <c r="N220">
        <v>1</v>
      </c>
      <c r="O220">
        <v>44</v>
      </c>
      <c r="P220">
        <v>97</v>
      </c>
      <c r="Q220">
        <v>35</v>
      </c>
    </row>
    <row r="221" spans="1:18" x14ac:dyDescent="0.3">
      <c r="A221">
        <v>4256612196</v>
      </c>
      <c r="B221">
        <v>1544057728</v>
      </c>
      <c r="C221">
        <v>6863</v>
      </c>
      <c r="D221" t="b">
        <v>0</v>
      </c>
      <c r="E221">
        <v>31</v>
      </c>
      <c r="F221">
        <v>101</v>
      </c>
      <c r="G221">
        <v>74</v>
      </c>
      <c r="H221">
        <v>78</v>
      </c>
      <c r="I221">
        <v>41</v>
      </c>
      <c r="J221">
        <v>103</v>
      </c>
      <c r="K221">
        <v>13</v>
      </c>
      <c r="L221">
        <v>111</v>
      </c>
      <c r="M221">
        <v>44</v>
      </c>
      <c r="N221">
        <v>97</v>
      </c>
      <c r="O221">
        <v>76</v>
      </c>
      <c r="P221">
        <v>1</v>
      </c>
    </row>
    <row r="222" spans="1:18" x14ac:dyDescent="0.3">
      <c r="A222">
        <v>4256618634</v>
      </c>
      <c r="B222">
        <v>1544058240</v>
      </c>
      <c r="C222">
        <v>6836</v>
      </c>
      <c r="D222" t="b">
        <v>0</v>
      </c>
      <c r="E222">
        <v>86</v>
      </c>
      <c r="F222">
        <v>93</v>
      </c>
      <c r="G222">
        <v>110</v>
      </c>
      <c r="H222">
        <v>85</v>
      </c>
      <c r="I222">
        <v>97</v>
      </c>
      <c r="J222">
        <v>50</v>
      </c>
      <c r="K222">
        <v>2</v>
      </c>
      <c r="L222">
        <v>107</v>
      </c>
      <c r="M222">
        <v>1</v>
      </c>
      <c r="N222">
        <v>76</v>
      </c>
      <c r="O222">
        <v>44</v>
      </c>
    </row>
    <row r="223" spans="1:18" x14ac:dyDescent="0.3">
      <c r="A223">
        <v>4256619801</v>
      </c>
      <c r="B223">
        <v>1544058368</v>
      </c>
      <c r="C223">
        <v>6766</v>
      </c>
      <c r="D223" t="b">
        <v>1</v>
      </c>
      <c r="E223">
        <v>9</v>
      </c>
      <c r="F223">
        <v>41</v>
      </c>
      <c r="G223">
        <v>6</v>
      </c>
      <c r="H223">
        <v>100</v>
      </c>
      <c r="I223">
        <v>31</v>
      </c>
      <c r="J223">
        <v>25</v>
      </c>
      <c r="K223">
        <v>91</v>
      </c>
      <c r="L223">
        <v>72</v>
      </c>
      <c r="M223">
        <v>4</v>
      </c>
      <c r="N223">
        <v>27</v>
      </c>
      <c r="O223">
        <v>97</v>
      </c>
      <c r="P223">
        <v>59</v>
      </c>
      <c r="Q223">
        <v>44</v>
      </c>
    </row>
    <row r="224" spans="1:18" x14ac:dyDescent="0.3">
      <c r="A224">
        <v>4256610600</v>
      </c>
      <c r="B224">
        <v>1544057600</v>
      </c>
      <c r="C224">
        <v>6718</v>
      </c>
      <c r="D224" t="b">
        <v>0</v>
      </c>
      <c r="E224">
        <v>100</v>
      </c>
      <c r="F224">
        <v>30</v>
      </c>
      <c r="G224">
        <v>67</v>
      </c>
      <c r="H224">
        <v>38</v>
      </c>
      <c r="I224">
        <v>76</v>
      </c>
      <c r="J224">
        <v>50</v>
      </c>
      <c r="K224">
        <v>107</v>
      </c>
      <c r="L224">
        <v>84</v>
      </c>
      <c r="M224">
        <v>109</v>
      </c>
      <c r="N224">
        <v>106</v>
      </c>
      <c r="O224">
        <v>46</v>
      </c>
      <c r="P224">
        <v>44</v>
      </c>
    </row>
    <row r="225" spans="1:18" x14ac:dyDescent="0.3">
      <c r="A225">
        <v>4256617528</v>
      </c>
      <c r="B225">
        <v>1544058112</v>
      </c>
      <c r="C225">
        <v>6724</v>
      </c>
      <c r="D225" t="b">
        <v>0</v>
      </c>
      <c r="E225">
        <v>90</v>
      </c>
      <c r="F225">
        <v>84</v>
      </c>
      <c r="G225">
        <v>38</v>
      </c>
      <c r="H225">
        <v>103</v>
      </c>
      <c r="I225">
        <v>109</v>
      </c>
      <c r="J225">
        <v>98</v>
      </c>
      <c r="K225">
        <v>97</v>
      </c>
      <c r="L225">
        <v>16</v>
      </c>
      <c r="M225">
        <v>93</v>
      </c>
      <c r="N225">
        <v>100</v>
      </c>
      <c r="O225">
        <v>94</v>
      </c>
      <c r="P225">
        <v>44</v>
      </c>
      <c r="Q225">
        <v>1</v>
      </c>
    </row>
    <row r="226" spans="1:18" x14ac:dyDescent="0.3">
      <c r="A226">
        <v>4256624347</v>
      </c>
      <c r="B226">
        <v>1544058752</v>
      </c>
      <c r="C226">
        <v>6840</v>
      </c>
      <c r="D226" t="b">
        <v>0</v>
      </c>
      <c r="E226">
        <v>18</v>
      </c>
      <c r="F226">
        <v>97</v>
      </c>
      <c r="G226">
        <v>1</v>
      </c>
      <c r="H226">
        <v>76</v>
      </c>
      <c r="I226">
        <v>110</v>
      </c>
      <c r="J226">
        <v>121</v>
      </c>
      <c r="K226">
        <v>93</v>
      </c>
      <c r="L226">
        <v>86</v>
      </c>
      <c r="M226">
        <v>40</v>
      </c>
      <c r="N226">
        <v>50</v>
      </c>
      <c r="O226">
        <v>59</v>
      </c>
      <c r="P226">
        <v>8</v>
      </c>
    </row>
    <row r="227" spans="1:18" x14ac:dyDescent="0.3">
      <c r="A227">
        <v>4256628306</v>
      </c>
      <c r="B227">
        <v>1544059136</v>
      </c>
      <c r="C227">
        <v>6766</v>
      </c>
      <c r="D227" t="b">
        <v>1</v>
      </c>
      <c r="E227">
        <v>114</v>
      </c>
      <c r="F227">
        <v>101</v>
      </c>
      <c r="G227">
        <v>2</v>
      </c>
      <c r="H227">
        <v>3</v>
      </c>
      <c r="I227">
        <v>50</v>
      </c>
      <c r="J227">
        <v>31</v>
      </c>
      <c r="K227">
        <v>33</v>
      </c>
      <c r="L227">
        <v>97</v>
      </c>
      <c r="M227">
        <v>12</v>
      </c>
      <c r="N227">
        <v>10</v>
      </c>
      <c r="O227">
        <v>1</v>
      </c>
      <c r="P227">
        <v>44</v>
      </c>
    </row>
    <row r="228" spans="1:18" x14ac:dyDescent="0.3">
      <c r="A228">
        <v>4256628225</v>
      </c>
      <c r="B228">
        <v>1544059136</v>
      </c>
      <c r="C228">
        <v>6682</v>
      </c>
      <c r="D228" t="b">
        <v>1</v>
      </c>
      <c r="E228">
        <v>26</v>
      </c>
      <c r="F228">
        <v>7</v>
      </c>
      <c r="G228">
        <v>22</v>
      </c>
      <c r="H228">
        <v>44</v>
      </c>
      <c r="I228">
        <v>45</v>
      </c>
      <c r="J228">
        <v>97</v>
      </c>
      <c r="K228">
        <v>2</v>
      </c>
      <c r="L228">
        <v>6</v>
      </c>
      <c r="M228">
        <v>93</v>
      </c>
      <c r="N228">
        <v>31</v>
      </c>
      <c r="O228">
        <v>34</v>
      </c>
      <c r="P228">
        <v>114</v>
      </c>
      <c r="Q228">
        <v>88</v>
      </c>
    </row>
    <row r="229" spans="1:18" x14ac:dyDescent="0.3">
      <c r="A229">
        <v>4256629062</v>
      </c>
      <c r="B229">
        <v>1544059264</v>
      </c>
      <c r="C229">
        <v>6968</v>
      </c>
      <c r="D229" t="b">
        <v>1</v>
      </c>
      <c r="E229">
        <v>95</v>
      </c>
      <c r="F229">
        <v>97</v>
      </c>
      <c r="G229">
        <v>65</v>
      </c>
      <c r="H229">
        <v>68</v>
      </c>
      <c r="I229">
        <v>1</v>
      </c>
      <c r="J229">
        <v>44</v>
      </c>
      <c r="K229">
        <v>121</v>
      </c>
      <c r="L229">
        <v>2</v>
      </c>
      <c r="M229">
        <v>56</v>
      </c>
      <c r="N229">
        <v>79</v>
      </c>
      <c r="O229">
        <v>120</v>
      </c>
      <c r="P229">
        <v>82</v>
      </c>
      <c r="Q229">
        <v>50</v>
      </c>
      <c r="R229">
        <v>93</v>
      </c>
    </row>
    <row r="230" spans="1:18" x14ac:dyDescent="0.3">
      <c r="A230">
        <v>4256634691</v>
      </c>
      <c r="B230">
        <v>1544059776</v>
      </c>
      <c r="C230">
        <v>6690</v>
      </c>
      <c r="D230" t="b">
        <v>0</v>
      </c>
      <c r="E230">
        <v>103</v>
      </c>
      <c r="F230">
        <v>93</v>
      </c>
      <c r="G230">
        <v>111</v>
      </c>
      <c r="H230">
        <v>50</v>
      </c>
      <c r="I230">
        <v>59</v>
      </c>
      <c r="J230">
        <v>13</v>
      </c>
      <c r="K230">
        <v>75</v>
      </c>
      <c r="L230">
        <v>6</v>
      </c>
      <c r="M230">
        <v>41</v>
      </c>
      <c r="N230">
        <v>31</v>
      </c>
      <c r="O230">
        <v>97</v>
      </c>
      <c r="P230">
        <v>44</v>
      </c>
      <c r="Q230">
        <v>46</v>
      </c>
    </row>
    <row r="231" spans="1:18" x14ac:dyDescent="0.3">
      <c r="A231">
        <v>4256636772</v>
      </c>
      <c r="B231">
        <v>1544059904</v>
      </c>
      <c r="C231">
        <v>6981</v>
      </c>
      <c r="D231" t="b">
        <v>1</v>
      </c>
      <c r="E231">
        <v>13</v>
      </c>
      <c r="F231">
        <v>44</v>
      </c>
      <c r="G231">
        <v>112</v>
      </c>
      <c r="H231">
        <v>121</v>
      </c>
      <c r="I231">
        <v>103</v>
      </c>
      <c r="J231">
        <v>109</v>
      </c>
      <c r="K231">
        <v>34</v>
      </c>
      <c r="L231">
        <v>111</v>
      </c>
      <c r="M231">
        <v>110</v>
      </c>
      <c r="N231">
        <v>78</v>
      </c>
      <c r="O231">
        <v>106</v>
      </c>
      <c r="P231">
        <v>68</v>
      </c>
      <c r="Q231">
        <v>97</v>
      </c>
    </row>
    <row r="232" spans="1:18" x14ac:dyDescent="0.3">
      <c r="A232">
        <v>4256640814</v>
      </c>
      <c r="B232">
        <v>1544060288</v>
      </c>
      <c r="C232">
        <v>6764</v>
      </c>
      <c r="D232" t="b">
        <v>1</v>
      </c>
      <c r="E232">
        <v>50</v>
      </c>
      <c r="F232">
        <v>78</v>
      </c>
      <c r="G232">
        <v>109</v>
      </c>
      <c r="H232">
        <v>114</v>
      </c>
      <c r="I232">
        <v>101</v>
      </c>
      <c r="J232">
        <v>26</v>
      </c>
      <c r="K232">
        <v>76</v>
      </c>
      <c r="L232">
        <v>71</v>
      </c>
      <c r="M232">
        <v>8</v>
      </c>
      <c r="N232">
        <v>86</v>
      </c>
      <c r="O232">
        <v>44</v>
      </c>
      <c r="P232">
        <v>75</v>
      </c>
      <c r="Q232">
        <v>97</v>
      </c>
    </row>
    <row r="233" spans="1:18" x14ac:dyDescent="0.3">
      <c r="A233">
        <v>4256637835</v>
      </c>
      <c r="B233">
        <v>1544060032</v>
      </c>
      <c r="C233">
        <v>6714</v>
      </c>
      <c r="D233" t="b">
        <v>0</v>
      </c>
      <c r="E233">
        <v>59</v>
      </c>
      <c r="F233">
        <v>16</v>
      </c>
      <c r="G233">
        <v>31</v>
      </c>
      <c r="H233">
        <v>121</v>
      </c>
      <c r="I233">
        <v>93</v>
      </c>
      <c r="J233">
        <v>83</v>
      </c>
      <c r="K233">
        <v>86</v>
      </c>
      <c r="L233">
        <v>19</v>
      </c>
      <c r="M233">
        <v>8</v>
      </c>
      <c r="N233">
        <v>96</v>
      </c>
      <c r="O233">
        <v>13</v>
      </c>
      <c r="P233">
        <v>44</v>
      </c>
      <c r="Q233">
        <v>97</v>
      </c>
    </row>
    <row r="234" spans="1:18" x14ac:dyDescent="0.3">
      <c r="A234">
        <v>4256641771</v>
      </c>
      <c r="B234">
        <v>1544060416</v>
      </c>
      <c r="C234">
        <v>7066</v>
      </c>
      <c r="D234" t="b">
        <v>0</v>
      </c>
      <c r="E234">
        <v>67</v>
      </c>
      <c r="F234">
        <v>111</v>
      </c>
      <c r="G234">
        <v>86</v>
      </c>
      <c r="H234">
        <v>2</v>
      </c>
      <c r="I234">
        <v>49</v>
      </c>
      <c r="J234">
        <v>33</v>
      </c>
      <c r="K234">
        <v>109</v>
      </c>
      <c r="L234">
        <v>74</v>
      </c>
      <c r="M234">
        <v>7</v>
      </c>
      <c r="N234">
        <v>50</v>
      </c>
      <c r="O234">
        <v>34</v>
      </c>
      <c r="P234">
        <v>44</v>
      </c>
    </row>
    <row r="235" spans="1:18" x14ac:dyDescent="0.3">
      <c r="A235">
        <v>4256643417</v>
      </c>
      <c r="B235">
        <v>1544060544</v>
      </c>
      <c r="C235">
        <v>6887</v>
      </c>
      <c r="D235" t="b">
        <v>1</v>
      </c>
      <c r="E235">
        <v>44</v>
      </c>
      <c r="F235">
        <v>46</v>
      </c>
      <c r="G235">
        <v>33</v>
      </c>
      <c r="H235">
        <v>50</v>
      </c>
      <c r="I235">
        <v>100</v>
      </c>
      <c r="J235">
        <v>114</v>
      </c>
      <c r="K235">
        <v>97</v>
      </c>
      <c r="L235">
        <v>93</v>
      </c>
      <c r="M235">
        <v>26</v>
      </c>
      <c r="N235">
        <v>86</v>
      </c>
      <c r="O235">
        <v>41</v>
      </c>
    </row>
    <row r="236" spans="1:18" x14ac:dyDescent="0.3">
      <c r="A236">
        <v>4256644814</v>
      </c>
      <c r="B236">
        <v>1544060672</v>
      </c>
      <c r="C236">
        <v>6778</v>
      </c>
      <c r="D236" t="b">
        <v>0</v>
      </c>
      <c r="E236">
        <v>114</v>
      </c>
      <c r="F236">
        <v>71</v>
      </c>
      <c r="G236">
        <v>93</v>
      </c>
      <c r="H236">
        <v>64</v>
      </c>
      <c r="I236">
        <v>40</v>
      </c>
      <c r="J236">
        <v>13</v>
      </c>
      <c r="K236">
        <v>14</v>
      </c>
      <c r="L236">
        <v>1</v>
      </c>
      <c r="M236">
        <v>50</v>
      </c>
      <c r="N236">
        <v>121</v>
      </c>
      <c r="O236">
        <v>82</v>
      </c>
      <c r="P236">
        <v>97</v>
      </c>
      <c r="Q236">
        <v>44</v>
      </c>
    </row>
    <row r="237" spans="1:18" x14ac:dyDescent="0.3">
      <c r="A237">
        <v>4256648617</v>
      </c>
      <c r="B237">
        <v>1544061056</v>
      </c>
      <c r="C237">
        <v>6934</v>
      </c>
      <c r="D237" t="b">
        <v>1</v>
      </c>
      <c r="E237">
        <v>97</v>
      </c>
      <c r="F237">
        <v>109</v>
      </c>
      <c r="G237">
        <v>41</v>
      </c>
      <c r="H237">
        <v>19</v>
      </c>
      <c r="I237">
        <v>3</v>
      </c>
      <c r="J237">
        <v>50</v>
      </c>
      <c r="K237">
        <v>29</v>
      </c>
      <c r="L237">
        <v>93</v>
      </c>
      <c r="M237">
        <v>44</v>
      </c>
      <c r="N237">
        <v>121</v>
      </c>
      <c r="O237">
        <v>1</v>
      </c>
      <c r="P237">
        <v>45</v>
      </c>
      <c r="Q237">
        <v>76</v>
      </c>
    </row>
    <row r="238" spans="1:18" x14ac:dyDescent="0.3">
      <c r="A238">
        <v>4256650385</v>
      </c>
      <c r="B238">
        <v>1544061184</v>
      </c>
      <c r="C238">
        <v>6695</v>
      </c>
      <c r="D238" t="b">
        <v>1</v>
      </c>
      <c r="E238">
        <v>97</v>
      </c>
      <c r="F238">
        <v>45</v>
      </c>
      <c r="G238">
        <v>94</v>
      </c>
      <c r="H238">
        <v>112</v>
      </c>
      <c r="I238">
        <v>8</v>
      </c>
      <c r="J238">
        <v>44</v>
      </c>
      <c r="K238">
        <v>76</v>
      </c>
      <c r="L238">
        <v>86</v>
      </c>
      <c r="M238">
        <v>87</v>
      </c>
      <c r="N238">
        <v>2</v>
      </c>
      <c r="O238">
        <v>34</v>
      </c>
    </row>
    <row r="239" spans="1:18" x14ac:dyDescent="0.3">
      <c r="A239">
        <v>4256648114</v>
      </c>
      <c r="B239">
        <v>1544060928</v>
      </c>
      <c r="C239">
        <v>6673</v>
      </c>
      <c r="D239" t="b">
        <v>1</v>
      </c>
      <c r="E239">
        <v>121</v>
      </c>
      <c r="F239">
        <v>97</v>
      </c>
      <c r="G239">
        <v>11</v>
      </c>
      <c r="H239">
        <v>44</v>
      </c>
      <c r="I239">
        <v>103</v>
      </c>
      <c r="J239">
        <v>62</v>
      </c>
      <c r="K239">
        <v>45</v>
      </c>
      <c r="L239">
        <v>41</v>
      </c>
      <c r="M239">
        <v>86</v>
      </c>
      <c r="N239">
        <v>22</v>
      </c>
      <c r="O239">
        <v>46</v>
      </c>
      <c r="P239">
        <v>1</v>
      </c>
      <c r="Q239">
        <v>61</v>
      </c>
    </row>
    <row r="240" spans="1:18" x14ac:dyDescent="0.3">
      <c r="A240">
        <v>4256661008</v>
      </c>
      <c r="B240">
        <v>1544062080</v>
      </c>
      <c r="C240">
        <v>6971</v>
      </c>
      <c r="D240" t="b">
        <v>0</v>
      </c>
      <c r="E240">
        <v>2</v>
      </c>
      <c r="F240">
        <v>41</v>
      </c>
      <c r="G240">
        <v>10</v>
      </c>
      <c r="H240">
        <v>31</v>
      </c>
      <c r="I240">
        <v>121</v>
      </c>
      <c r="J240">
        <v>86</v>
      </c>
      <c r="K240">
        <v>16</v>
      </c>
      <c r="L240">
        <v>44</v>
      </c>
      <c r="M240">
        <v>56</v>
      </c>
      <c r="N240">
        <v>50</v>
      </c>
      <c r="O240">
        <v>34</v>
      </c>
      <c r="P240">
        <v>97</v>
      </c>
      <c r="Q240">
        <v>82</v>
      </c>
    </row>
    <row r="241" spans="1:18" x14ac:dyDescent="0.3">
      <c r="A241">
        <v>4256656013</v>
      </c>
      <c r="B241">
        <v>1544061696</v>
      </c>
      <c r="C241">
        <v>6829</v>
      </c>
      <c r="D241" t="b">
        <v>0</v>
      </c>
      <c r="E241">
        <v>97</v>
      </c>
      <c r="F241">
        <v>25</v>
      </c>
      <c r="G241">
        <v>50</v>
      </c>
      <c r="H241">
        <v>16</v>
      </c>
      <c r="I241">
        <v>44</v>
      </c>
      <c r="J241">
        <v>90</v>
      </c>
      <c r="K241">
        <v>93</v>
      </c>
      <c r="L241">
        <v>45</v>
      </c>
      <c r="M241">
        <v>94</v>
      </c>
      <c r="N241">
        <v>79</v>
      </c>
      <c r="O241">
        <v>82</v>
      </c>
      <c r="P241">
        <v>34</v>
      </c>
    </row>
    <row r="242" spans="1:18" x14ac:dyDescent="0.3">
      <c r="A242">
        <v>4256655669</v>
      </c>
      <c r="B242">
        <v>1544061696</v>
      </c>
      <c r="C242">
        <v>6823</v>
      </c>
      <c r="D242" t="b">
        <v>0</v>
      </c>
      <c r="E242">
        <v>114</v>
      </c>
      <c r="F242">
        <v>80</v>
      </c>
      <c r="G242">
        <v>121</v>
      </c>
      <c r="H242">
        <v>31</v>
      </c>
      <c r="I242">
        <v>98</v>
      </c>
      <c r="J242">
        <v>3</v>
      </c>
      <c r="K242">
        <v>86</v>
      </c>
      <c r="L242">
        <v>44</v>
      </c>
      <c r="M242">
        <v>29</v>
      </c>
      <c r="N242">
        <v>97</v>
      </c>
      <c r="O242">
        <v>50</v>
      </c>
      <c r="P242">
        <v>6</v>
      </c>
    </row>
    <row r="243" spans="1:18" x14ac:dyDescent="0.3">
      <c r="A243">
        <v>4256660086</v>
      </c>
      <c r="B243">
        <v>1544062080</v>
      </c>
      <c r="C243">
        <v>6764</v>
      </c>
      <c r="D243" t="b">
        <v>1</v>
      </c>
      <c r="E243">
        <v>19</v>
      </c>
      <c r="F243">
        <v>1</v>
      </c>
      <c r="G243">
        <v>100</v>
      </c>
      <c r="H243">
        <v>25</v>
      </c>
      <c r="I243">
        <v>45</v>
      </c>
      <c r="J243">
        <v>72</v>
      </c>
      <c r="K243">
        <v>101</v>
      </c>
      <c r="L243">
        <v>110</v>
      </c>
      <c r="M243">
        <v>109</v>
      </c>
      <c r="N243">
        <v>21</v>
      </c>
      <c r="O243">
        <v>97</v>
      </c>
      <c r="P243">
        <v>44</v>
      </c>
    </row>
    <row r="244" spans="1:18" x14ac:dyDescent="0.3">
      <c r="A244">
        <v>4256664894</v>
      </c>
      <c r="B244">
        <v>1544062464</v>
      </c>
      <c r="C244">
        <v>6725</v>
      </c>
      <c r="D244" t="b">
        <v>0</v>
      </c>
      <c r="E244">
        <v>84</v>
      </c>
      <c r="F244">
        <v>6</v>
      </c>
      <c r="G244">
        <v>119</v>
      </c>
      <c r="H244">
        <v>26</v>
      </c>
      <c r="I244">
        <v>46</v>
      </c>
      <c r="J244">
        <v>86</v>
      </c>
      <c r="K244">
        <v>56</v>
      </c>
      <c r="L244">
        <v>90</v>
      </c>
      <c r="M244">
        <v>1</v>
      </c>
      <c r="N244">
        <v>25</v>
      </c>
      <c r="O244">
        <v>34</v>
      </c>
      <c r="P244">
        <v>44</v>
      </c>
      <c r="Q244">
        <v>97</v>
      </c>
    </row>
    <row r="245" spans="1:18" x14ac:dyDescent="0.3">
      <c r="A245">
        <v>4256657816</v>
      </c>
      <c r="B245">
        <v>1544061824</v>
      </c>
      <c r="C245">
        <v>6662</v>
      </c>
      <c r="D245" t="b">
        <v>0</v>
      </c>
      <c r="E245">
        <v>26</v>
      </c>
      <c r="F245">
        <v>97</v>
      </c>
      <c r="G245">
        <v>41</v>
      </c>
      <c r="H245">
        <v>45</v>
      </c>
      <c r="I245">
        <v>110</v>
      </c>
      <c r="J245">
        <v>78</v>
      </c>
      <c r="K245">
        <v>121</v>
      </c>
      <c r="L245">
        <v>113</v>
      </c>
      <c r="M245">
        <v>86</v>
      </c>
      <c r="N245">
        <v>44</v>
      </c>
      <c r="O245">
        <v>77</v>
      </c>
      <c r="P245">
        <v>12</v>
      </c>
    </row>
    <row r="246" spans="1:18" x14ac:dyDescent="0.3">
      <c r="A246">
        <v>4256669006</v>
      </c>
      <c r="B246">
        <v>1544062848</v>
      </c>
      <c r="C246">
        <v>6939</v>
      </c>
      <c r="D246" t="b">
        <v>0</v>
      </c>
      <c r="E246">
        <v>86</v>
      </c>
      <c r="F246">
        <v>76</v>
      </c>
      <c r="G246">
        <v>100</v>
      </c>
      <c r="H246">
        <v>29</v>
      </c>
      <c r="I246">
        <v>1</v>
      </c>
      <c r="J246">
        <v>44</v>
      </c>
      <c r="K246">
        <v>26</v>
      </c>
      <c r="L246">
        <v>97</v>
      </c>
      <c r="M246">
        <v>40</v>
      </c>
      <c r="N246">
        <v>78</v>
      </c>
      <c r="O246">
        <v>46</v>
      </c>
      <c r="P246">
        <v>80</v>
      </c>
      <c r="Q246">
        <v>93</v>
      </c>
    </row>
    <row r="247" spans="1:18" x14ac:dyDescent="0.3">
      <c r="A247">
        <v>4256668930</v>
      </c>
      <c r="B247">
        <v>1544062848</v>
      </c>
      <c r="C247">
        <v>6873</v>
      </c>
      <c r="D247" t="b">
        <v>1</v>
      </c>
      <c r="E247">
        <v>21</v>
      </c>
      <c r="F247">
        <v>109</v>
      </c>
      <c r="G247">
        <v>112</v>
      </c>
      <c r="H247">
        <v>16</v>
      </c>
      <c r="I247">
        <v>10</v>
      </c>
      <c r="J247">
        <v>26</v>
      </c>
      <c r="K247">
        <v>22</v>
      </c>
      <c r="L247">
        <v>80</v>
      </c>
      <c r="M247">
        <v>93</v>
      </c>
      <c r="N247">
        <v>121</v>
      </c>
      <c r="O247">
        <v>44</v>
      </c>
      <c r="P247">
        <v>97</v>
      </c>
      <c r="Q247">
        <v>76</v>
      </c>
    </row>
    <row r="248" spans="1:18" x14ac:dyDescent="0.3">
      <c r="A248">
        <v>4256672047</v>
      </c>
      <c r="B248">
        <v>1544063104</v>
      </c>
      <c r="C248">
        <v>6643</v>
      </c>
      <c r="D248" t="b">
        <v>1</v>
      </c>
      <c r="E248">
        <v>99</v>
      </c>
      <c r="F248">
        <v>49</v>
      </c>
      <c r="G248">
        <v>71</v>
      </c>
      <c r="H248">
        <v>31</v>
      </c>
      <c r="I248">
        <v>41</v>
      </c>
      <c r="J248">
        <v>103</v>
      </c>
      <c r="K248">
        <v>101</v>
      </c>
      <c r="L248">
        <v>98</v>
      </c>
      <c r="M248">
        <v>114</v>
      </c>
      <c r="N248">
        <v>104</v>
      </c>
      <c r="O248">
        <v>80</v>
      </c>
      <c r="P248">
        <v>97</v>
      </c>
      <c r="Q248">
        <v>9</v>
      </c>
      <c r="R248">
        <v>38</v>
      </c>
    </row>
    <row r="249" spans="1:18" x14ac:dyDescent="0.3">
      <c r="A249">
        <v>4256667717</v>
      </c>
      <c r="B249">
        <v>1544062720</v>
      </c>
      <c r="C249">
        <v>6619</v>
      </c>
      <c r="D249" t="b">
        <v>0</v>
      </c>
      <c r="E249">
        <v>107</v>
      </c>
      <c r="F249">
        <v>27</v>
      </c>
      <c r="G249">
        <v>8</v>
      </c>
      <c r="H249">
        <v>97</v>
      </c>
      <c r="I249">
        <v>76</v>
      </c>
      <c r="J249">
        <v>45</v>
      </c>
      <c r="K249">
        <v>1</v>
      </c>
      <c r="L249">
        <v>3</v>
      </c>
      <c r="M249">
        <v>81</v>
      </c>
      <c r="N249">
        <v>121</v>
      </c>
      <c r="O249">
        <v>44</v>
      </c>
      <c r="P249">
        <v>82</v>
      </c>
    </row>
    <row r="250" spans="1:18" x14ac:dyDescent="0.3">
      <c r="A250">
        <v>4256681602</v>
      </c>
      <c r="B250">
        <v>1544063872</v>
      </c>
      <c r="C250">
        <v>7107</v>
      </c>
      <c r="D250" t="b">
        <v>1</v>
      </c>
      <c r="E250">
        <v>109</v>
      </c>
      <c r="F250">
        <v>3</v>
      </c>
      <c r="G250">
        <v>50</v>
      </c>
      <c r="H250">
        <v>85</v>
      </c>
      <c r="I250">
        <v>93</v>
      </c>
      <c r="J250">
        <v>65</v>
      </c>
      <c r="K250">
        <v>94</v>
      </c>
      <c r="L250">
        <v>100</v>
      </c>
      <c r="M250">
        <v>6</v>
      </c>
      <c r="N250">
        <v>64</v>
      </c>
      <c r="O250">
        <v>44</v>
      </c>
      <c r="P250">
        <v>97</v>
      </c>
    </row>
    <row r="251" spans="1:18" x14ac:dyDescent="0.3">
      <c r="A251">
        <v>4256676444</v>
      </c>
      <c r="B251">
        <v>1544063488</v>
      </c>
      <c r="C251">
        <v>6821</v>
      </c>
      <c r="D251" t="b">
        <v>1</v>
      </c>
      <c r="E251">
        <v>38</v>
      </c>
      <c r="F251">
        <v>12</v>
      </c>
      <c r="G251">
        <v>15</v>
      </c>
      <c r="H251">
        <v>112</v>
      </c>
      <c r="I251">
        <v>101</v>
      </c>
      <c r="J251">
        <v>40</v>
      </c>
      <c r="K251">
        <v>9</v>
      </c>
      <c r="L251">
        <v>78</v>
      </c>
      <c r="M251">
        <v>50</v>
      </c>
      <c r="N251">
        <v>74</v>
      </c>
      <c r="O251">
        <v>121</v>
      </c>
      <c r="P251">
        <v>93</v>
      </c>
      <c r="Q251">
        <v>120</v>
      </c>
    </row>
    <row r="252" spans="1:18" x14ac:dyDescent="0.3">
      <c r="A252">
        <v>4256678851</v>
      </c>
      <c r="B252">
        <v>1544063616</v>
      </c>
      <c r="C252">
        <v>6749</v>
      </c>
      <c r="D252" t="b">
        <v>1</v>
      </c>
      <c r="E252">
        <v>86</v>
      </c>
      <c r="F252">
        <v>80</v>
      </c>
      <c r="G252">
        <v>12</v>
      </c>
      <c r="H252">
        <v>110</v>
      </c>
      <c r="I252">
        <v>38</v>
      </c>
      <c r="J252">
        <v>120</v>
      </c>
      <c r="K252">
        <v>97</v>
      </c>
      <c r="L252">
        <v>45</v>
      </c>
      <c r="M252">
        <v>112</v>
      </c>
      <c r="N252">
        <v>93</v>
      </c>
      <c r="O252">
        <v>44</v>
      </c>
      <c r="P252">
        <v>111</v>
      </c>
      <c r="Q252">
        <v>69</v>
      </c>
    </row>
    <row r="253" spans="1:18" x14ac:dyDescent="0.3">
      <c r="A253">
        <v>4256682274</v>
      </c>
      <c r="B253">
        <v>1544063872</v>
      </c>
      <c r="C253">
        <v>6747</v>
      </c>
      <c r="D253" t="b">
        <v>0</v>
      </c>
      <c r="E253">
        <v>93</v>
      </c>
      <c r="F253">
        <v>97</v>
      </c>
      <c r="G253">
        <v>86</v>
      </c>
      <c r="H253">
        <v>72</v>
      </c>
      <c r="I253">
        <v>30</v>
      </c>
      <c r="J253">
        <v>31</v>
      </c>
      <c r="K253">
        <v>121</v>
      </c>
      <c r="L253">
        <v>38</v>
      </c>
      <c r="M253">
        <v>77</v>
      </c>
      <c r="N253">
        <v>59</v>
      </c>
      <c r="O253">
        <v>44</v>
      </c>
      <c r="P253">
        <v>1</v>
      </c>
    </row>
    <row r="254" spans="1:18" x14ac:dyDescent="0.3">
      <c r="A254">
        <v>4256678900</v>
      </c>
      <c r="B254">
        <v>1544063616</v>
      </c>
      <c r="C254">
        <v>6680</v>
      </c>
      <c r="D254" t="b">
        <v>1</v>
      </c>
      <c r="E254">
        <v>8</v>
      </c>
      <c r="F254">
        <v>26</v>
      </c>
      <c r="G254">
        <v>86</v>
      </c>
      <c r="H254">
        <v>97</v>
      </c>
      <c r="I254">
        <v>45</v>
      </c>
      <c r="J254">
        <v>10</v>
      </c>
      <c r="K254">
        <v>44</v>
      </c>
      <c r="L254">
        <v>114</v>
      </c>
      <c r="M254">
        <v>96</v>
      </c>
      <c r="N254">
        <v>87</v>
      </c>
      <c r="O254">
        <v>50</v>
      </c>
      <c r="P254">
        <v>2</v>
      </c>
      <c r="Q254">
        <v>88</v>
      </c>
    </row>
    <row r="255" spans="1:18" x14ac:dyDescent="0.3">
      <c r="A255">
        <v>4256685991</v>
      </c>
      <c r="B255">
        <v>1544064256</v>
      </c>
      <c r="C255">
        <v>7026</v>
      </c>
      <c r="D255" t="b">
        <v>0</v>
      </c>
      <c r="E255">
        <v>28</v>
      </c>
      <c r="F255">
        <v>101</v>
      </c>
      <c r="G255">
        <v>50</v>
      </c>
      <c r="H255">
        <v>25</v>
      </c>
      <c r="I255">
        <v>44</v>
      </c>
      <c r="J255">
        <v>64</v>
      </c>
      <c r="K255">
        <v>93</v>
      </c>
      <c r="L255">
        <v>111</v>
      </c>
      <c r="M255">
        <v>6</v>
      </c>
      <c r="N255">
        <v>16</v>
      </c>
      <c r="O255">
        <v>97</v>
      </c>
    </row>
    <row r="256" spans="1:18" x14ac:dyDescent="0.3">
      <c r="A256">
        <v>4256687236</v>
      </c>
      <c r="B256">
        <v>1544064384</v>
      </c>
      <c r="C256">
        <v>6868</v>
      </c>
      <c r="D256" t="b">
        <v>1</v>
      </c>
      <c r="E256">
        <v>8</v>
      </c>
      <c r="F256">
        <v>38</v>
      </c>
      <c r="G256">
        <v>87</v>
      </c>
      <c r="H256">
        <v>107</v>
      </c>
      <c r="I256">
        <v>89</v>
      </c>
      <c r="J256">
        <v>80</v>
      </c>
      <c r="K256">
        <v>50</v>
      </c>
      <c r="L256">
        <v>93</v>
      </c>
      <c r="M256">
        <v>100</v>
      </c>
      <c r="N256">
        <v>28</v>
      </c>
      <c r="O256">
        <v>97</v>
      </c>
      <c r="P256">
        <v>44</v>
      </c>
    </row>
    <row r="257" spans="1:18" x14ac:dyDescent="0.3">
      <c r="A257">
        <v>4256689751</v>
      </c>
      <c r="B257">
        <v>1544064512</v>
      </c>
      <c r="C257">
        <v>6832</v>
      </c>
      <c r="D257" t="b">
        <v>1</v>
      </c>
      <c r="E257">
        <v>91</v>
      </c>
      <c r="F257">
        <v>76</v>
      </c>
      <c r="G257">
        <v>50</v>
      </c>
      <c r="H257">
        <v>81</v>
      </c>
      <c r="I257">
        <v>44</v>
      </c>
      <c r="J257">
        <v>10</v>
      </c>
      <c r="K257">
        <v>94</v>
      </c>
      <c r="L257">
        <v>90</v>
      </c>
      <c r="M257">
        <v>18</v>
      </c>
      <c r="N257">
        <v>111</v>
      </c>
      <c r="O257">
        <v>34</v>
      </c>
      <c r="P257">
        <v>97</v>
      </c>
      <c r="Q257">
        <v>102</v>
      </c>
    </row>
    <row r="258" spans="1:18" x14ac:dyDescent="0.3">
      <c r="A258">
        <v>4256690452</v>
      </c>
      <c r="B258">
        <v>1544064640</v>
      </c>
      <c r="C258">
        <v>7267</v>
      </c>
      <c r="D258" t="b">
        <v>1</v>
      </c>
      <c r="E258">
        <v>62</v>
      </c>
      <c r="F258">
        <v>86</v>
      </c>
      <c r="G258">
        <v>100</v>
      </c>
      <c r="H258">
        <v>27</v>
      </c>
      <c r="I258">
        <v>38</v>
      </c>
      <c r="J258">
        <v>50</v>
      </c>
      <c r="K258">
        <v>31</v>
      </c>
      <c r="L258">
        <v>106</v>
      </c>
      <c r="M258">
        <v>16</v>
      </c>
      <c r="N258">
        <v>1</v>
      </c>
      <c r="O258">
        <v>76</v>
      </c>
      <c r="P258">
        <v>97</v>
      </c>
    </row>
    <row r="259" spans="1:18" x14ac:dyDescent="0.3">
      <c r="A259">
        <v>4256697527</v>
      </c>
      <c r="B259">
        <v>1544065152</v>
      </c>
      <c r="C259">
        <v>7252</v>
      </c>
      <c r="D259" t="b">
        <v>0</v>
      </c>
      <c r="E259">
        <v>50</v>
      </c>
      <c r="F259">
        <v>49</v>
      </c>
      <c r="G259">
        <v>67</v>
      </c>
      <c r="H259">
        <v>78</v>
      </c>
      <c r="I259">
        <v>91</v>
      </c>
      <c r="J259">
        <v>2</v>
      </c>
      <c r="K259">
        <v>86</v>
      </c>
      <c r="L259">
        <v>107</v>
      </c>
      <c r="M259">
        <v>31</v>
      </c>
      <c r="N259">
        <v>48</v>
      </c>
      <c r="O259">
        <v>94</v>
      </c>
      <c r="P259">
        <v>1</v>
      </c>
      <c r="Q259">
        <v>97</v>
      </c>
    </row>
    <row r="260" spans="1:18" x14ac:dyDescent="0.3">
      <c r="A260">
        <v>4256696286</v>
      </c>
      <c r="B260">
        <v>1544065024</v>
      </c>
      <c r="C260">
        <v>7180</v>
      </c>
      <c r="D260" t="b">
        <v>1</v>
      </c>
      <c r="E260">
        <v>86</v>
      </c>
      <c r="F260">
        <v>100</v>
      </c>
      <c r="G260">
        <v>41</v>
      </c>
      <c r="H260">
        <v>26</v>
      </c>
      <c r="I260">
        <v>97</v>
      </c>
      <c r="J260">
        <v>98</v>
      </c>
      <c r="K260">
        <v>93</v>
      </c>
      <c r="L260">
        <v>16</v>
      </c>
      <c r="M260">
        <v>50</v>
      </c>
      <c r="N260">
        <v>112</v>
      </c>
      <c r="O260">
        <v>34</v>
      </c>
      <c r="P260">
        <v>44</v>
      </c>
    </row>
    <row r="261" spans="1:18" x14ac:dyDescent="0.3">
      <c r="A261">
        <v>4256700048</v>
      </c>
      <c r="B261">
        <v>1544065408</v>
      </c>
      <c r="C261">
        <v>6850</v>
      </c>
      <c r="D261" t="b">
        <v>0</v>
      </c>
      <c r="E261">
        <v>41</v>
      </c>
      <c r="F261">
        <v>34</v>
      </c>
      <c r="G261">
        <v>111</v>
      </c>
      <c r="H261">
        <v>7</v>
      </c>
      <c r="I261">
        <v>100</v>
      </c>
      <c r="J261">
        <v>98</v>
      </c>
      <c r="K261">
        <v>86</v>
      </c>
      <c r="L261">
        <v>44</v>
      </c>
      <c r="M261">
        <v>121</v>
      </c>
      <c r="N261">
        <v>97</v>
      </c>
    </row>
    <row r="262" spans="1:18" x14ac:dyDescent="0.3">
      <c r="A262">
        <v>4256692521</v>
      </c>
      <c r="B262">
        <v>1544064768</v>
      </c>
      <c r="C262">
        <v>6751</v>
      </c>
      <c r="D262" t="b">
        <v>1</v>
      </c>
      <c r="E262">
        <v>76</v>
      </c>
      <c r="F262">
        <v>111</v>
      </c>
      <c r="G262">
        <v>44</v>
      </c>
      <c r="H262">
        <v>90</v>
      </c>
      <c r="I262">
        <v>97</v>
      </c>
      <c r="J262">
        <v>50</v>
      </c>
      <c r="K262">
        <v>1</v>
      </c>
      <c r="L262">
        <v>45</v>
      </c>
      <c r="M262">
        <v>78</v>
      </c>
      <c r="N262">
        <v>26</v>
      </c>
      <c r="O262">
        <v>74</v>
      </c>
      <c r="P262">
        <v>48</v>
      </c>
      <c r="Q262">
        <v>61</v>
      </c>
    </row>
    <row r="263" spans="1:18" x14ac:dyDescent="0.3">
      <c r="A263">
        <v>4256711320</v>
      </c>
      <c r="B263">
        <v>1544066304</v>
      </c>
      <c r="C263">
        <v>7322</v>
      </c>
      <c r="D263" t="b">
        <v>0</v>
      </c>
      <c r="E263">
        <v>7</v>
      </c>
      <c r="F263">
        <v>45</v>
      </c>
      <c r="G263">
        <v>86</v>
      </c>
      <c r="H263">
        <v>41</v>
      </c>
      <c r="I263">
        <v>50</v>
      </c>
      <c r="J263">
        <v>62</v>
      </c>
      <c r="K263">
        <v>100</v>
      </c>
      <c r="L263">
        <v>76</v>
      </c>
      <c r="M263">
        <v>97</v>
      </c>
      <c r="N263">
        <v>111</v>
      </c>
      <c r="O263">
        <v>44</v>
      </c>
    </row>
    <row r="264" spans="1:18" x14ac:dyDescent="0.3">
      <c r="A264">
        <v>4256707423</v>
      </c>
      <c r="B264">
        <v>1544066048</v>
      </c>
      <c r="C264">
        <v>7006</v>
      </c>
      <c r="D264" t="b">
        <v>0</v>
      </c>
      <c r="E264">
        <v>86</v>
      </c>
      <c r="F264">
        <v>45</v>
      </c>
      <c r="G264">
        <v>2</v>
      </c>
      <c r="H264">
        <v>94</v>
      </c>
      <c r="I264">
        <v>3</v>
      </c>
      <c r="J264">
        <v>44</v>
      </c>
      <c r="K264">
        <v>97</v>
      </c>
      <c r="L264">
        <v>121</v>
      </c>
      <c r="M264">
        <v>59</v>
      </c>
      <c r="N264">
        <v>101</v>
      </c>
      <c r="O264">
        <v>16</v>
      </c>
    </row>
    <row r="265" spans="1:18" x14ac:dyDescent="0.3">
      <c r="A265">
        <v>4256710432</v>
      </c>
      <c r="B265">
        <v>1544066176</v>
      </c>
      <c r="C265">
        <v>6866</v>
      </c>
      <c r="D265" t="b">
        <v>1</v>
      </c>
      <c r="E265">
        <v>7</v>
      </c>
      <c r="F265">
        <v>86</v>
      </c>
      <c r="G265">
        <v>79</v>
      </c>
      <c r="H265">
        <v>96</v>
      </c>
      <c r="I265">
        <v>44</v>
      </c>
      <c r="J265">
        <v>114</v>
      </c>
      <c r="K265">
        <v>76</v>
      </c>
      <c r="L265">
        <v>110</v>
      </c>
      <c r="M265">
        <v>97</v>
      </c>
      <c r="N265">
        <v>85</v>
      </c>
      <c r="O265">
        <v>101</v>
      </c>
      <c r="P265">
        <v>45</v>
      </c>
      <c r="Q265">
        <v>50</v>
      </c>
    </row>
    <row r="266" spans="1:18" x14ac:dyDescent="0.3">
      <c r="A266">
        <v>4256697102</v>
      </c>
      <c r="B266">
        <v>1544065152</v>
      </c>
      <c r="C266">
        <v>6695</v>
      </c>
      <c r="D266" t="b">
        <v>1</v>
      </c>
      <c r="E266">
        <v>31</v>
      </c>
      <c r="F266">
        <v>19</v>
      </c>
      <c r="G266">
        <v>59</v>
      </c>
      <c r="H266">
        <v>121</v>
      </c>
      <c r="I266">
        <v>114</v>
      </c>
      <c r="J266">
        <v>14</v>
      </c>
      <c r="K266">
        <v>90</v>
      </c>
      <c r="L266">
        <v>44</v>
      </c>
      <c r="M266">
        <v>50</v>
      </c>
      <c r="N266">
        <v>25</v>
      </c>
      <c r="O266">
        <v>97</v>
      </c>
    </row>
    <row r="267" spans="1:18" x14ac:dyDescent="0.3">
      <c r="A267">
        <v>4256713438</v>
      </c>
      <c r="B267">
        <v>1544066432</v>
      </c>
      <c r="C267">
        <v>6925</v>
      </c>
      <c r="D267" t="b">
        <v>0</v>
      </c>
      <c r="E267">
        <v>50</v>
      </c>
      <c r="F267">
        <v>86</v>
      </c>
      <c r="G267">
        <v>67</v>
      </c>
      <c r="H267">
        <v>55</v>
      </c>
      <c r="I267">
        <v>71</v>
      </c>
      <c r="J267">
        <v>97</v>
      </c>
      <c r="K267">
        <v>1</v>
      </c>
      <c r="L267">
        <v>101</v>
      </c>
      <c r="M267">
        <v>3</v>
      </c>
      <c r="N267">
        <v>2</v>
      </c>
      <c r="O267">
        <v>76</v>
      </c>
      <c r="P267">
        <v>82</v>
      </c>
      <c r="Q267">
        <v>9</v>
      </c>
      <c r="R267">
        <v>44</v>
      </c>
    </row>
    <row r="268" spans="1:18" x14ac:dyDescent="0.3">
      <c r="A268">
        <v>4256718476</v>
      </c>
      <c r="B268">
        <v>1544066944</v>
      </c>
      <c r="C268">
        <v>6755</v>
      </c>
      <c r="D268" t="b">
        <v>0</v>
      </c>
      <c r="E268">
        <v>97</v>
      </c>
      <c r="F268">
        <v>50</v>
      </c>
      <c r="G268">
        <v>86</v>
      </c>
      <c r="H268">
        <v>93</v>
      </c>
      <c r="I268">
        <v>76</v>
      </c>
      <c r="J268">
        <v>104</v>
      </c>
      <c r="K268">
        <v>27</v>
      </c>
      <c r="L268">
        <v>121</v>
      </c>
      <c r="M268">
        <v>44</v>
      </c>
      <c r="N268">
        <v>94</v>
      </c>
      <c r="O268">
        <v>34</v>
      </c>
      <c r="P268">
        <v>12</v>
      </c>
    </row>
    <row r="269" spans="1:18" x14ac:dyDescent="0.3">
      <c r="A269">
        <v>4256715022</v>
      </c>
      <c r="B269">
        <v>1544066560</v>
      </c>
      <c r="C269">
        <v>6738</v>
      </c>
      <c r="D269" t="b">
        <v>0</v>
      </c>
      <c r="E269">
        <v>74</v>
      </c>
      <c r="F269">
        <v>44</v>
      </c>
      <c r="G269">
        <v>97</v>
      </c>
      <c r="H269">
        <v>87</v>
      </c>
      <c r="I269">
        <v>121</v>
      </c>
      <c r="J269">
        <v>64</v>
      </c>
      <c r="K269">
        <v>41</v>
      </c>
      <c r="L269">
        <v>13</v>
      </c>
      <c r="M269">
        <v>76</v>
      </c>
      <c r="N269">
        <v>86</v>
      </c>
      <c r="O269">
        <v>2</v>
      </c>
      <c r="P269">
        <v>50</v>
      </c>
    </row>
    <row r="270" spans="1:18" x14ac:dyDescent="0.3">
      <c r="A270">
        <v>4256713619</v>
      </c>
      <c r="B270">
        <v>1544066432</v>
      </c>
      <c r="C270">
        <v>6722</v>
      </c>
      <c r="D270" t="b">
        <v>1</v>
      </c>
      <c r="E270">
        <v>82</v>
      </c>
      <c r="F270">
        <v>10</v>
      </c>
      <c r="G270">
        <v>120</v>
      </c>
      <c r="H270">
        <v>2</v>
      </c>
      <c r="I270">
        <v>26</v>
      </c>
      <c r="J270">
        <v>86</v>
      </c>
      <c r="K270">
        <v>114</v>
      </c>
      <c r="L270">
        <v>93</v>
      </c>
      <c r="M270">
        <v>84</v>
      </c>
      <c r="N270">
        <v>78</v>
      </c>
      <c r="O270">
        <v>44</v>
      </c>
      <c r="P270">
        <v>97</v>
      </c>
      <c r="Q270">
        <v>113</v>
      </c>
    </row>
    <row r="271" spans="1:18" x14ac:dyDescent="0.3">
      <c r="A271">
        <v>4256724169</v>
      </c>
      <c r="B271">
        <v>1544067328</v>
      </c>
      <c r="C271">
        <v>6960</v>
      </c>
      <c r="D271" t="b">
        <v>1</v>
      </c>
      <c r="E271">
        <v>16</v>
      </c>
      <c r="F271">
        <v>84</v>
      </c>
      <c r="G271">
        <v>101</v>
      </c>
      <c r="H271">
        <v>93</v>
      </c>
      <c r="I271">
        <v>45</v>
      </c>
      <c r="J271">
        <v>57</v>
      </c>
      <c r="K271">
        <v>50</v>
      </c>
      <c r="L271">
        <v>44</v>
      </c>
      <c r="M271">
        <v>88</v>
      </c>
      <c r="N271">
        <v>14</v>
      </c>
      <c r="O271">
        <v>97</v>
      </c>
    </row>
    <row r="272" spans="1:18" x14ac:dyDescent="0.3">
      <c r="A272">
        <v>4256720867</v>
      </c>
      <c r="B272">
        <v>1544067072</v>
      </c>
      <c r="C272">
        <v>6868</v>
      </c>
      <c r="D272" t="b">
        <v>0</v>
      </c>
      <c r="E272">
        <v>99</v>
      </c>
      <c r="F272">
        <v>111</v>
      </c>
      <c r="G272">
        <v>10</v>
      </c>
      <c r="H272">
        <v>82</v>
      </c>
      <c r="I272">
        <v>90</v>
      </c>
      <c r="J272">
        <v>76</v>
      </c>
      <c r="K272">
        <v>121</v>
      </c>
      <c r="L272">
        <v>31</v>
      </c>
      <c r="M272">
        <v>20</v>
      </c>
      <c r="N272">
        <v>54</v>
      </c>
      <c r="O272">
        <v>44</v>
      </c>
      <c r="P272">
        <v>97</v>
      </c>
      <c r="Q272">
        <v>93</v>
      </c>
    </row>
    <row r="273" spans="1:17" x14ac:dyDescent="0.3">
      <c r="A273">
        <v>4256728392</v>
      </c>
      <c r="B273">
        <v>1544067712</v>
      </c>
      <c r="C273">
        <v>6917</v>
      </c>
      <c r="D273" t="b">
        <v>0</v>
      </c>
      <c r="E273">
        <v>44</v>
      </c>
      <c r="F273">
        <v>46</v>
      </c>
      <c r="G273">
        <v>101</v>
      </c>
      <c r="H273">
        <v>2</v>
      </c>
      <c r="I273">
        <v>84</v>
      </c>
      <c r="J273">
        <v>78</v>
      </c>
      <c r="K273">
        <v>86</v>
      </c>
      <c r="L273">
        <v>1</v>
      </c>
      <c r="M273">
        <v>45</v>
      </c>
      <c r="N273">
        <v>83</v>
      </c>
      <c r="O273">
        <v>6</v>
      </c>
      <c r="P273">
        <v>97</v>
      </c>
    </row>
    <row r="274" spans="1:17" x14ac:dyDescent="0.3">
      <c r="A274">
        <v>4256732553</v>
      </c>
      <c r="B274">
        <v>1544067968</v>
      </c>
      <c r="C274">
        <v>6838</v>
      </c>
      <c r="D274" t="b">
        <v>0</v>
      </c>
      <c r="E274">
        <v>86</v>
      </c>
      <c r="F274">
        <v>46</v>
      </c>
      <c r="G274">
        <v>90</v>
      </c>
      <c r="H274">
        <v>44</v>
      </c>
      <c r="I274">
        <v>88</v>
      </c>
      <c r="J274">
        <v>31</v>
      </c>
      <c r="K274">
        <v>23</v>
      </c>
      <c r="L274">
        <v>1</v>
      </c>
      <c r="M274">
        <v>97</v>
      </c>
      <c r="N274">
        <v>45</v>
      </c>
      <c r="O274">
        <v>48</v>
      </c>
    </row>
    <row r="275" spans="1:17" x14ac:dyDescent="0.3">
      <c r="A275">
        <v>4256741994</v>
      </c>
      <c r="B275">
        <v>1544068736</v>
      </c>
      <c r="C275">
        <v>7134</v>
      </c>
      <c r="D275" t="b">
        <v>0</v>
      </c>
      <c r="E275">
        <v>45</v>
      </c>
      <c r="F275">
        <v>96</v>
      </c>
      <c r="G275">
        <v>121</v>
      </c>
      <c r="H275">
        <v>112</v>
      </c>
      <c r="I275">
        <v>41</v>
      </c>
      <c r="J275">
        <v>94</v>
      </c>
      <c r="K275">
        <v>86</v>
      </c>
      <c r="L275">
        <v>50</v>
      </c>
      <c r="M275">
        <v>97</v>
      </c>
      <c r="N275">
        <v>44</v>
      </c>
      <c r="O275">
        <v>93</v>
      </c>
      <c r="P275">
        <v>34</v>
      </c>
    </row>
    <row r="276" spans="1:17" x14ac:dyDescent="0.3">
      <c r="A276">
        <v>4256738776</v>
      </c>
      <c r="B276">
        <v>1544068480</v>
      </c>
      <c r="C276">
        <v>6955</v>
      </c>
      <c r="D276" t="b">
        <v>1</v>
      </c>
      <c r="E276">
        <v>71</v>
      </c>
      <c r="F276">
        <v>77</v>
      </c>
      <c r="G276">
        <v>3</v>
      </c>
      <c r="H276">
        <v>78</v>
      </c>
      <c r="I276">
        <v>102</v>
      </c>
      <c r="J276">
        <v>93</v>
      </c>
      <c r="K276">
        <v>27</v>
      </c>
      <c r="L276">
        <v>107</v>
      </c>
      <c r="M276">
        <v>45</v>
      </c>
      <c r="N276">
        <v>61</v>
      </c>
      <c r="O276">
        <v>44</v>
      </c>
      <c r="P276">
        <v>69</v>
      </c>
    </row>
    <row r="277" spans="1:17" x14ac:dyDescent="0.3">
      <c r="A277">
        <v>4256750911</v>
      </c>
      <c r="B277">
        <v>1544069376</v>
      </c>
      <c r="C277">
        <v>7047</v>
      </c>
    </row>
    <row r="278" spans="1:17" x14ac:dyDescent="0.3">
      <c r="A278">
        <v>4256750118</v>
      </c>
      <c r="B278">
        <v>1544069376</v>
      </c>
      <c r="C278">
        <v>7042</v>
      </c>
      <c r="D278" t="b">
        <v>1</v>
      </c>
      <c r="E278">
        <v>7</v>
      </c>
      <c r="F278">
        <v>38</v>
      </c>
      <c r="G278">
        <v>110</v>
      </c>
      <c r="H278">
        <v>41</v>
      </c>
      <c r="I278">
        <v>98</v>
      </c>
      <c r="J278">
        <v>96</v>
      </c>
      <c r="K278">
        <v>63</v>
      </c>
      <c r="L278">
        <v>33</v>
      </c>
      <c r="M278">
        <v>89</v>
      </c>
      <c r="N278">
        <v>50</v>
      </c>
      <c r="O278">
        <v>97</v>
      </c>
      <c r="P278">
        <v>100</v>
      </c>
      <c r="Q278">
        <v>16</v>
      </c>
    </row>
    <row r="279" spans="1:17" x14ac:dyDescent="0.3">
      <c r="A279">
        <v>4256744511</v>
      </c>
      <c r="B279">
        <v>1544068992</v>
      </c>
      <c r="C279">
        <v>6898</v>
      </c>
      <c r="D279" t="b">
        <v>1</v>
      </c>
      <c r="E279">
        <v>45</v>
      </c>
      <c r="F279">
        <v>44</v>
      </c>
      <c r="G279">
        <v>97</v>
      </c>
      <c r="H279">
        <v>7</v>
      </c>
      <c r="I279">
        <v>37</v>
      </c>
      <c r="J279">
        <v>106</v>
      </c>
      <c r="K279">
        <v>93</v>
      </c>
      <c r="L279">
        <v>50</v>
      </c>
      <c r="M279">
        <v>38</v>
      </c>
      <c r="N279">
        <v>31</v>
      </c>
    </row>
    <row r="280" spans="1:17" x14ac:dyDescent="0.3">
      <c r="A280">
        <v>4256750496</v>
      </c>
      <c r="B280">
        <v>1544069376</v>
      </c>
      <c r="C280">
        <v>6702</v>
      </c>
      <c r="D280" t="b">
        <v>1</v>
      </c>
      <c r="E280">
        <v>86</v>
      </c>
      <c r="F280">
        <v>97</v>
      </c>
      <c r="G280">
        <v>44</v>
      </c>
      <c r="H280">
        <v>3</v>
      </c>
      <c r="I280">
        <v>45</v>
      </c>
      <c r="J280">
        <v>31</v>
      </c>
      <c r="K280">
        <v>10</v>
      </c>
      <c r="L280">
        <v>26</v>
      </c>
      <c r="M280">
        <v>29</v>
      </c>
      <c r="N280">
        <v>50</v>
      </c>
      <c r="O280">
        <v>2</v>
      </c>
      <c r="P280">
        <v>55</v>
      </c>
    </row>
    <row r="281" spans="1:17" x14ac:dyDescent="0.3">
      <c r="A281">
        <v>4256755191</v>
      </c>
      <c r="B281">
        <v>1544069760</v>
      </c>
      <c r="C281">
        <v>6865</v>
      </c>
    </row>
    <row r="282" spans="1:17" x14ac:dyDescent="0.3">
      <c r="A282">
        <v>4256751562</v>
      </c>
      <c r="B282">
        <v>1544069504</v>
      </c>
      <c r="C282">
        <v>6845</v>
      </c>
      <c r="D282" t="b">
        <v>1</v>
      </c>
      <c r="E282">
        <v>93</v>
      </c>
      <c r="F282">
        <v>16</v>
      </c>
      <c r="G282">
        <v>97</v>
      </c>
      <c r="H282">
        <v>106</v>
      </c>
      <c r="I282">
        <v>26</v>
      </c>
      <c r="J282">
        <v>76</v>
      </c>
      <c r="K282">
        <v>104</v>
      </c>
      <c r="L282">
        <v>78</v>
      </c>
      <c r="M282">
        <v>44</v>
      </c>
      <c r="N282">
        <v>50</v>
      </c>
      <c r="O282">
        <v>2</v>
      </c>
    </row>
    <row r="283" spans="1:17" x14ac:dyDescent="0.3">
      <c r="A283">
        <v>4256762835</v>
      </c>
      <c r="B283">
        <v>1544070272</v>
      </c>
      <c r="C283">
        <v>6790</v>
      </c>
    </row>
    <row r="284" spans="1:17" x14ac:dyDescent="0.3">
      <c r="A284">
        <v>4256760081</v>
      </c>
      <c r="B284">
        <v>1544070144</v>
      </c>
      <c r="C284">
        <v>6782</v>
      </c>
    </row>
    <row r="285" spans="1:17" x14ac:dyDescent="0.3">
      <c r="A285">
        <v>4256763676</v>
      </c>
      <c r="B285">
        <v>1544070400</v>
      </c>
      <c r="C285">
        <v>6758</v>
      </c>
    </row>
    <row r="286" spans="1:17" x14ac:dyDescent="0.3">
      <c r="A286">
        <v>4256766689</v>
      </c>
      <c r="B286">
        <v>1544070656</v>
      </c>
      <c r="C286">
        <v>6977</v>
      </c>
    </row>
    <row r="287" spans="1:17" x14ac:dyDescent="0.3">
      <c r="A287">
        <v>4256771773</v>
      </c>
      <c r="B287">
        <v>1544071040</v>
      </c>
      <c r="C287">
        <v>6931</v>
      </c>
    </row>
    <row r="288" spans="1:17" x14ac:dyDescent="0.3">
      <c r="A288">
        <v>4256773488</v>
      </c>
      <c r="B288">
        <v>1544071168</v>
      </c>
      <c r="C288">
        <v>6932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593"/>
  <sheetViews>
    <sheetView workbookViewId="0">
      <selection activeCell="B27" sqref="B27"/>
    </sheetView>
  </sheetViews>
  <sheetFormatPr defaultRowHeight="14.4" x14ac:dyDescent="0.3"/>
  <cols>
    <col min="1" max="1" width="10.88671875" bestFit="1" customWidth="1"/>
    <col min="12" max="12" width="20.6640625" customWidth="1"/>
  </cols>
  <sheetData>
    <row r="1" spans="1:20" x14ac:dyDescent="0.3">
      <c r="A1" t="s">
        <v>19</v>
      </c>
      <c r="B1">
        <f>COUNT(output_parsed!E:E)</f>
        <v>275</v>
      </c>
    </row>
    <row r="3" spans="1:20" x14ac:dyDescent="0.3">
      <c r="A3" t="s">
        <v>20</v>
      </c>
    </row>
    <row r="6" spans="1:20" ht="15" x14ac:dyDescent="0.3">
      <c r="D6" s="2" t="s">
        <v>21</v>
      </c>
    </row>
    <row r="7" spans="1:20" ht="15" x14ac:dyDescent="0.3">
      <c r="D7" s="2" t="s">
        <v>22</v>
      </c>
      <c r="K7" t="s">
        <v>26</v>
      </c>
      <c r="L7" t="str">
        <f t="shared" ref="L7:L38" si="0">"        ""id"": "&amp;ROW()-ROW($L$6)&amp;","</f>
        <v xml:space="preserve">        "id": 1,</v>
      </c>
      <c r="M7">
        <f t="shared" ref="M7:M70" si="1">MATCH(L7,$D$6:$D$593,0)</f>
        <v>6</v>
      </c>
      <c r="N7" t="str">
        <f t="shared" ref="N7:N70" si="2">INDEX($D$6:$D$593,M7+1)</f>
        <v xml:space="preserve">        "localized_name": "Anti-Mage"</v>
      </c>
      <c r="R7" s="3" t="str">
        <f t="shared" ref="R7:R70" si="3">LEFT(RIGHT(L7,LEN(L7)-FIND(": ",L7)-1),LEN(RIGHT(L7,LEN(L7)-FIND(": ",L7)-1))-1)</f>
        <v>1</v>
      </c>
      <c r="S7" s="9">
        <f t="shared" ref="S7:S70" si="4">R7*1</f>
        <v>1</v>
      </c>
      <c r="T7" s="4" t="str">
        <f t="shared" ref="T7:T70" si="5">LEFT(RIGHT(N7,LEN(N7)-FIND(": """,N7)-2),LEN(RIGHT(N7,LEN(N7)-FIND(": """,N7)-2))-1)</f>
        <v>Anti-Mage</v>
      </c>
    </row>
    <row r="8" spans="1:20" ht="15" x14ac:dyDescent="0.3">
      <c r="D8" s="2" t="s">
        <v>23</v>
      </c>
      <c r="L8" t="str">
        <f t="shared" si="0"/>
        <v xml:space="preserve">        "id": 2,</v>
      </c>
      <c r="M8">
        <f t="shared" si="1"/>
        <v>11</v>
      </c>
      <c r="N8" t="str">
        <f t="shared" si="2"/>
        <v xml:space="preserve">        "localized_name": "Axe"</v>
      </c>
      <c r="R8" s="5" t="str">
        <f t="shared" si="3"/>
        <v>2</v>
      </c>
      <c r="S8" s="10">
        <f t="shared" si="4"/>
        <v>2</v>
      </c>
      <c r="T8" s="6" t="str">
        <f t="shared" si="5"/>
        <v>Axe</v>
      </c>
    </row>
    <row r="9" spans="1:20" ht="15" x14ac:dyDescent="0.3">
      <c r="D9" s="2" t="s">
        <v>24</v>
      </c>
      <c r="L9" t="str">
        <f t="shared" si="0"/>
        <v xml:space="preserve">        "id": 3,</v>
      </c>
      <c r="M9">
        <f t="shared" si="1"/>
        <v>16</v>
      </c>
      <c r="N9" t="str">
        <f t="shared" si="2"/>
        <v xml:space="preserve">        "localized_name": "Bane"</v>
      </c>
      <c r="R9" s="5" t="str">
        <f t="shared" si="3"/>
        <v>3</v>
      </c>
      <c r="S9" s="10">
        <f t="shared" si="4"/>
        <v>3</v>
      </c>
      <c r="T9" s="6" t="str">
        <f t="shared" si="5"/>
        <v>Bane</v>
      </c>
    </row>
    <row r="10" spans="1:20" ht="15" x14ac:dyDescent="0.3">
      <c r="D10" s="2" t="s">
        <v>25</v>
      </c>
      <c r="L10" t="str">
        <f t="shared" si="0"/>
        <v xml:space="preserve">        "id": 4,</v>
      </c>
      <c r="M10">
        <f t="shared" si="1"/>
        <v>21</v>
      </c>
      <c r="N10" t="str">
        <f t="shared" si="2"/>
        <v xml:space="preserve">        "localized_name": "Bloodseeker"</v>
      </c>
      <c r="R10" s="5" t="str">
        <f t="shared" si="3"/>
        <v>4</v>
      </c>
      <c r="S10" s="10">
        <f t="shared" si="4"/>
        <v>4</v>
      </c>
      <c r="T10" s="6" t="str">
        <f t="shared" si="5"/>
        <v>Bloodseeker</v>
      </c>
    </row>
    <row r="11" spans="1:20" ht="15" x14ac:dyDescent="0.3">
      <c r="D11" s="2" t="s">
        <v>26</v>
      </c>
      <c r="L11" t="str">
        <f t="shared" si="0"/>
        <v xml:space="preserve">        "id": 5,</v>
      </c>
      <c r="M11">
        <f t="shared" si="1"/>
        <v>26</v>
      </c>
      <c r="N11" t="str">
        <f t="shared" si="2"/>
        <v xml:space="preserve">        "localized_name": "Crystal Maiden"</v>
      </c>
      <c r="R11" s="5" t="str">
        <f t="shared" si="3"/>
        <v>5</v>
      </c>
      <c r="S11" s="10">
        <f t="shared" si="4"/>
        <v>5</v>
      </c>
      <c r="T11" s="6" t="str">
        <f t="shared" si="5"/>
        <v>Crystal Maiden</v>
      </c>
    </row>
    <row r="12" spans="1:20" ht="15" x14ac:dyDescent="0.3">
      <c r="D12" s="2" t="s">
        <v>27</v>
      </c>
      <c r="L12" t="str">
        <f t="shared" si="0"/>
        <v xml:space="preserve">        "id": 6,</v>
      </c>
      <c r="M12">
        <f t="shared" si="1"/>
        <v>31</v>
      </c>
      <c r="N12" t="str">
        <f t="shared" si="2"/>
        <v xml:space="preserve">        "localized_name": "Drow Ranger"</v>
      </c>
      <c r="R12" s="5" t="str">
        <f t="shared" si="3"/>
        <v>6</v>
      </c>
      <c r="S12" s="10">
        <f t="shared" si="4"/>
        <v>6</v>
      </c>
      <c r="T12" s="6" t="str">
        <f t="shared" si="5"/>
        <v>Drow Ranger</v>
      </c>
    </row>
    <row r="13" spans="1:20" ht="15" x14ac:dyDescent="0.3">
      <c r="D13" s="2" t="s">
        <v>28</v>
      </c>
      <c r="L13" t="str">
        <f t="shared" si="0"/>
        <v xml:space="preserve">        "id": 7,</v>
      </c>
      <c r="M13">
        <f t="shared" si="1"/>
        <v>36</v>
      </c>
      <c r="N13" t="str">
        <f t="shared" si="2"/>
        <v xml:space="preserve">        "localized_name": "Earthshaker"</v>
      </c>
      <c r="R13" s="5" t="str">
        <f t="shared" si="3"/>
        <v>7</v>
      </c>
      <c r="S13" s="10">
        <f t="shared" si="4"/>
        <v>7</v>
      </c>
      <c r="T13" s="6" t="str">
        <f t="shared" si="5"/>
        <v>Earthshaker</v>
      </c>
    </row>
    <row r="14" spans="1:20" ht="15" x14ac:dyDescent="0.3">
      <c r="D14" s="2" t="s">
        <v>24</v>
      </c>
      <c r="L14" t="str">
        <f t="shared" si="0"/>
        <v xml:space="preserve">        "id": 8,</v>
      </c>
      <c r="M14">
        <f t="shared" si="1"/>
        <v>41</v>
      </c>
      <c r="N14" t="str">
        <f t="shared" si="2"/>
        <v xml:space="preserve">        "localized_name": "Juggernaut"</v>
      </c>
      <c r="R14" s="5" t="str">
        <f t="shared" si="3"/>
        <v>8</v>
      </c>
      <c r="S14" s="10">
        <f t="shared" si="4"/>
        <v>8</v>
      </c>
      <c r="T14" s="6" t="str">
        <f t="shared" si="5"/>
        <v>Juggernaut</v>
      </c>
    </row>
    <row r="15" spans="1:20" ht="15" x14ac:dyDescent="0.3">
      <c r="D15" s="2" t="s">
        <v>29</v>
      </c>
      <c r="L15" t="str">
        <f t="shared" si="0"/>
        <v xml:space="preserve">        "id": 9,</v>
      </c>
      <c r="M15">
        <f t="shared" si="1"/>
        <v>46</v>
      </c>
      <c r="N15" t="str">
        <f t="shared" si="2"/>
        <v xml:space="preserve">        "localized_name": "Mirana"</v>
      </c>
      <c r="R15" s="5" t="str">
        <f t="shared" si="3"/>
        <v>9</v>
      </c>
      <c r="S15" s="10">
        <f t="shared" si="4"/>
        <v>9</v>
      </c>
      <c r="T15" s="6" t="str">
        <f t="shared" si="5"/>
        <v>Mirana</v>
      </c>
    </row>
    <row r="16" spans="1:20" ht="15" x14ac:dyDescent="0.3">
      <c r="D16" s="2" t="s">
        <v>30</v>
      </c>
      <c r="L16" t="str">
        <f t="shared" si="0"/>
        <v xml:space="preserve">        "id": 10,</v>
      </c>
      <c r="M16">
        <f t="shared" si="1"/>
        <v>56</v>
      </c>
      <c r="N16" t="str">
        <f t="shared" si="2"/>
        <v xml:space="preserve">        "localized_name": "Morphling"</v>
      </c>
      <c r="R16" s="5" t="str">
        <f t="shared" si="3"/>
        <v>10</v>
      </c>
      <c r="S16" s="10">
        <f t="shared" si="4"/>
        <v>10</v>
      </c>
      <c r="T16" s="6" t="str">
        <f t="shared" si="5"/>
        <v>Morphling</v>
      </c>
    </row>
    <row r="17" spans="4:20" ht="15" x14ac:dyDescent="0.3">
      <c r="D17" s="2" t="s">
        <v>31</v>
      </c>
      <c r="L17" t="str">
        <f t="shared" si="0"/>
        <v xml:space="preserve">        "id": 11,</v>
      </c>
      <c r="M17">
        <f t="shared" si="1"/>
        <v>51</v>
      </c>
      <c r="N17" t="str">
        <f t="shared" si="2"/>
        <v xml:space="preserve">        "localized_name": "Shadow Fiend"</v>
      </c>
      <c r="R17" s="5" t="str">
        <f t="shared" si="3"/>
        <v>11</v>
      </c>
      <c r="S17" s="10">
        <f t="shared" si="4"/>
        <v>11</v>
      </c>
      <c r="T17" s="6" t="str">
        <f t="shared" si="5"/>
        <v>Shadow Fiend</v>
      </c>
    </row>
    <row r="18" spans="4:20" ht="15" x14ac:dyDescent="0.3">
      <c r="D18" s="2" t="s">
        <v>28</v>
      </c>
      <c r="L18" t="str">
        <f t="shared" si="0"/>
        <v xml:space="preserve">        "id": 12,</v>
      </c>
      <c r="M18">
        <f t="shared" si="1"/>
        <v>61</v>
      </c>
      <c r="N18" t="str">
        <f t="shared" si="2"/>
        <v xml:space="preserve">        "localized_name": "Phantom Lancer"</v>
      </c>
      <c r="R18" s="5" t="str">
        <f t="shared" si="3"/>
        <v>12</v>
      </c>
      <c r="S18" s="10">
        <f t="shared" si="4"/>
        <v>12</v>
      </c>
      <c r="T18" s="6" t="str">
        <f t="shared" si="5"/>
        <v>Phantom Lancer</v>
      </c>
    </row>
    <row r="19" spans="4:20" ht="15" x14ac:dyDescent="0.3">
      <c r="D19" s="2" t="s">
        <v>24</v>
      </c>
      <c r="L19" t="str">
        <f t="shared" si="0"/>
        <v xml:space="preserve">        "id": 13,</v>
      </c>
      <c r="M19">
        <f t="shared" si="1"/>
        <v>66</v>
      </c>
      <c r="N19" t="str">
        <f t="shared" si="2"/>
        <v xml:space="preserve">        "localized_name": "Puck"</v>
      </c>
      <c r="R19" s="5" t="str">
        <f t="shared" si="3"/>
        <v>13</v>
      </c>
      <c r="S19" s="10">
        <f t="shared" si="4"/>
        <v>13</v>
      </c>
      <c r="T19" s="6" t="str">
        <f t="shared" si="5"/>
        <v>Puck</v>
      </c>
    </row>
    <row r="20" spans="4:20" ht="15" x14ac:dyDescent="0.3">
      <c r="D20" s="2" t="s">
        <v>32</v>
      </c>
      <c r="L20" t="str">
        <f t="shared" si="0"/>
        <v xml:space="preserve">        "id": 14,</v>
      </c>
      <c r="M20">
        <f t="shared" si="1"/>
        <v>71</v>
      </c>
      <c r="N20" t="str">
        <f t="shared" si="2"/>
        <v xml:space="preserve">        "localized_name": "Pudge"</v>
      </c>
      <c r="R20" s="5" t="str">
        <f t="shared" si="3"/>
        <v>14</v>
      </c>
      <c r="S20" s="10">
        <f t="shared" si="4"/>
        <v>14</v>
      </c>
      <c r="T20" s="6" t="str">
        <f t="shared" si="5"/>
        <v>Pudge</v>
      </c>
    </row>
    <row r="21" spans="4:20" ht="15" x14ac:dyDescent="0.3">
      <c r="D21" s="2" t="s">
        <v>33</v>
      </c>
      <c r="L21" t="str">
        <f t="shared" si="0"/>
        <v xml:space="preserve">        "id": 15,</v>
      </c>
      <c r="M21">
        <f t="shared" si="1"/>
        <v>76</v>
      </c>
      <c r="N21" t="str">
        <f t="shared" si="2"/>
        <v xml:space="preserve">        "localized_name": "Razor"</v>
      </c>
      <c r="R21" s="5" t="str">
        <f t="shared" si="3"/>
        <v>15</v>
      </c>
      <c r="S21" s="10">
        <f t="shared" si="4"/>
        <v>15</v>
      </c>
      <c r="T21" s="6" t="str">
        <f t="shared" si="5"/>
        <v>Razor</v>
      </c>
    </row>
    <row r="22" spans="4:20" ht="15" x14ac:dyDescent="0.3">
      <c r="D22" s="2" t="s">
        <v>34</v>
      </c>
      <c r="L22" t="str">
        <f t="shared" si="0"/>
        <v xml:space="preserve">        "id": 16,</v>
      </c>
      <c r="M22">
        <f t="shared" si="1"/>
        <v>81</v>
      </c>
      <c r="N22" t="str">
        <f t="shared" si="2"/>
        <v xml:space="preserve">        "localized_name": "Sand King"</v>
      </c>
      <c r="R22" s="5" t="str">
        <f t="shared" si="3"/>
        <v>16</v>
      </c>
      <c r="S22" s="10">
        <f t="shared" si="4"/>
        <v>16</v>
      </c>
      <c r="T22" s="6" t="str">
        <f t="shared" si="5"/>
        <v>Sand King</v>
      </c>
    </row>
    <row r="23" spans="4:20" ht="15" x14ac:dyDescent="0.3">
      <c r="D23" s="2" t="s">
        <v>28</v>
      </c>
      <c r="L23" t="str">
        <f t="shared" si="0"/>
        <v xml:space="preserve">        "id": 17,</v>
      </c>
      <c r="M23">
        <f t="shared" si="1"/>
        <v>86</v>
      </c>
      <c r="N23" t="str">
        <f t="shared" si="2"/>
        <v xml:space="preserve">        "localized_name": "Storm Spirit"</v>
      </c>
      <c r="R23" s="5" t="str">
        <f t="shared" si="3"/>
        <v>17</v>
      </c>
      <c r="S23" s="10">
        <f t="shared" si="4"/>
        <v>17</v>
      </c>
      <c r="T23" s="6" t="str">
        <f t="shared" si="5"/>
        <v>Storm Spirit</v>
      </c>
    </row>
    <row r="24" spans="4:20" ht="15" x14ac:dyDescent="0.3">
      <c r="D24" s="2" t="s">
        <v>24</v>
      </c>
      <c r="L24" t="str">
        <f t="shared" si="0"/>
        <v xml:space="preserve">        "id": 18,</v>
      </c>
      <c r="M24">
        <f t="shared" si="1"/>
        <v>91</v>
      </c>
      <c r="N24" t="str">
        <f t="shared" si="2"/>
        <v xml:space="preserve">        "localized_name": "Sven"</v>
      </c>
      <c r="R24" s="5" t="str">
        <f t="shared" si="3"/>
        <v>18</v>
      </c>
      <c r="S24" s="10">
        <f t="shared" si="4"/>
        <v>18</v>
      </c>
      <c r="T24" s="6" t="str">
        <f t="shared" si="5"/>
        <v>Sven</v>
      </c>
    </row>
    <row r="25" spans="4:20" ht="15" x14ac:dyDescent="0.3">
      <c r="D25" s="2" t="s">
        <v>35</v>
      </c>
      <c r="L25" t="str">
        <f t="shared" si="0"/>
        <v xml:space="preserve">        "id": 19,</v>
      </c>
      <c r="M25">
        <f t="shared" si="1"/>
        <v>96</v>
      </c>
      <c r="N25" t="str">
        <f t="shared" si="2"/>
        <v xml:space="preserve">        "localized_name": "Tiny"</v>
      </c>
      <c r="R25" s="5" t="str">
        <f t="shared" si="3"/>
        <v>19</v>
      </c>
      <c r="S25" s="10">
        <f t="shared" si="4"/>
        <v>19</v>
      </c>
      <c r="T25" s="6" t="str">
        <f t="shared" si="5"/>
        <v>Tiny</v>
      </c>
    </row>
    <row r="26" spans="4:20" ht="15" x14ac:dyDescent="0.3">
      <c r="D26" s="2" t="s">
        <v>36</v>
      </c>
      <c r="L26" t="str">
        <f t="shared" si="0"/>
        <v xml:space="preserve">        "id": 20,</v>
      </c>
      <c r="M26">
        <f t="shared" si="1"/>
        <v>101</v>
      </c>
      <c r="N26" t="str">
        <f t="shared" si="2"/>
        <v xml:space="preserve">        "localized_name": "Vengeful Spirit"</v>
      </c>
      <c r="R26" s="5" t="str">
        <f t="shared" si="3"/>
        <v>20</v>
      </c>
      <c r="S26" s="10">
        <f t="shared" si="4"/>
        <v>20</v>
      </c>
      <c r="T26" s="6" t="str">
        <f t="shared" si="5"/>
        <v>Vengeful Spirit</v>
      </c>
    </row>
    <row r="27" spans="4:20" ht="15" x14ac:dyDescent="0.3">
      <c r="D27" s="2" t="s">
        <v>37</v>
      </c>
      <c r="L27" t="str">
        <f t="shared" si="0"/>
        <v xml:space="preserve">        "id": 21,</v>
      </c>
      <c r="M27">
        <f t="shared" si="1"/>
        <v>106</v>
      </c>
      <c r="N27" t="str">
        <f t="shared" si="2"/>
        <v xml:space="preserve">        "localized_name": "Windranger"</v>
      </c>
      <c r="R27" s="5" t="str">
        <f t="shared" si="3"/>
        <v>21</v>
      </c>
      <c r="S27" s="10">
        <f t="shared" si="4"/>
        <v>21</v>
      </c>
      <c r="T27" s="6" t="str">
        <f t="shared" si="5"/>
        <v>Windranger</v>
      </c>
    </row>
    <row r="28" spans="4:20" ht="15" x14ac:dyDescent="0.3">
      <c r="D28" s="2" t="s">
        <v>28</v>
      </c>
      <c r="L28" t="str">
        <f t="shared" si="0"/>
        <v xml:space="preserve">        "id": 22,</v>
      </c>
      <c r="M28">
        <f t="shared" si="1"/>
        <v>111</v>
      </c>
      <c r="N28" t="str">
        <f t="shared" si="2"/>
        <v xml:space="preserve">        "localized_name": "Zeus"</v>
      </c>
      <c r="R28" s="5" t="str">
        <f t="shared" si="3"/>
        <v>22</v>
      </c>
      <c r="S28" s="10">
        <f t="shared" si="4"/>
        <v>22</v>
      </c>
      <c r="T28" s="6" t="str">
        <f t="shared" si="5"/>
        <v>Zeus</v>
      </c>
    </row>
    <row r="29" spans="4:20" ht="15" x14ac:dyDescent="0.3">
      <c r="D29" s="2" t="s">
        <v>24</v>
      </c>
      <c r="L29" t="str">
        <f t="shared" si="0"/>
        <v xml:space="preserve">        "id": 23,</v>
      </c>
      <c r="M29">
        <f t="shared" si="1"/>
        <v>116</v>
      </c>
      <c r="N29" t="str">
        <f t="shared" si="2"/>
        <v xml:space="preserve">        "localized_name": "Kunkka"</v>
      </c>
      <c r="R29" s="5" t="str">
        <f t="shared" si="3"/>
        <v>23</v>
      </c>
      <c r="S29" s="10">
        <f t="shared" si="4"/>
        <v>23</v>
      </c>
      <c r="T29" s="6" t="str">
        <f t="shared" si="5"/>
        <v>Kunkka</v>
      </c>
    </row>
    <row r="30" spans="4:20" ht="15" x14ac:dyDescent="0.3">
      <c r="D30" s="2" t="s">
        <v>38</v>
      </c>
      <c r="L30" t="str">
        <f t="shared" si="0"/>
        <v xml:space="preserve">        "id": 24,</v>
      </c>
      <c r="M30" t="e">
        <f t="shared" si="1"/>
        <v>#N/A</v>
      </c>
      <c r="N30" t="e">
        <f t="shared" si="2"/>
        <v>#N/A</v>
      </c>
      <c r="R30" s="5" t="str">
        <f t="shared" si="3"/>
        <v>24</v>
      </c>
      <c r="S30" s="10">
        <f t="shared" si="4"/>
        <v>24</v>
      </c>
      <c r="T30" s="6" t="e">
        <f t="shared" si="5"/>
        <v>#N/A</v>
      </c>
    </row>
    <row r="31" spans="4:20" ht="15" x14ac:dyDescent="0.3">
      <c r="D31" s="2" t="s">
        <v>39</v>
      </c>
      <c r="L31" t="str">
        <f t="shared" si="0"/>
        <v xml:space="preserve">        "id": 25,</v>
      </c>
      <c r="M31">
        <f t="shared" si="1"/>
        <v>121</v>
      </c>
      <c r="N31" t="str">
        <f t="shared" si="2"/>
        <v xml:space="preserve">        "localized_name": "Lina"</v>
      </c>
      <c r="R31" s="5" t="str">
        <f t="shared" si="3"/>
        <v>25</v>
      </c>
      <c r="S31" s="10">
        <f t="shared" si="4"/>
        <v>25</v>
      </c>
      <c r="T31" s="6" t="str">
        <f t="shared" si="5"/>
        <v>Lina</v>
      </c>
    </row>
    <row r="32" spans="4:20" ht="15" x14ac:dyDescent="0.3">
      <c r="D32" s="2" t="s">
        <v>40</v>
      </c>
      <c r="L32" t="str">
        <f t="shared" si="0"/>
        <v xml:space="preserve">        "id": 26,</v>
      </c>
      <c r="M32">
        <f t="shared" si="1"/>
        <v>131</v>
      </c>
      <c r="N32" t="str">
        <f t="shared" si="2"/>
        <v xml:space="preserve">        "localized_name": "Lion"</v>
      </c>
      <c r="R32" s="5" t="str">
        <f t="shared" si="3"/>
        <v>26</v>
      </c>
      <c r="S32" s="10">
        <f t="shared" si="4"/>
        <v>26</v>
      </c>
      <c r="T32" s="6" t="str">
        <f t="shared" si="5"/>
        <v>Lion</v>
      </c>
    </row>
    <row r="33" spans="4:20" ht="15" x14ac:dyDescent="0.3">
      <c r="D33" s="2" t="s">
        <v>28</v>
      </c>
      <c r="L33" t="str">
        <f t="shared" si="0"/>
        <v xml:space="preserve">        "id": 27,</v>
      </c>
      <c r="M33">
        <f t="shared" si="1"/>
        <v>136</v>
      </c>
      <c r="N33" t="str">
        <f t="shared" si="2"/>
        <v xml:space="preserve">        "localized_name": "Shadow Shaman"</v>
      </c>
      <c r="R33" s="5" t="str">
        <f t="shared" si="3"/>
        <v>27</v>
      </c>
      <c r="S33" s="10">
        <f t="shared" si="4"/>
        <v>27</v>
      </c>
      <c r="T33" s="6" t="str">
        <f t="shared" si="5"/>
        <v>Shadow Shaman</v>
      </c>
    </row>
    <row r="34" spans="4:20" ht="15" x14ac:dyDescent="0.3">
      <c r="D34" s="2" t="s">
        <v>24</v>
      </c>
      <c r="L34" t="str">
        <f t="shared" si="0"/>
        <v xml:space="preserve">        "id": 28,</v>
      </c>
      <c r="M34">
        <f t="shared" si="1"/>
        <v>141</v>
      </c>
      <c r="N34" t="str">
        <f t="shared" si="2"/>
        <v xml:space="preserve">        "localized_name": "Slardar"</v>
      </c>
      <c r="R34" s="5" t="str">
        <f t="shared" si="3"/>
        <v>28</v>
      </c>
      <c r="S34" s="10">
        <f t="shared" si="4"/>
        <v>28</v>
      </c>
      <c r="T34" s="6" t="str">
        <f t="shared" si="5"/>
        <v>Slardar</v>
      </c>
    </row>
    <row r="35" spans="4:20" ht="15" x14ac:dyDescent="0.3">
      <c r="D35" s="2" t="s">
        <v>41</v>
      </c>
      <c r="L35" t="str">
        <f t="shared" si="0"/>
        <v xml:space="preserve">        "id": 29,</v>
      </c>
      <c r="M35">
        <f t="shared" si="1"/>
        <v>146</v>
      </c>
      <c r="N35" t="str">
        <f t="shared" si="2"/>
        <v xml:space="preserve">        "localized_name": "Tidehunter"</v>
      </c>
      <c r="R35" s="5" t="str">
        <f t="shared" si="3"/>
        <v>29</v>
      </c>
      <c r="S35" s="10">
        <f t="shared" si="4"/>
        <v>29</v>
      </c>
      <c r="T35" s="6" t="str">
        <f t="shared" si="5"/>
        <v>Tidehunter</v>
      </c>
    </row>
    <row r="36" spans="4:20" ht="15" x14ac:dyDescent="0.3">
      <c r="D36" s="2" t="s">
        <v>42</v>
      </c>
      <c r="L36" t="str">
        <f t="shared" si="0"/>
        <v xml:space="preserve">        "id": 30,</v>
      </c>
      <c r="M36">
        <f t="shared" si="1"/>
        <v>151</v>
      </c>
      <c r="N36" t="str">
        <f t="shared" si="2"/>
        <v xml:space="preserve">        "localized_name": "Witch Doctor"</v>
      </c>
      <c r="R36" s="5" t="str">
        <f t="shared" si="3"/>
        <v>30</v>
      </c>
      <c r="S36" s="10">
        <f t="shared" si="4"/>
        <v>30</v>
      </c>
      <c r="T36" s="6" t="str">
        <f t="shared" si="5"/>
        <v>Witch Doctor</v>
      </c>
    </row>
    <row r="37" spans="4:20" ht="15" x14ac:dyDescent="0.3">
      <c r="D37" s="2" t="s">
        <v>43</v>
      </c>
      <c r="L37" t="str">
        <f t="shared" si="0"/>
        <v xml:space="preserve">        "id": 31,</v>
      </c>
      <c r="M37">
        <f t="shared" si="1"/>
        <v>126</v>
      </c>
      <c r="N37" t="str">
        <f t="shared" si="2"/>
        <v xml:space="preserve">        "localized_name": "Lich"</v>
      </c>
      <c r="R37" s="5" t="str">
        <f t="shared" si="3"/>
        <v>31</v>
      </c>
      <c r="S37" s="10">
        <f t="shared" si="4"/>
        <v>31</v>
      </c>
      <c r="T37" s="6" t="str">
        <f t="shared" si="5"/>
        <v>Lich</v>
      </c>
    </row>
    <row r="38" spans="4:20" ht="15" x14ac:dyDescent="0.3">
      <c r="D38" s="2" t="s">
        <v>28</v>
      </c>
      <c r="L38" t="str">
        <f t="shared" si="0"/>
        <v xml:space="preserve">        "id": 32,</v>
      </c>
      <c r="M38">
        <f t="shared" si="1"/>
        <v>156</v>
      </c>
      <c r="N38" t="str">
        <f t="shared" si="2"/>
        <v xml:space="preserve">        "localized_name": "Riki"</v>
      </c>
      <c r="R38" s="5" t="str">
        <f t="shared" si="3"/>
        <v>32</v>
      </c>
      <c r="S38" s="10">
        <f t="shared" si="4"/>
        <v>32</v>
      </c>
      <c r="T38" s="6" t="str">
        <f t="shared" si="5"/>
        <v>Riki</v>
      </c>
    </row>
    <row r="39" spans="4:20" ht="15" x14ac:dyDescent="0.3">
      <c r="D39" s="2" t="s">
        <v>24</v>
      </c>
      <c r="L39" t="str">
        <f t="shared" ref="L39:L70" si="6">"        ""id"": "&amp;ROW()-ROW($L$6)&amp;","</f>
        <v xml:space="preserve">        "id": 33,</v>
      </c>
      <c r="M39">
        <f t="shared" si="1"/>
        <v>161</v>
      </c>
      <c r="N39" t="str">
        <f t="shared" si="2"/>
        <v xml:space="preserve">        "localized_name": "Enigma"</v>
      </c>
      <c r="R39" s="5" t="str">
        <f t="shared" si="3"/>
        <v>33</v>
      </c>
      <c r="S39" s="10">
        <f t="shared" si="4"/>
        <v>33</v>
      </c>
      <c r="T39" s="6" t="str">
        <f t="shared" si="5"/>
        <v>Enigma</v>
      </c>
    </row>
    <row r="40" spans="4:20" ht="15" x14ac:dyDescent="0.3">
      <c r="D40" s="2" t="s">
        <v>44</v>
      </c>
      <c r="L40" t="str">
        <f t="shared" si="6"/>
        <v xml:space="preserve">        "id": 34,</v>
      </c>
      <c r="M40">
        <f t="shared" si="1"/>
        <v>166</v>
      </c>
      <c r="N40" t="str">
        <f t="shared" si="2"/>
        <v xml:space="preserve">        "localized_name": "Tinker"</v>
      </c>
      <c r="R40" s="5" t="str">
        <f t="shared" si="3"/>
        <v>34</v>
      </c>
      <c r="S40" s="10">
        <f t="shared" si="4"/>
        <v>34</v>
      </c>
      <c r="T40" s="6" t="str">
        <f t="shared" si="5"/>
        <v>Tinker</v>
      </c>
    </row>
    <row r="41" spans="4:20" ht="15" x14ac:dyDescent="0.3">
      <c r="D41" s="2" t="s">
        <v>45</v>
      </c>
      <c r="L41" t="str">
        <f t="shared" si="6"/>
        <v xml:space="preserve">        "id": 35,</v>
      </c>
      <c r="M41">
        <f t="shared" si="1"/>
        <v>171</v>
      </c>
      <c r="N41" t="str">
        <f t="shared" si="2"/>
        <v xml:space="preserve">        "localized_name": "Sniper"</v>
      </c>
      <c r="R41" s="5" t="str">
        <f t="shared" si="3"/>
        <v>35</v>
      </c>
      <c r="S41" s="10">
        <f t="shared" si="4"/>
        <v>35</v>
      </c>
      <c r="T41" s="6" t="str">
        <f t="shared" si="5"/>
        <v>Sniper</v>
      </c>
    </row>
    <row r="42" spans="4:20" ht="15" x14ac:dyDescent="0.3">
      <c r="D42" s="2" t="s">
        <v>46</v>
      </c>
      <c r="L42" t="str">
        <f t="shared" si="6"/>
        <v xml:space="preserve">        "id": 36,</v>
      </c>
      <c r="M42">
        <f t="shared" si="1"/>
        <v>176</v>
      </c>
      <c r="N42" t="str">
        <f t="shared" si="2"/>
        <v xml:space="preserve">        "localized_name": "Necrophos"</v>
      </c>
      <c r="R42" s="5" t="str">
        <f t="shared" si="3"/>
        <v>36</v>
      </c>
      <c r="S42" s="10">
        <f t="shared" si="4"/>
        <v>36</v>
      </c>
      <c r="T42" s="6" t="str">
        <f t="shared" si="5"/>
        <v>Necrophos</v>
      </c>
    </row>
    <row r="43" spans="4:20" ht="15" x14ac:dyDescent="0.3">
      <c r="D43" s="2" t="s">
        <v>28</v>
      </c>
      <c r="L43" t="str">
        <f t="shared" si="6"/>
        <v xml:space="preserve">        "id": 37,</v>
      </c>
      <c r="M43">
        <f t="shared" si="1"/>
        <v>181</v>
      </c>
      <c r="N43" t="str">
        <f t="shared" si="2"/>
        <v xml:space="preserve">        "localized_name": "Warlock"</v>
      </c>
      <c r="R43" s="5" t="str">
        <f t="shared" si="3"/>
        <v>37</v>
      </c>
      <c r="S43" s="10">
        <f t="shared" si="4"/>
        <v>37</v>
      </c>
      <c r="T43" s="6" t="str">
        <f t="shared" si="5"/>
        <v>Warlock</v>
      </c>
    </row>
    <row r="44" spans="4:20" ht="15" x14ac:dyDescent="0.3">
      <c r="D44" s="2" t="s">
        <v>24</v>
      </c>
      <c r="L44" t="str">
        <f t="shared" si="6"/>
        <v xml:space="preserve">        "id": 38,</v>
      </c>
      <c r="M44">
        <f t="shared" si="1"/>
        <v>186</v>
      </c>
      <c r="N44" t="str">
        <f t="shared" si="2"/>
        <v xml:space="preserve">        "localized_name": "Beastmaster"</v>
      </c>
      <c r="R44" s="5" t="str">
        <f t="shared" si="3"/>
        <v>38</v>
      </c>
      <c r="S44" s="10">
        <f t="shared" si="4"/>
        <v>38</v>
      </c>
      <c r="T44" s="6" t="str">
        <f t="shared" si="5"/>
        <v>Beastmaster</v>
      </c>
    </row>
    <row r="45" spans="4:20" ht="15" x14ac:dyDescent="0.3">
      <c r="D45" s="2" t="s">
        <v>47</v>
      </c>
      <c r="L45" t="str">
        <f t="shared" si="6"/>
        <v xml:space="preserve">        "id": 39,</v>
      </c>
      <c r="M45">
        <f t="shared" si="1"/>
        <v>191</v>
      </c>
      <c r="N45" t="str">
        <f t="shared" si="2"/>
        <v xml:space="preserve">        "localized_name": "Queen of Pain"</v>
      </c>
      <c r="R45" s="5" t="str">
        <f t="shared" si="3"/>
        <v>39</v>
      </c>
      <c r="S45" s="10">
        <f t="shared" si="4"/>
        <v>39</v>
      </c>
      <c r="T45" s="6" t="str">
        <f t="shared" si="5"/>
        <v>Queen of Pain</v>
      </c>
    </row>
    <row r="46" spans="4:20" ht="15" x14ac:dyDescent="0.3">
      <c r="D46" s="2" t="s">
        <v>48</v>
      </c>
      <c r="L46" t="str">
        <f t="shared" si="6"/>
        <v xml:space="preserve">        "id": 40,</v>
      </c>
      <c r="M46">
        <f t="shared" si="1"/>
        <v>196</v>
      </c>
      <c r="N46" t="str">
        <f t="shared" si="2"/>
        <v xml:space="preserve">        "localized_name": "Venomancer"</v>
      </c>
      <c r="R46" s="5" t="str">
        <f t="shared" si="3"/>
        <v>40</v>
      </c>
      <c r="S46" s="10">
        <f t="shared" si="4"/>
        <v>40</v>
      </c>
      <c r="T46" s="6" t="str">
        <f t="shared" si="5"/>
        <v>Venomancer</v>
      </c>
    </row>
    <row r="47" spans="4:20" ht="15" x14ac:dyDescent="0.3">
      <c r="D47" s="2" t="s">
        <v>49</v>
      </c>
      <c r="L47" t="str">
        <f t="shared" si="6"/>
        <v xml:space="preserve">        "id": 41,</v>
      </c>
      <c r="M47">
        <f t="shared" si="1"/>
        <v>201</v>
      </c>
      <c r="N47" t="str">
        <f t="shared" si="2"/>
        <v xml:space="preserve">        "localized_name": "Faceless Void"</v>
      </c>
      <c r="R47" s="5" t="str">
        <f t="shared" si="3"/>
        <v>41</v>
      </c>
      <c r="S47" s="10">
        <f t="shared" si="4"/>
        <v>41</v>
      </c>
      <c r="T47" s="6" t="str">
        <f t="shared" si="5"/>
        <v>Faceless Void</v>
      </c>
    </row>
    <row r="48" spans="4:20" ht="15" x14ac:dyDescent="0.3">
      <c r="D48" s="2" t="s">
        <v>28</v>
      </c>
      <c r="L48" t="str">
        <f t="shared" si="6"/>
        <v xml:space="preserve">        "id": 42,</v>
      </c>
      <c r="M48">
        <f t="shared" si="1"/>
        <v>206</v>
      </c>
      <c r="N48" t="str">
        <f t="shared" si="2"/>
        <v xml:space="preserve">        "localized_name": "Wraith King"</v>
      </c>
      <c r="R48" s="5" t="str">
        <f t="shared" si="3"/>
        <v>42</v>
      </c>
      <c r="S48" s="10">
        <f t="shared" si="4"/>
        <v>42</v>
      </c>
      <c r="T48" s="6" t="str">
        <f t="shared" si="5"/>
        <v>Wraith King</v>
      </c>
    </row>
    <row r="49" spans="4:20" ht="15" x14ac:dyDescent="0.3">
      <c r="D49" s="2" t="s">
        <v>24</v>
      </c>
      <c r="L49" t="str">
        <f t="shared" si="6"/>
        <v xml:space="preserve">        "id": 43,</v>
      </c>
      <c r="M49">
        <f t="shared" si="1"/>
        <v>211</v>
      </c>
      <c r="N49" t="str">
        <f t="shared" si="2"/>
        <v xml:space="preserve">        "localized_name": "Death Prophet"</v>
      </c>
      <c r="R49" s="5" t="str">
        <f t="shared" si="3"/>
        <v>43</v>
      </c>
      <c r="S49" s="10">
        <f t="shared" si="4"/>
        <v>43</v>
      </c>
      <c r="T49" s="6" t="str">
        <f t="shared" si="5"/>
        <v>Death Prophet</v>
      </c>
    </row>
    <row r="50" spans="4:20" ht="15" x14ac:dyDescent="0.3">
      <c r="D50" s="2" t="s">
        <v>50</v>
      </c>
      <c r="L50" t="str">
        <f t="shared" si="6"/>
        <v xml:space="preserve">        "id": 44,</v>
      </c>
      <c r="M50">
        <f t="shared" si="1"/>
        <v>216</v>
      </c>
      <c r="N50" t="str">
        <f t="shared" si="2"/>
        <v xml:space="preserve">        "localized_name": "Phantom Assassin"</v>
      </c>
      <c r="R50" s="5" t="str">
        <f t="shared" si="3"/>
        <v>44</v>
      </c>
      <c r="S50" s="10">
        <f t="shared" si="4"/>
        <v>44</v>
      </c>
      <c r="T50" s="6" t="str">
        <f t="shared" si="5"/>
        <v>Phantom Assassin</v>
      </c>
    </row>
    <row r="51" spans="4:20" ht="15" x14ac:dyDescent="0.3">
      <c r="D51" s="2" t="s">
        <v>51</v>
      </c>
      <c r="L51" t="str">
        <f t="shared" si="6"/>
        <v xml:space="preserve">        "id": 45,</v>
      </c>
      <c r="M51">
        <f t="shared" si="1"/>
        <v>221</v>
      </c>
      <c r="N51" t="str">
        <f t="shared" si="2"/>
        <v xml:space="preserve">        "localized_name": "Pugna"</v>
      </c>
      <c r="R51" s="5" t="str">
        <f t="shared" si="3"/>
        <v>45</v>
      </c>
      <c r="S51" s="10">
        <f t="shared" si="4"/>
        <v>45</v>
      </c>
      <c r="T51" s="6" t="str">
        <f t="shared" si="5"/>
        <v>Pugna</v>
      </c>
    </row>
    <row r="52" spans="4:20" ht="15" x14ac:dyDescent="0.3">
      <c r="D52" s="2" t="s">
        <v>52</v>
      </c>
      <c r="L52" t="str">
        <f t="shared" si="6"/>
        <v xml:space="preserve">        "id": 46,</v>
      </c>
      <c r="M52">
        <f t="shared" si="1"/>
        <v>226</v>
      </c>
      <c r="N52" t="str">
        <f t="shared" si="2"/>
        <v xml:space="preserve">        "localized_name": "Templar Assassin"</v>
      </c>
      <c r="R52" s="5" t="str">
        <f t="shared" si="3"/>
        <v>46</v>
      </c>
      <c r="S52" s="10">
        <f t="shared" si="4"/>
        <v>46</v>
      </c>
      <c r="T52" s="6" t="str">
        <f t="shared" si="5"/>
        <v>Templar Assassin</v>
      </c>
    </row>
    <row r="53" spans="4:20" ht="15" x14ac:dyDescent="0.3">
      <c r="D53" s="2" t="s">
        <v>28</v>
      </c>
      <c r="L53" t="str">
        <f t="shared" si="6"/>
        <v xml:space="preserve">        "id": 47,</v>
      </c>
      <c r="M53">
        <f t="shared" si="1"/>
        <v>231</v>
      </c>
      <c r="N53" t="str">
        <f t="shared" si="2"/>
        <v xml:space="preserve">        "localized_name": "Viper"</v>
      </c>
      <c r="R53" s="5" t="str">
        <f t="shared" si="3"/>
        <v>47</v>
      </c>
      <c r="S53" s="10">
        <f t="shared" si="4"/>
        <v>47</v>
      </c>
      <c r="T53" s="6" t="str">
        <f t="shared" si="5"/>
        <v>Viper</v>
      </c>
    </row>
    <row r="54" spans="4:20" ht="15" x14ac:dyDescent="0.3">
      <c r="D54" s="2" t="s">
        <v>24</v>
      </c>
      <c r="L54" t="str">
        <f t="shared" si="6"/>
        <v xml:space="preserve">        "id": 48,</v>
      </c>
      <c r="M54">
        <f t="shared" si="1"/>
        <v>236</v>
      </c>
      <c r="N54" t="str">
        <f t="shared" si="2"/>
        <v xml:space="preserve">        "localized_name": "Luna"</v>
      </c>
      <c r="R54" s="5" t="str">
        <f t="shared" si="3"/>
        <v>48</v>
      </c>
      <c r="S54" s="10">
        <f t="shared" si="4"/>
        <v>48</v>
      </c>
      <c r="T54" s="6" t="str">
        <f t="shared" si="5"/>
        <v>Luna</v>
      </c>
    </row>
    <row r="55" spans="4:20" ht="15" x14ac:dyDescent="0.3">
      <c r="D55" s="2" t="s">
        <v>53</v>
      </c>
      <c r="L55" t="str">
        <f t="shared" si="6"/>
        <v xml:space="preserve">        "id": 49,</v>
      </c>
      <c r="M55">
        <f t="shared" si="1"/>
        <v>241</v>
      </c>
      <c r="N55" t="str">
        <f t="shared" si="2"/>
        <v xml:space="preserve">        "localized_name": "Dragon Knight"</v>
      </c>
      <c r="R55" s="5" t="str">
        <f t="shared" si="3"/>
        <v>49</v>
      </c>
      <c r="S55" s="10">
        <f t="shared" si="4"/>
        <v>49</v>
      </c>
      <c r="T55" s="6" t="str">
        <f t="shared" si="5"/>
        <v>Dragon Knight</v>
      </c>
    </row>
    <row r="56" spans="4:20" ht="15" x14ac:dyDescent="0.3">
      <c r="D56" s="2" t="s">
        <v>54</v>
      </c>
      <c r="L56" t="str">
        <f t="shared" si="6"/>
        <v xml:space="preserve">        "id": 50,</v>
      </c>
      <c r="M56">
        <f t="shared" si="1"/>
        <v>246</v>
      </c>
      <c r="N56" t="str">
        <f t="shared" si="2"/>
        <v xml:space="preserve">        "localized_name": "Dazzle"</v>
      </c>
      <c r="R56" s="5" t="str">
        <f t="shared" si="3"/>
        <v>50</v>
      </c>
      <c r="S56" s="10">
        <f t="shared" si="4"/>
        <v>50</v>
      </c>
      <c r="T56" s="6" t="str">
        <f t="shared" si="5"/>
        <v>Dazzle</v>
      </c>
    </row>
    <row r="57" spans="4:20" ht="15" x14ac:dyDescent="0.3">
      <c r="D57" s="2" t="s">
        <v>55</v>
      </c>
      <c r="L57" t="str">
        <f t="shared" si="6"/>
        <v xml:space="preserve">        "id": 51,</v>
      </c>
      <c r="M57">
        <f t="shared" si="1"/>
        <v>251</v>
      </c>
      <c r="N57" t="str">
        <f t="shared" si="2"/>
        <v xml:space="preserve">        "localized_name": "Clockwerk"</v>
      </c>
      <c r="R57" s="5" t="str">
        <f t="shared" si="3"/>
        <v>51</v>
      </c>
      <c r="S57" s="10">
        <f t="shared" si="4"/>
        <v>51</v>
      </c>
      <c r="T57" s="6" t="str">
        <f t="shared" si="5"/>
        <v>Clockwerk</v>
      </c>
    </row>
    <row r="58" spans="4:20" ht="15" x14ac:dyDescent="0.3">
      <c r="D58" s="2" t="s">
        <v>28</v>
      </c>
      <c r="L58" t="str">
        <f t="shared" si="6"/>
        <v xml:space="preserve">        "id": 52,</v>
      </c>
      <c r="M58">
        <f t="shared" si="1"/>
        <v>256</v>
      </c>
      <c r="N58" t="str">
        <f t="shared" si="2"/>
        <v xml:space="preserve">        "localized_name": "Leshrac"</v>
      </c>
      <c r="R58" s="5" t="str">
        <f t="shared" si="3"/>
        <v>52</v>
      </c>
      <c r="S58" s="10">
        <f t="shared" si="4"/>
        <v>52</v>
      </c>
      <c r="T58" s="6" t="str">
        <f t="shared" si="5"/>
        <v>Leshrac</v>
      </c>
    </row>
    <row r="59" spans="4:20" ht="15" x14ac:dyDescent="0.3">
      <c r="D59" s="2" t="s">
        <v>24</v>
      </c>
      <c r="L59" t="str">
        <f t="shared" si="6"/>
        <v xml:space="preserve">        "id": 53,</v>
      </c>
      <c r="M59">
        <f t="shared" si="1"/>
        <v>261</v>
      </c>
      <c r="N59" t="str">
        <f t="shared" si="2"/>
        <v xml:space="preserve">        "localized_name": "Nature's Prophet"</v>
      </c>
      <c r="R59" s="5" t="str">
        <f t="shared" si="3"/>
        <v>53</v>
      </c>
      <c r="S59" s="10">
        <f t="shared" si="4"/>
        <v>53</v>
      </c>
      <c r="T59" s="6" t="str">
        <f t="shared" si="5"/>
        <v>Nature's Prophet</v>
      </c>
    </row>
    <row r="60" spans="4:20" ht="15" x14ac:dyDescent="0.3">
      <c r="D60" s="2" t="s">
        <v>56</v>
      </c>
      <c r="L60" t="str">
        <f t="shared" si="6"/>
        <v xml:space="preserve">        "id": 54,</v>
      </c>
      <c r="M60">
        <f t="shared" si="1"/>
        <v>266</v>
      </c>
      <c r="N60" t="str">
        <f t="shared" si="2"/>
        <v xml:space="preserve">        "localized_name": "Lifestealer"</v>
      </c>
      <c r="R60" s="5" t="str">
        <f t="shared" si="3"/>
        <v>54</v>
      </c>
      <c r="S60" s="10">
        <f t="shared" si="4"/>
        <v>54</v>
      </c>
      <c r="T60" s="6" t="str">
        <f t="shared" si="5"/>
        <v>Lifestealer</v>
      </c>
    </row>
    <row r="61" spans="4:20" ht="15" x14ac:dyDescent="0.3">
      <c r="D61" s="2" t="s">
        <v>57</v>
      </c>
      <c r="L61" t="str">
        <f t="shared" si="6"/>
        <v xml:space="preserve">        "id": 55,</v>
      </c>
      <c r="M61">
        <f t="shared" si="1"/>
        <v>271</v>
      </c>
      <c r="N61" t="str">
        <f t="shared" si="2"/>
        <v xml:space="preserve">        "localized_name": "Dark Seer"</v>
      </c>
      <c r="R61" s="5" t="str">
        <f t="shared" si="3"/>
        <v>55</v>
      </c>
      <c r="S61" s="10">
        <f t="shared" si="4"/>
        <v>55</v>
      </c>
      <c r="T61" s="6" t="str">
        <f t="shared" si="5"/>
        <v>Dark Seer</v>
      </c>
    </row>
    <row r="62" spans="4:20" ht="15" x14ac:dyDescent="0.3">
      <c r="D62" s="2" t="s">
        <v>58</v>
      </c>
      <c r="L62" t="str">
        <f t="shared" si="6"/>
        <v xml:space="preserve">        "id": 56,</v>
      </c>
      <c r="M62">
        <f t="shared" si="1"/>
        <v>276</v>
      </c>
      <c r="N62" t="str">
        <f t="shared" si="2"/>
        <v xml:space="preserve">        "localized_name": "Clinkz"</v>
      </c>
      <c r="R62" s="5" t="str">
        <f t="shared" si="3"/>
        <v>56</v>
      </c>
      <c r="S62" s="10">
        <f t="shared" si="4"/>
        <v>56</v>
      </c>
      <c r="T62" s="6" t="str">
        <f t="shared" si="5"/>
        <v>Clinkz</v>
      </c>
    </row>
    <row r="63" spans="4:20" ht="15" x14ac:dyDescent="0.3">
      <c r="D63" s="2" t="s">
        <v>28</v>
      </c>
      <c r="L63" t="str">
        <f t="shared" si="6"/>
        <v xml:space="preserve">        "id": 57,</v>
      </c>
      <c r="M63">
        <f t="shared" si="1"/>
        <v>281</v>
      </c>
      <c r="N63" t="str">
        <f t="shared" si="2"/>
        <v xml:space="preserve">        "localized_name": "Omniknight"</v>
      </c>
      <c r="R63" s="5" t="str">
        <f t="shared" si="3"/>
        <v>57</v>
      </c>
      <c r="S63" s="10">
        <f t="shared" si="4"/>
        <v>57</v>
      </c>
      <c r="T63" s="6" t="str">
        <f t="shared" si="5"/>
        <v>Omniknight</v>
      </c>
    </row>
    <row r="64" spans="4:20" ht="15" x14ac:dyDescent="0.3">
      <c r="D64" s="2" t="s">
        <v>24</v>
      </c>
      <c r="L64" t="str">
        <f t="shared" si="6"/>
        <v xml:space="preserve">        "id": 58,</v>
      </c>
      <c r="M64">
        <f t="shared" si="1"/>
        <v>286</v>
      </c>
      <c r="N64" t="str">
        <f t="shared" si="2"/>
        <v xml:space="preserve">        "localized_name": "Enchantress"</v>
      </c>
      <c r="R64" s="5" t="str">
        <f t="shared" si="3"/>
        <v>58</v>
      </c>
      <c r="S64" s="10">
        <f t="shared" si="4"/>
        <v>58</v>
      </c>
      <c r="T64" s="6" t="str">
        <f t="shared" si="5"/>
        <v>Enchantress</v>
      </c>
    </row>
    <row r="65" spans="4:20" ht="15" x14ac:dyDescent="0.3">
      <c r="D65" s="2" t="s">
        <v>59</v>
      </c>
      <c r="L65" t="str">
        <f t="shared" si="6"/>
        <v xml:space="preserve">        "id": 59,</v>
      </c>
      <c r="M65">
        <f t="shared" si="1"/>
        <v>291</v>
      </c>
      <c r="N65" t="str">
        <f t="shared" si="2"/>
        <v xml:space="preserve">        "localized_name": "Huskar"</v>
      </c>
      <c r="R65" s="5" t="str">
        <f t="shared" si="3"/>
        <v>59</v>
      </c>
      <c r="S65" s="10">
        <f t="shared" si="4"/>
        <v>59</v>
      </c>
      <c r="T65" s="6" t="str">
        <f t="shared" si="5"/>
        <v>Huskar</v>
      </c>
    </row>
    <row r="66" spans="4:20" ht="15" x14ac:dyDescent="0.3">
      <c r="D66" s="2" t="s">
        <v>60</v>
      </c>
      <c r="L66" t="str">
        <f t="shared" si="6"/>
        <v xml:space="preserve">        "id": 60,</v>
      </c>
      <c r="M66">
        <f t="shared" si="1"/>
        <v>296</v>
      </c>
      <c r="N66" t="str">
        <f t="shared" si="2"/>
        <v xml:space="preserve">        "localized_name": "Night Stalker"</v>
      </c>
      <c r="R66" s="5" t="str">
        <f t="shared" si="3"/>
        <v>60</v>
      </c>
      <c r="S66" s="10">
        <f t="shared" si="4"/>
        <v>60</v>
      </c>
      <c r="T66" s="6" t="str">
        <f t="shared" si="5"/>
        <v>Night Stalker</v>
      </c>
    </row>
    <row r="67" spans="4:20" ht="15" x14ac:dyDescent="0.3">
      <c r="D67" s="2" t="s">
        <v>61</v>
      </c>
      <c r="L67" t="str">
        <f t="shared" si="6"/>
        <v xml:space="preserve">        "id": 61,</v>
      </c>
      <c r="M67">
        <f t="shared" si="1"/>
        <v>301</v>
      </c>
      <c r="N67" t="str">
        <f t="shared" si="2"/>
        <v xml:space="preserve">        "localized_name": "Broodmother"</v>
      </c>
      <c r="R67" s="5" t="str">
        <f t="shared" si="3"/>
        <v>61</v>
      </c>
      <c r="S67" s="10">
        <f t="shared" si="4"/>
        <v>61</v>
      </c>
      <c r="T67" s="6" t="str">
        <f t="shared" si="5"/>
        <v>Broodmother</v>
      </c>
    </row>
    <row r="68" spans="4:20" ht="15" x14ac:dyDescent="0.3">
      <c r="D68" s="2" t="s">
        <v>28</v>
      </c>
      <c r="L68" t="str">
        <f t="shared" si="6"/>
        <v xml:space="preserve">        "id": 62,</v>
      </c>
      <c r="M68">
        <f t="shared" si="1"/>
        <v>306</v>
      </c>
      <c r="N68" t="str">
        <f t="shared" si="2"/>
        <v xml:space="preserve">        "localized_name": "Bounty Hunter"</v>
      </c>
      <c r="R68" s="5" t="str">
        <f t="shared" si="3"/>
        <v>62</v>
      </c>
      <c r="S68" s="10">
        <f t="shared" si="4"/>
        <v>62</v>
      </c>
      <c r="T68" s="6" t="str">
        <f t="shared" si="5"/>
        <v>Bounty Hunter</v>
      </c>
    </row>
    <row r="69" spans="4:20" ht="15" x14ac:dyDescent="0.3">
      <c r="D69" s="2" t="s">
        <v>24</v>
      </c>
      <c r="L69" t="str">
        <f t="shared" si="6"/>
        <v xml:space="preserve">        "id": 63,</v>
      </c>
      <c r="M69">
        <f t="shared" si="1"/>
        <v>311</v>
      </c>
      <c r="N69" t="str">
        <f t="shared" si="2"/>
        <v xml:space="preserve">        "localized_name": "Weaver"</v>
      </c>
      <c r="R69" s="5" t="str">
        <f t="shared" si="3"/>
        <v>63</v>
      </c>
      <c r="S69" s="10">
        <f t="shared" si="4"/>
        <v>63</v>
      </c>
      <c r="T69" s="6" t="str">
        <f t="shared" si="5"/>
        <v>Weaver</v>
      </c>
    </row>
    <row r="70" spans="4:20" ht="15" x14ac:dyDescent="0.3">
      <c r="D70" s="2" t="s">
        <v>62</v>
      </c>
      <c r="L70" t="str">
        <f t="shared" si="6"/>
        <v xml:space="preserve">        "id": 64,</v>
      </c>
      <c r="M70">
        <f t="shared" si="1"/>
        <v>316</v>
      </c>
      <c r="N70" t="str">
        <f t="shared" si="2"/>
        <v xml:space="preserve">        "localized_name": "Jakiro"</v>
      </c>
      <c r="R70" s="5" t="str">
        <f t="shared" si="3"/>
        <v>64</v>
      </c>
      <c r="S70" s="10">
        <f t="shared" si="4"/>
        <v>64</v>
      </c>
      <c r="T70" s="6" t="str">
        <f t="shared" si="5"/>
        <v>Jakiro</v>
      </c>
    </row>
    <row r="71" spans="4:20" ht="15" x14ac:dyDescent="0.3">
      <c r="D71" s="2" t="s">
        <v>63</v>
      </c>
      <c r="L71" t="str">
        <f t="shared" ref="L71:L78" si="7">"        ""id"": "&amp;ROW()-ROW($L$6)&amp;","</f>
        <v xml:space="preserve">        "id": 65,</v>
      </c>
      <c r="M71">
        <f t="shared" ref="M71:M134" si="8">MATCH(L71,$D$6:$D$593,0)</f>
        <v>321</v>
      </c>
      <c r="N71" t="str">
        <f t="shared" ref="N71:N134" si="9">INDEX($D$6:$D$593,M71+1)</f>
        <v xml:space="preserve">        "localized_name": "Batrider"</v>
      </c>
      <c r="R71" s="5" t="str">
        <f t="shared" ref="R71:R134" si="10">LEFT(RIGHT(L71,LEN(L71)-FIND(": ",L71)-1),LEN(RIGHT(L71,LEN(L71)-FIND(": ",L71)-1))-1)</f>
        <v>65</v>
      </c>
      <c r="S71" s="10">
        <f t="shared" ref="S71:S134" si="11">R71*1</f>
        <v>65</v>
      </c>
      <c r="T71" s="6" t="str">
        <f t="shared" ref="T71:T134" si="12">LEFT(RIGHT(N71,LEN(N71)-FIND(": """,N71)-2),LEN(RIGHT(N71,LEN(N71)-FIND(": """,N71)-2))-1)</f>
        <v>Batrider</v>
      </c>
    </row>
    <row r="72" spans="4:20" ht="15" x14ac:dyDescent="0.3">
      <c r="D72" s="2" t="s">
        <v>64</v>
      </c>
      <c r="L72" t="str">
        <f t="shared" si="7"/>
        <v xml:space="preserve">        "id": 66,</v>
      </c>
      <c r="M72">
        <f t="shared" si="8"/>
        <v>326</v>
      </c>
      <c r="N72" t="str">
        <f t="shared" si="9"/>
        <v xml:space="preserve">        "localized_name": "Chen"</v>
      </c>
      <c r="R72" s="5" t="str">
        <f t="shared" si="10"/>
        <v>66</v>
      </c>
      <c r="S72" s="10">
        <f t="shared" si="11"/>
        <v>66</v>
      </c>
      <c r="T72" s="6" t="str">
        <f t="shared" si="12"/>
        <v>Chen</v>
      </c>
    </row>
    <row r="73" spans="4:20" ht="15" x14ac:dyDescent="0.3">
      <c r="D73" s="2" t="s">
        <v>28</v>
      </c>
      <c r="L73" t="str">
        <f t="shared" si="7"/>
        <v xml:space="preserve">        "id": 67,</v>
      </c>
      <c r="M73">
        <f t="shared" si="8"/>
        <v>331</v>
      </c>
      <c r="N73" t="str">
        <f t="shared" si="9"/>
        <v xml:space="preserve">        "localized_name": "Spectre"</v>
      </c>
      <c r="R73" s="5" t="str">
        <f t="shared" si="10"/>
        <v>67</v>
      </c>
      <c r="S73" s="10">
        <f t="shared" si="11"/>
        <v>67</v>
      </c>
      <c r="T73" s="6" t="str">
        <f t="shared" si="12"/>
        <v>Spectre</v>
      </c>
    </row>
    <row r="74" spans="4:20" ht="15" x14ac:dyDescent="0.3">
      <c r="D74" s="2" t="s">
        <v>24</v>
      </c>
      <c r="L74" t="str">
        <f t="shared" si="7"/>
        <v xml:space="preserve">        "id": 68,</v>
      </c>
      <c r="M74">
        <f t="shared" si="8"/>
        <v>341</v>
      </c>
      <c r="N74" t="str">
        <f t="shared" si="9"/>
        <v xml:space="preserve">        "localized_name": "Ancient Apparition"</v>
      </c>
      <c r="R74" s="5" t="str">
        <f t="shared" si="10"/>
        <v>68</v>
      </c>
      <c r="S74" s="10">
        <f t="shared" si="11"/>
        <v>68</v>
      </c>
      <c r="T74" s="6" t="str">
        <f t="shared" si="12"/>
        <v>Ancient Apparition</v>
      </c>
    </row>
    <row r="75" spans="4:20" ht="15" x14ac:dyDescent="0.3">
      <c r="D75" s="2" t="s">
        <v>65</v>
      </c>
      <c r="L75" t="str">
        <f t="shared" si="7"/>
        <v xml:space="preserve">        "id": 69,</v>
      </c>
      <c r="M75">
        <f t="shared" si="8"/>
        <v>336</v>
      </c>
      <c r="N75" t="str">
        <f t="shared" si="9"/>
        <v xml:space="preserve">        "localized_name": "Doom"</v>
      </c>
      <c r="R75" s="5" t="str">
        <f t="shared" si="10"/>
        <v>69</v>
      </c>
      <c r="S75" s="10">
        <f t="shared" si="11"/>
        <v>69</v>
      </c>
      <c r="T75" s="6" t="str">
        <f t="shared" si="12"/>
        <v>Doom</v>
      </c>
    </row>
    <row r="76" spans="4:20" ht="15" x14ac:dyDescent="0.3">
      <c r="D76" s="2" t="s">
        <v>66</v>
      </c>
      <c r="L76" t="str">
        <f t="shared" si="7"/>
        <v xml:space="preserve">        "id": 70,</v>
      </c>
      <c r="M76">
        <f t="shared" si="8"/>
        <v>346</v>
      </c>
      <c r="N76" t="str">
        <f t="shared" si="9"/>
        <v xml:space="preserve">        "localized_name": "Ursa"</v>
      </c>
      <c r="R76" s="5" t="str">
        <f t="shared" si="10"/>
        <v>70</v>
      </c>
      <c r="S76" s="10">
        <f t="shared" si="11"/>
        <v>70</v>
      </c>
      <c r="T76" s="6" t="str">
        <f t="shared" si="12"/>
        <v>Ursa</v>
      </c>
    </row>
    <row r="77" spans="4:20" ht="15" x14ac:dyDescent="0.3">
      <c r="D77" s="2" t="s">
        <v>67</v>
      </c>
      <c r="L77" t="str">
        <f t="shared" si="7"/>
        <v xml:space="preserve">        "id": 71,</v>
      </c>
      <c r="M77">
        <f t="shared" si="8"/>
        <v>351</v>
      </c>
      <c r="N77" t="str">
        <f t="shared" si="9"/>
        <v xml:space="preserve">        "localized_name": "Spirit Breaker"</v>
      </c>
      <c r="R77" s="5" t="str">
        <f t="shared" si="10"/>
        <v>71</v>
      </c>
      <c r="S77" s="10">
        <f t="shared" si="11"/>
        <v>71</v>
      </c>
      <c r="T77" s="6" t="str">
        <f t="shared" si="12"/>
        <v>Spirit Breaker</v>
      </c>
    </row>
    <row r="78" spans="4:20" ht="15" x14ac:dyDescent="0.3">
      <c r="D78" s="2" t="s">
        <v>28</v>
      </c>
      <c r="L78" t="str">
        <f t="shared" si="7"/>
        <v xml:space="preserve">        "id": 72,</v>
      </c>
      <c r="M78">
        <f t="shared" si="8"/>
        <v>356</v>
      </c>
      <c r="N78" t="str">
        <f t="shared" si="9"/>
        <v xml:space="preserve">        "localized_name": "Gyrocopter"</v>
      </c>
      <c r="R78" s="5" t="str">
        <f t="shared" si="10"/>
        <v>72</v>
      </c>
      <c r="S78" s="10">
        <f t="shared" si="11"/>
        <v>72</v>
      </c>
      <c r="T78" s="6" t="str">
        <f t="shared" si="12"/>
        <v>Gyrocopter</v>
      </c>
    </row>
    <row r="79" spans="4:20" ht="15" x14ac:dyDescent="0.3">
      <c r="D79" s="2" t="s">
        <v>24</v>
      </c>
      <c r="L79" t="str">
        <f t="shared" ref="L79:L110" si="13">"        ""id"": "&amp;ROW()-ROW($L$6)&amp;","</f>
        <v xml:space="preserve">        "id": 73,</v>
      </c>
      <c r="M79">
        <f t="shared" si="8"/>
        <v>361</v>
      </c>
      <c r="N79" t="str">
        <f t="shared" si="9"/>
        <v xml:space="preserve">        "localized_name": "Alchemist"</v>
      </c>
      <c r="R79" s="5" t="str">
        <f t="shared" si="10"/>
        <v>73</v>
      </c>
      <c r="S79" s="10">
        <f t="shared" si="11"/>
        <v>73</v>
      </c>
      <c r="T79" s="6" t="str">
        <f t="shared" si="12"/>
        <v>Alchemist</v>
      </c>
    </row>
    <row r="80" spans="4:20" ht="15" x14ac:dyDescent="0.3">
      <c r="D80" s="2" t="s">
        <v>68</v>
      </c>
      <c r="L80" t="str">
        <f t="shared" si="13"/>
        <v xml:space="preserve">        "id": 74,</v>
      </c>
      <c r="M80">
        <f t="shared" si="8"/>
        <v>366</v>
      </c>
      <c r="N80" t="str">
        <f t="shared" si="9"/>
        <v xml:space="preserve">        "localized_name": "Invoker"</v>
      </c>
      <c r="R80" s="5" t="str">
        <f t="shared" si="10"/>
        <v>74</v>
      </c>
      <c r="S80" s="10">
        <f t="shared" si="11"/>
        <v>74</v>
      </c>
      <c r="T80" s="6" t="str">
        <f t="shared" si="12"/>
        <v>Invoker</v>
      </c>
    </row>
    <row r="81" spans="4:20" ht="15" x14ac:dyDescent="0.3">
      <c r="D81" s="2" t="s">
        <v>69</v>
      </c>
      <c r="L81" t="str">
        <f t="shared" si="13"/>
        <v xml:space="preserve">        "id": 75,</v>
      </c>
      <c r="M81">
        <f t="shared" si="8"/>
        <v>371</v>
      </c>
      <c r="N81" t="str">
        <f t="shared" si="9"/>
        <v xml:space="preserve">        "localized_name": "Silencer"</v>
      </c>
      <c r="R81" s="5" t="str">
        <f t="shared" si="10"/>
        <v>75</v>
      </c>
      <c r="S81" s="10">
        <f t="shared" si="11"/>
        <v>75</v>
      </c>
      <c r="T81" s="6" t="str">
        <f t="shared" si="12"/>
        <v>Silencer</v>
      </c>
    </row>
    <row r="82" spans="4:20" ht="15" x14ac:dyDescent="0.3">
      <c r="D82" s="2" t="s">
        <v>70</v>
      </c>
      <c r="L82" t="str">
        <f t="shared" si="13"/>
        <v xml:space="preserve">        "id": 76,</v>
      </c>
      <c r="M82">
        <f t="shared" si="8"/>
        <v>376</v>
      </c>
      <c r="N82" t="str">
        <f t="shared" si="9"/>
        <v xml:space="preserve">        "localized_name": "Outworld Devourer"</v>
      </c>
      <c r="R82" s="5" t="str">
        <f t="shared" si="10"/>
        <v>76</v>
      </c>
      <c r="S82" s="10">
        <f t="shared" si="11"/>
        <v>76</v>
      </c>
      <c r="T82" s="6" t="str">
        <f t="shared" si="12"/>
        <v>Outworld Devourer</v>
      </c>
    </row>
    <row r="83" spans="4:20" ht="15" x14ac:dyDescent="0.3">
      <c r="D83" s="2" t="s">
        <v>28</v>
      </c>
      <c r="L83" t="str">
        <f t="shared" si="13"/>
        <v xml:space="preserve">        "id": 77,</v>
      </c>
      <c r="M83">
        <f t="shared" si="8"/>
        <v>381</v>
      </c>
      <c r="N83" t="str">
        <f t="shared" si="9"/>
        <v xml:space="preserve">        "localized_name": "Lycan"</v>
      </c>
      <c r="R83" s="5" t="str">
        <f t="shared" si="10"/>
        <v>77</v>
      </c>
      <c r="S83" s="10">
        <f t="shared" si="11"/>
        <v>77</v>
      </c>
      <c r="T83" s="6" t="str">
        <f t="shared" si="12"/>
        <v>Lycan</v>
      </c>
    </row>
    <row r="84" spans="4:20" ht="15" x14ac:dyDescent="0.3">
      <c r="D84" s="2" t="s">
        <v>24</v>
      </c>
      <c r="L84" t="str">
        <f t="shared" si="13"/>
        <v xml:space="preserve">        "id": 78,</v>
      </c>
      <c r="M84">
        <f t="shared" si="8"/>
        <v>386</v>
      </c>
      <c r="N84" t="str">
        <f t="shared" si="9"/>
        <v xml:space="preserve">        "localized_name": "Brewmaster"</v>
      </c>
      <c r="R84" s="5" t="str">
        <f t="shared" si="10"/>
        <v>78</v>
      </c>
      <c r="S84" s="10">
        <f t="shared" si="11"/>
        <v>78</v>
      </c>
      <c r="T84" s="6" t="str">
        <f t="shared" si="12"/>
        <v>Brewmaster</v>
      </c>
    </row>
    <row r="85" spans="4:20" ht="15" x14ac:dyDescent="0.3">
      <c r="D85" s="2" t="s">
        <v>71</v>
      </c>
      <c r="L85" t="str">
        <f t="shared" si="13"/>
        <v xml:space="preserve">        "id": 79,</v>
      </c>
      <c r="M85">
        <f t="shared" si="8"/>
        <v>391</v>
      </c>
      <c r="N85" t="str">
        <f t="shared" si="9"/>
        <v xml:space="preserve">        "localized_name": "Shadow Demon"</v>
      </c>
      <c r="R85" s="5" t="str">
        <f t="shared" si="10"/>
        <v>79</v>
      </c>
      <c r="S85" s="10">
        <f t="shared" si="11"/>
        <v>79</v>
      </c>
      <c r="T85" s="6" t="str">
        <f t="shared" si="12"/>
        <v>Shadow Demon</v>
      </c>
    </row>
    <row r="86" spans="4:20" ht="15" x14ac:dyDescent="0.3">
      <c r="D86" s="2" t="s">
        <v>72</v>
      </c>
      <c r="L86" t="str">
        <f t="shared" si="13"/>
        <v xml:space="preserve">        "id": 80,</v>
      </c>
      <c r="M86">
        <f t="shared" si="8"/>
        <v>396</v>
      </c>
      <c r="N86" t="str">
        <f t="shared" si="9"/>
        <v xml:space="preserve">        "localized_name": "Lone Druid"</v>
      </c>
      <c r="R86" s="5" t="str">
        <f t="shared" si="10"/>
        <v>80</v>
      </c>
      <c r="S86" s="10">
        <f t="shared" si="11"/>
        <v>80</v>
      </c>
      <c r="T86" s="6" t="str">
        <f t="shared" si="12"/>
        <v>Lone Druid</v>
      </c>
    </row>
    <row r="87" spans="4:20" ht="15" x14ac:dyDescent="0.3">
      <c r="D87" s="2" t="s">
        <v>73</v>
      </c>
      <c r="L87" t="str">
        <f t="shared" si="13"/>
        <v xml:space="preserve">        "id": 81,</v>
      </c>
      <c r="M87">
        <f t="shared" si="8"/>
        <v>401</v>
      </c>
      <c r="N87" t="str">
        <f t="shared" si="9"/>
        <v xml:space="preserve">        "localized_name": "Chaos Knight"</v>
      </c>
      <c r="R87" s="5" t="str">
        <f t="shared" si="10"/>
        <v>81</v>
      </c>
      <c r="S87" s="10">
        <f t="shared" si="11"/>
        <v>81</v>
      </c>
      <c r="T87" s="6" t="str">
        <f t="shared" si="12"/>
        <v>Chaos Knight</v>
      </c>
    </row>
    <row r="88" spans="4:20" ht="15" x14ac:dyDescent="0.3">
      <c r="D88" s="2" t="s">
        <v>28</v>
      </c>
      <c r="L88" t="str">
        <f t="shared" si="13"/>
        <v xml:space="preserve">        "id": 82,</v>
      </c>
      <c r="M88">
        <f t="shared" si="8"/>
        <v>406</v>
      </c>
      <c r="N88" t="str">
        <f t="shared" si="9"/>
        <v xml:space="preserve">        "localized_name": "Meepo"</v>
      </c>
      <c r="R88" s="5" t="str">
        <f t="shared" si="10"/>
        <v>82</v>
      </c>
      <c r="S88" s="10">
        <f t="shared" si="11"/>
        <v>82</v>
      </c>
      <c r="T88" s="6" t="str">
        <f t="shared" si="12"/>
        <v>Meepo</v>
      </c>
    </row>
    <row r="89" spans="4:20" ht="15" x14ac:dyDescent="0.3">
      <c r="D89" s="2" t="s">
        <v>24</v>
      </c>
      <c r="L89" t="str">
        <f t="shared" si="13"/>
        <v xml:space="preserve">        "id": 83,</v>
      </c>
      <c r="M89">
        <f t="shared" si="8"/>
        <v>411</v>
      </c>
      <c r="N89" t="str">
        <f t="shared" si="9"/>
        <v xml:space="preserve">        "localized_name": "Treant Protector"</v>
      </c>
      <c r="R89" s="5" t="str">
        <f t="shared" si="10"/>
        <v>83</v>
      </c>
      <c r="S89" s="10">
        <f t="shared" si="11"/>
        <v>83</v>
      </c>
      <c r="T89" s="6" t="str">
        <f t="shared" si="12"/>
        <v>Treant Protector</v>
      </c>
    </row>
    <row r="90" spans="4:20" ht="15" x14ac:dyDescent="0.3">
      <c r="D90" s="2" t="s">
        <v>74</v>
      </c>
      <c r="L90" t="str">
        <f t="shared" si="13"/>
        <v xml:space="preserve">        "id": 84,</v>
      </c>
      <c r="M90">
        <f t="shared" si="8"/>
        <v>416</v>
      </c>
      <c r="N90" t="str">
        <f t="shared" si="9"/>
        <v xml:space="preserve">        "localized_name": "Ogre Magi"</v>
      </c>
      <c r="R90" s="5" t="str">
        <f t="shared" si="10"/>
        <v>84</v>
      </c>
      <c r="S90" s="10">
        <f t="shared" si="11"/>
        <v>84</v>
      </c>
      <c r="T90" s="6" t="str">
        <f t="shared" si="12"/>
        <v>Ogre Magi</v>
      </c>
    </row>
    <row r="91" spans="4:20" ht="15" x14ac:dyDescent="0.3">
      <c r="D91" s="2" t="s">
        <v>75</v>
      </c>
      <c r="L91" t="str">
        <f t="shared" si="13"/>
        <v xml:space="preserve">        "id": 85,</v>
      </c>
      <c r="M91">
        <f t="shared" si="8"/>
        <v>421</v>
      </c>
      <c r="N91" t="str">
        <f t="shared" si="9"/>
        <v xml:space="preserve">        "localized_name": "Undying"</v>
      </c>
      <c r="R91" s="5" t="str">
        <f t="shared" si="10"/>
        <v>85</v>
      </c>
      <c r="S91" s="10">
        <f t="shared" si="11"/>
        <v>85</v>
      </c>
      <c r="T91" s="6" t="str">
        <f t="shared" si="12"/>
        <v>Undying</v>
      </c>
    </row>
    <row r="92" spans="4:20" ht="15" x14ac:dyDescent="0.3">
      <c r="D92" s="2" t="s">
        <v>76</v>
      </c>
      <c r="L92" t="str">
        <f t="shared" si="13"/>
        <v xml:space="preserve">        "id": 86,</v>
      </c>
      <c r="M92">
        <f t="shared" si="8"/>
        <v>426</v>
      </c>
      <c r="N92" t="str">
        <f t="shared" si="9"/>
        <v xml:space="preserve">        "localized_name": "Rubick"</v>
      </c>
      <c r="R92" s="5" t="str">
        <f t="shared" si="10"/>
        <v>86</v>
      </c>
      <c r="S92" s="10">
        <f t="shared" si="11"/>
        <v>86</v>
      </c>
      <c r="T92" s="6" t="str">
        <f t="shared" si="12"/>
        <v>Rubick</v>
      </c>
    </row>
    <row r="93" spans="4:20" ht="15" x14ac:dyDescent="0.3">
      <c r="D93" s="2" t="s">
        <v>28</v>
      </c>
      <c r="L93" t="str">
        <f t="shared" si="13"/>
        <v xml:space="preserve">        "id": 87,</v>
      </c>
      <c r="M93">
        <f t="shared" si="8"/>
        <v>431</v>
      </c>
      <c r="N93" t="str">
        <f t="shared" si="9"/>
        <v xml:space="preserve">        "localized_name": "Disruptor"</v>
      </c>
      <c r="R93" s="5" t="str">
        <f t="shared" si="10"/>
        <v>87</v>
      </c>
      <c r="S93" s="10">
        <f t="shared" si="11"/>
        <v>87</v>
      </c>
      <c r="T93" s="6" t="str">
        <f t="shared" si="12"/>
        <v>Disruptor</v>
      </c>
    </row>
    <row r="94" spans="4:20" ht="15" x14ac:dyDescent="0.3">
      <c r="D94" s="2" t="s">
        <v>24</v>
      </c>
      <c r="L94" t="str">
        <f t="shared" si="13"/>
        <v xml:space="preserve">        "id": 88,</v>
      </c>
      <c r="M94">
        <f t="shared" si="8"/>
        <v>436</v>
      </c>
      <c r="N94" t="str">
        <f t="shared" si="9"/>
        <v xml:space="preserve">        "localized_name": "Nyx Assassin"</v>
      </c>
      <c r="R94" s="5" t="str">
        <f t="shared" si="10"/>
        <v>88</v>
      </c>
      <c r="S94" s="10">
        <f t="shared" si="11"/>
        <v>88</v>
      </c>
      <c r="T94" s="6" t="str">
        <f t="shared" si="12"/>
        <v>Nyx Assassin</v>
      </c>
    </row>
    <row r="95" spans="4:20" ht="15" x14ac:dyDescent="0.3">
      <c r="D95" s="2" t="s">
        <v>77</v>
      </c>
      <c r="L95" t="str">
        <f t="shared" si="13"/>
        <v xml:space="preserve">        "id": 89,</v>
      </c>
      <c r="M95">
        <f t="shared" si="8"/>
        <v>441</v>
      </c>
      <c r="N95" t="str">
        <f t="shared" si="9"/>
        <v xml:space="preserve">        "localized_name": "Naga Siren"</v>
      </c>
      <c r="R95" s="5" t="str">
        <f t="shared" si="10"/>
        <v>89</v>
      </c>
      <c r="S95" s="10">
        <f t="shared" si="11"/>
        <v>89</v>
      </c>
      <c r="T95" s="6" t="str">
        <f t="shared" si="12"/>
        <v>Naga Siren</v>
      </c>
    </row>
    <row r="96" spans="4:20" ht="15" x14ac:dyDescent="0.3">
      <c r="D96" s="2" t="s">
        <v>78</v>
      </c>
      <c r="L96" t="str">
        <f t="shared" si="13"/>
        <v xml:space="preserve">        "id": 90,</v>
      </c>
      <c r="M96">
        <f t="shared" si="8"/>
        <v>446</v>
      </c>
      <c r="N96" t="str">
        <f t="shared" si="9"/>
        <v xml:space="preserve">        "localized_name": "Keeper of the Light"</v>
      </c>
      <c r="R96" s="5" t="str">
        <f t="shared" si="10"/>
        <v>90</v>
      </c>
      <c r="S96" s="10">
        <f t="shared" si="11"/>
        <v>90</v>
      </c>
      <c r="T96" s="6" t="str">
        <f t="shared" si="12"/>
        <v>Keeper of the Light</v>
      </c>
    </row>
    <row r="97" spans="4:20" ht="15" x14ac:dyDescent="0.3">
      <c r="D97" s="2" t="s">
        <v>79</v>
      </c>
      <c r="L97" t="str">
        <f t="shared" si="13"/>
        <v xml:space="preserve">        "id": 91,</v>
      </c>
      <c r="M97">
        <f t="shared" si="8"/>
        <v>451</v>
      </c>
      <c r="N97" t="str">
        <f t="shared" si="9"/>
        <v xml:space="preserve">        "localized_name": "Io"</v>
      </c>
      <c r="R97" s="5" t="str">
        <f t="shared" si="10"/>
        <v>91</v>
      </c>
      <c r="S97" s="10">
        <f t="shared" si="11"/>
        <v>91</v>
      </c>
      <c r="T97" s="6" t="str">
        <f t="shared" si="12"/>
        <v>Io</v>
      </c>
    </row>
    <row r="98" spans="4:20" ht="15" x14ac:dyDescent="0.3">
      <c r="D98" s="2" t="s">
        <v>28</v>
      </c>
      <c r="L98" t="str">
        <f t="shared" si="13"/>
        <v xml:space="preserve">        "id": 92,</v>
      </c>
      <c r="M98">
        <f t="shared" si="8"/>
        <v>456</v>
      </c>
      <c r="N98" t="str">
        <f t="shared" si="9"/>
        <v xml:space="preserve">        "localized_name": "Visage"</v>
      </c>
      <c r="R98" s="5" t="str">
        <f t="shared" si="10"/>
        <v>92</v>
      </c>
      <c r="S98" s="10">
        <f t="shared" si="11"/>
        <v>92</v>
      </c>
      <c r="T98" s="6" t="str">
        <f t="shared" si="12"/>
        <v>Visage</v>
      </c>
    </row>
    <row r="99" spans="4:20" ht="15" x14ac:dyDescent="0.3">
      <c r="D99" s="2" t="s">
        <v>24</v>
      </c>
      <c r="L99" t="str">
        <f t="shared" si="13"/>
        <v xml:space="preserve">        "id": 93,</v>
      </c>
      <c r="M99">
        <f t="shared" si="8"/>
        <v>461</v>
      </c>
      <c r="N99" t="str">
        <f t="shared" si="9"/>
        <v xml:space="preserve">        "localized_name": "Slark"</v>
      </c>
      <c r="R99" s="5" t="str">
        <f t="shared" si="10"/>
        <v>93</v>
      </c>
      <c r="S99" s="10">
        <f t="shared" si="11"/>
        <v>93</v>
      </c>
      <c r="T99" s="6" t="str">
        <f t="shared" si="12"/>
        <v>Slark</v>
      </c>
    </row>
    <row r="100" spans="4:20" ht="15" x14ac:dyDescent="0.3">
      <c r="D100" s="2" t="s">
        <v>80</v>
      </c>
      <c r="L100" t="str">
        <f t="shared" si="13"/>
        <v xml:space="preserve">        "id": 94,</v>
      </c>
      <c r="M100">
        <f t="shared" si="8"/>
        <v>466</v>
      </c>
      <c r="N100" t="str">
        <f t="shared" si="9"/>
        <v xml:space="preserve">        "localized_name": "Medusa"</v>
      </c>
      <c r="R100" s="5" t="str">
        <f t="shared" si="10"/>
        <v>94</v>
      </c>
      <c r="S100" s="10">
        <f t="shared" si="11"/>
        <v>94</v>
      </c>
      <c r="T100" s="6" t="str">
        <f t="shared" si="12"/>
        <v>Medusa</v>
      </c>
    </row>
    <row r="101" spans="4:20" ht="15" x14ac:dyDescent="0.3">
      <c r="D101" s="2" t="s">
        <v>81</v>
      </c>
      <c r="L101" t="str">
        <f t="shared" si="13"/>
        <v xml:space="preserve">        "id": 95,</v>
      </c>
      <c r="M101">
        <f t="shared" si="8"/>
        <v>471</v>
      </c>
      <c r="N101" t="str">
        <f t="shared" si="9"/>
        <v xml:space="preserve">        "localized_name": "Troll Warlord"</v>
      </c>
      <c r="R101" s="5" t="str">
        <f t="shared" si="10"/>
        <v>95</v>
      </c>
      <c r="S101" s="10">
        <f t="shared" si="11"/>
        <v>95</v>
      </c>
      <c r="T101" s="6" t="str">
        <f t="shared" si="12"/>
        <v>Troll Warlord</v>
      </c>
    </row>
    <row r="102" spans="4:20" ht="15" x14ac:dyDescent="0.3">
      <c r="D102" s="2" t="s">
        <v>82</v>
      </c>
      <c r="L102" t="str">
        <f t="shared" si="13"/>
        <v xml:space="preserve">        "id": 96,</v>
      </c>
      <c r="M102">
        <f t="shared" si="8"/>
        <v>476</v>
      </c>
      <c r="N102" t="str">
        <f t="shared" si="9"/>
        <v xml:space="preserve">        "localized_name": "Centaur Warrunner"</v>
      </c>
      <c r="R102" s="5" t="str">
        <f t="shared" si="10"/>
        <v>96</v>
      </c>
      <c r="S102" s="10">
        <f t="shared" si="11"/>
        <v>96</v>
      </c>
      <c r="T102" s="6" t="str">
        <f t="shared" si="12"/>
        <v>Centaur Warrunner</v>
      </c>
    </row>
    <row r="103" spans="4:20" ht="15" x14ac:dyDescent="0.3">
      <c r="D103" s="2" t="s">
        <v>28</v>
      </c>
      <c r="L103" t="str">
        <f t="shared" si="13"/>
        <v xml:space="preserve">        "id": 97,</v>
      </c>
      <c r="M103">
        <f t="shared" si="8"/>
        <v>481</v>
      </c>
      <c r="N103" t="str">
        <f t="shared" si="9"/>
        <v xml:space="preserve">        "localized_name": "Magnus"</v>
      </c>
      <c r="R103" s="5" t="str">
        <f t="shared" si="10"/>
        <v>97</v>
      </c>
      <c r="S103" s="10">
        <f t="shared" si="11"/>
        <v>97</v>
      </c>
      <c r="T103" s="6" t="str">
        <f t="shared" si="12"/>
        <v>Magnus</v>
      </c>
    </row>
    <row r="104" spans="4:20" ht="15" x14ac:dyDescent="0.3">
      <c r="D104" s="2" t="s">
        <v>24</v>
      </c>
      <c r="L104" t="str">
        <f t="shared" si="13"/>
        <v xml:space="preserve">        "id": 98,</v>
      </c>
      <c r="M104">
        <f t="shared" si="8"/>
        <v>486</v>
      </c>
      <c r="N104" t="str">
        <f t="shared" si="9"/>
        <v xml:space="preserve">        "localized_name": "Timbersaw"</v>
      </c>
      <c r="R104" s="5" t="str">
        <f t="shared" si="10"/>
        <v>98</v>
      </c>
      <c r="S104" s="10">
        <f t="shared" si="11"/>
        <v>98</v>
      </c>
      <c r="T104" s="6" t="str">
        <f t="shared" si="12"/>
        <v>Timbersaw</v>
      </c>
    </row>
    <row r="105" spans="4:20" ht="15" x14ac:dyDescent="0.3">
      <c r="D105" s="2" t="s">
        <v>83</v>
      </c>
      <c r="L105" t="str">
        <f t="shared" si="13"/>
        <v xml:space="preserve">        "id": 99,</v>
      </c>
      <c r="M105">
        <f t="shared" si="8"/>
        <v>491</v>
      </c>
      <c r="N105" t="str">
        <f t="shared" si="9"/>
        <v xml:space="preserve">        "localized_name": "Bristleback"</v>
      </c>
      <c r="R105" s="5" t="str">
        <f t="shared" si="10"/>
        <v>99</v>
      </c>
      <c r="S105" s="10">
        <f t="shared" si="11"/>
        <v>99</v>
      </c>
      <c r="T105" s="6" t="str">
        <f t="shared" si="12"/>
        <v>Bristleback</v>
      </c>
    </row>
    <row r="106" spans="4:20" ht="15" x14ac:dyDescent="0.3">
      <c r="D106" s="2" t="s">
        <v>84</v>
      </c>
      <c r="L106" t="str">
        <f t="shared" si="13"/>
        <v xml:space="preserve">        "id": 100,</v>
      </c>
      <c r="M106">
        <f t="shared" si="8"/>
        <v>496</v>
      </c>
      <c r="N106" t="str">
        <f t="shared" si="9"/>
        <v xml:space="preserve">        "localized_name": "Tusk"</v>
      </c>
      <c r="R106" s="5" t="str">
        <f t="shared" si="10"/>
        <v>100</v>
      </c>
      <c r="S106" s="10">
        <f t="shared" si="11"/>
        <v>100</v>
      </c>
      <c r="T106" s="6" t="str">
        <f t="shared" si="12"/>
        <v>Tusk</v>
      </c>
    </row>
    <row r="107" spans="4:20" ht="15" x14ac:dyDescent="0.3">
      <c r="D107" s="2" t="s">
        <v>85</v>
      </c>
      <c r="L107" t="str">
        <f t="shared" si="13"/>
        <v xml:space="preserve">        "id": 101,</v>
      </c>
      <c r="M107">
        <f t="shared" si="8"/>
        <v>501</v>
      </c>
      <c r="N107" t="str">
        <f t="shared" si="9"/>
        <v xml:space="preserve">        "localized_name": "Skywrath Mage"</v>
      </c>
      <c r="R107" s="5" t="str">
        <f t="shared" si="10"/>
        <v>101</v>
      </c>
      <c r="S107" s="10">
        <f t="shared" si="11"/>
        <v>101</v>
      </c>
      <c r="T107" s="6" t="str">
        <f t="shared" si="12"/>
        <v>Skywrath Mage</v>
      </c>
    </row>
    <row r="108" spans="4:20" ht="15" x14ac:dyDescent="0.3">
      <c r="D108" s="2" t="s">
        <v>28</v>
      </c>
      <c r="L108" t="str">
        <f t="shared" si="13"/>
        <v xml:space="preserve">        "id": 102,</v>
      </c>
      <c r="M108">
        <f t="shared" si="8"/>
        <v>506</v>
      </c>
      <c r="N108" t="str">
        <f t="shared" si="9"/>
        <v xml:space="preserve">        "localized_name": "Abaddon"</v>
      </c>
      <c r="R108" s="5" t="str">
        <f t="shared" si="10"/>
        <v>102</v>
      </c>
      <c r="S108" s="10">
        <f t="shared" si="11"/>
        <v>102</v>
      </c>
      <c r="T108" s="6" t="str">
        <f t="shared" si="12"/>
        <v>Abaddon</v>
      </c>
    </row>
    <row r="109" spans="4:20" ht="15" x14ac:dyDescent="0.3">
      <c r="D109" s="2" t="s">
        <v>24</v>
      </c>
      <c r="L109" t="str">
        <f t="shared" si="13"/>
        <v xml:space="preserve">        "id": 103,</v>
      </c>
      <c r="M109">
        <f t="shared" si="8"/>
        <v>511</v>
      </c>
      <c r="N109" t="str">
        <f t="shared" si="9"/>
        <v xml:space="preserve">        "localized_name": "Elder Titan"</v>
      </c>
      <c r="R109" s="5" t="str">
        <f t="shared" si="10"/>
        <v>103</v>
      </c>
      <c r="S109" s="10">
        <f t="shared" si="11"/>
        <v>103</v>
      </c>
      <c r="T109" s="6" t="str">
        <f t="shared" si="12"/>
        <v>Elder Titan</v>
      </c>
    </row>
    <row r="110" spans="4:20" ht="15" x14ac:dyDescent="0.3">
      <c r="D110" s="2" t="s">
        <v>86</v>
      </c>
      <c r="L110" t="str">
        <f t="shared" si="13"/>
        <v xml:space="preserve">        "id": 104,</v>
      </c>
      <c r="M110">
        <f t="shared" si="8"/>
        <v>516</v>
      </c>
      <c r="N110" t="str">
        <f t="shared" si="9"/>
        <v xml:space="preserve">        "localized_name": "Legion Commander"</v>
      </c>
      <c r="R110" s="5" t="str">
        <f t="shared" si="10"/>
        <v>104</v>
      </c>
      <c r="S110" s="10">
        <f t="shared" si="11"/>
        <v>104</v>
      </c>
      <c r="T110" s="6" t="str">
        <f t="shared" si="12"/>
        <v>Legion Commander</v>
      </c>
    </row>
    <row r="111" spans="4:20" ht="15" x14ac:dyDescent="0.3">
      <c r="D111" s="2" t="s">
        <v>87</v>
      </c>
      <c r="L111" t="str">
        <f t="shared" ref="L111:L130" si="14">"        ""id"": "&amp;ROW()-ROW($L$6)&amp;","</f>
        <v xml:space="preserve">        "id": 105,</v>
      </c>
      <c r="M111">
        <f t="shared" si="8"/>
        <v>546</v>
      </c>
      <c r="N111" t="str">
        <f t="shared" si="9"/>
        <v xml:space="preserve">        "localized_name": "Techies"</v>
      </c>
      <c r="R111" s="5" t="str">
        <f t="shared" si="10"/>
        <v>105</v>
      </c>
      <c r="S111" s="10">
        <f t="shared" si="11"/>
        <v>105</v>
      </c>
      <c r="T111" s="6" t="str">
        <f t="shared" si="12"/>
        <v>Techies</v>
      </c>
    </row>
    <row r="112" spans="4:20" ht="15" x14ac:dyDescent="0.3">
      <c r="D112" s="2" t="s">
        <v>88</v>
      </c>
      <c r="L112" t="str">
        <f t="shared" si="14"/>
        <v xml:space="preserve">        "id": 106,</v>
      </c>
      <c r="M112">
        <f t="shared" si="8"/>
        <v>521</v>
      </c>
      <c r="N112" t="str">
        <f t="shared" si="9"/>
        <v xml:space="preserve">        "localized_name": "Ember Spirit"</v>
      </c>
      <c r="R112" s="5" t="str">
        <f t="shared" si="10"/>
        <v>106</v>
      </c>
      <c r="S112" s="10">
        <f t="shared" si="11"/>
        <v>106</v>
      </c>
      <c r="T112" s="6" t="str">
        <f t="shared" si="12"/>
        <v>Ember Spirit</v>
      </c>
    </row>
    <row r="113" spans="4:20" ht="15" x14ac:dyDescent="0.3">
      <c r="D113" s="2" t="s">
        <v>28</v>
      </c>
      <c r="L113" t="str">
        <f t="shared" si="14"/>
        <v xml:space="preserve">        "id": 107,</v>
      </c>
      <c r="M113">
        <f t="shared" si="8"/>
        <v>526</v>
      </c>
      <c r="N113" t="str">
        <f t="shared" si="9"/>
        <v xml:space="preserve">        "localized_name": "Earth Spirit"</v>
      </c>
      <c r="R113" s="5" t="str">
        <f t="shared" si="10"/>
        <v>107</v>
      </c>
      <c r="S113" s="10">
        <f t="shared" si="11"/>
        <v>107</v>
      </c>
      <c r="T113" s="6" t="str">
        <f t="shared" si="12"/>
        <v>Earth Spirit</v>
      </c>
    </row>
    <row r="114" spans="4:20" ht="15" x14ac:dyDescent="0.3">
      <c r="D114" s="2" t="s">
        <v>24</v>
      </c>
      <c r="L114" t="str">
        <f t="shared" si="14"/>
        <v xml:space="preserve">        "id": 108,</v>
      </c>
      <c r="M114">
        <f t="shared" si="8"/>
        <v>561</v>
      </c>
      <c r="N114" t="str">
        <f t="shared" si="9"/>
        <v xml:space="preserve">        "localized_name": "Underlord"</v>
      </c>
      <c r="R114" s="5" t="str">
        <f t="shared" si="10"/>
        <v>108</v>
      </c>
      <c r="S114" s="10">
        <f t="shared" si="11"/>
        <v>108</v>
      </c>
      <c r="T114" s="6" t="str">
        <f t="shared" si="12"/>
        <v>Underlord</v>
      </c>
    </row>
    <row r="115" spans="4:20" ht="15" x14ac:dyDescent="0.3">
      <c r="D115" s="2" t="s">
        <v>89</v>
      </c>
      <c r="L115" t="str">
        <f t="shared" si="14"/>
        <v xml:space="preserve">        "id": 109,</v>
      </c>
      <c r="M115">
        <f t="shared" si="8"/>
        <v>531</v>
      </c>
      <c r="N115" t="str">
        <f t="shared" si="9"/>
        <v xml:space="preserve">        "localized_name": "Terrorblade"</v>
      </c>
      <c r="R115" s="5" t="str">
        <f t="shared" si="10"/>
        <v>109</v>
      </c>
      <c r="S115" s="10">
        <f t="shared" si="11"/>
        <v>109</v>
      </c>
      <c r="T115" s="6" t="str">
        <f t="shared" si="12"/>
        <v>Terrorblade</v>
      </c>
    </row>
    <row r="116" spans="4:20" ht="15" x14ac:dyDescent="0.3">
      <c r="D116" s="2" t="s">
        <v>90</v>
      </c>
      <c r="L116" t="str">
        <f t="shared" si="14"/>
        <v xml:space="preserve">        "id": 110,</v>
      </c>
      <c r="M116">
        <f t="shared" si="8"/>
        <v>536</v>
      </c>
      <c r="N116" t="str">
        <f t="shared" si="9"/>
        <v xml:space="preserve">        "localized_name": "Phoenix"</v>
      </c>
      <c r="R116" s="5" t="str">
        <f t="shared" si="10"/>
        <v>110</v>
      </c>
      <c r="S116" s="10">
        <f t="shared" si="11"/>
        <v>110</v>
      </c>
      <c r="T116" s="6" t="str">
        <f t="shared" si="12"/>
        <v>Phoenix</v>
      </c>
    </row>
    <row r="117" spans="4:20" ht="15" x14ac:dyDescent="0.3">
      <c r="D117" s="2" t="s">
        <v>91</v>
      </c>
      <c r="L117" t="str">
        <f t="shared" si="14"/>
        <v xml:space="preserve">        "id": 111,</v>
      </c>
      <c r="M117">
        <f t="shared" si="8"/>
        <v>541</v>
      </c>
      <c r="N117" t="str">
        <f t="shared" si="9"/>
        <v xml:space="preserve">        "localized_name": "Oracle"</v>
      </c>
      <c r="R117" s="5" t="str">
        <f t="shared" si="10"/>
        <v>111</v>
      </c>
      <c r="S117" s="10">
        <f t="shared" si="11"/>
        <v>111</v>
      </c>
      <c r="T117" s="6" t="str">
        <f t="shared" si="12"/>
        <v>Oracle</v>
      </c>
    </row>
    <row r="118" spans="4:20" ht="15" x14ac:dyDescent="0.3">
      <c r="D118" s="2" t="s">
        <v>28</v>
      </c>
      <c r="L118" t="str">
        <f t="shared" si="14"/>
        <v xml:space="preserve">        "id": 112,</v>
      </c>
      <c r="M118">
        <f t="shared" si="8"/>
        <v>551</v>
      </c>
      <c r="N118" t="str">
        <f t="shared" si="9"/>
        <v xml:space="preserve">        "localized_name": "Winter Wyvern"</v>
      </c>
      <c r="R118" s="5" t="str">
        <f t="shared" si="10"/>
        <v>112</v>
      </c>
      <c r="S118" s="10">
        <f t="shared" si="11"/>
        <v>112</v>
      </c>
      <c r="T118" s="6" t="str">
        <f t="shared" si="12"/>
        <v>Winter Wyvern</v>
      </c>
    </row>
    <row r="119" spans="4:20" ht="15" x14ac:dyDescent="0.3">
      <c r="D119" s="2" t="s">
        <v>24</v>
      </c>
      <c r="L119" t="str">
        <f t="shared" si="14"/>
        <v xml:space="preserve">        "id": 113,</v>
      </c>
      <c r="M119">
        <f t="shared" si="8"/>
        <v>556</v>
      </c>
      <c r="N119" t="str">
        <f t="shared" si="9"/>
        <v xml:space="preserve">        "localized_name": "Arc Warden"</v>
      </c>
      <c r="R119" s="5" t="str">
        <f t="shared" si="10"/>
        <v>113</v>
      </c>
      <c r="S119" s="10">
        <f t="shared" si="11"/>
        <v>113</v>
      </c>
      <c r="T119" s="6" t="str">
        <f t="shared" si="12"/>
        <v>Arc Warden</v>
      </c>
    </row>
    <row r="120" spans="4:20" ht="15" x14ac:dyDescent="0.3">
      <c r="D120" s="2" t="s">
        <v>92</v>
      </c>
      <c r="L120" t="str">
        <f t="shared" si="14"/>
        <v xml:space="preserve">        "id": 114,</v>
      </c>
      <c r="M120">
        <f t="shared" si="8"/>
        <v>566</v>
      </c>
      <c r="N120" t="str">
        <f t="shared" si="9"/>
        <v xml:space="preserve">        "localized_name": "Monkey King"</v>
      </c>
      <c r="R120" s="5" t="str">
        <f t="shared" si="10"/>
        <v>114</v>
      </c>
      <c r="S120" s="10">
        <f t="shared" si="11"/>
        <v>114</v>
      </c>
      <c r="T120" s="6" t="str">
        <f t="shared" si="12"/>
        <v>Monkey King</v>
      </c>
    </row>
    <row r="121" spans="4:20" ht="15" x14ac:dyDescent="0.3">
      <c r="D121" s="2" t="s">
        <v>93</v>
      </c>
      <c r="L121" t="str">
        <f t="shared" si="14"/>
        <v xml:space="preserve">        "id": 115,</v>
      </c>
      <c r="M121" t="e">
        <f t="shared" si="8"/>
        <v>#N/A</v>
      </c>
      <c r="N121" t="e">
        <f t="shared" si="9"/>
        <v>#N/A</v>
      </c>
      <c r="R121" s="5" t="str">
        <f t="shared" si="10"/>
        <v>115</v>
      </c>
      <c r="S121" s="10">
        <f t="shared" si="11"/>
        <v>115</v>
      </c>
      <c r="T121" s="6" t="e">
        <f t="shared" si="12"/>
        <v>#N/A</v>
      </c>
    </row>
    <row r="122" spans="4:20" ht="15" x14ac:dyDescent="0.3">
      <c r="D122" s="2" t="s">
        <v>94</v>
      </c>
      <c r="L122" t="str">
        <f t="shared" si="14"/>
        <v xml:space="preserve">        "id": 116,</v>
      </c>
      <c r="M122" t="e">
        <f t="shared" si="8"/>
        <v>#N/A</v>
      </c>
      <c r="N122" t="e">
        <f t="shared" si="9"/>
        <v>#N/A</v>
      </c>
      <c r="R122" s="5" t="str">
        <f t="shared" si="10"/>
        <v>116</v>
      </c>
      <c r="S122" s="10">
        <f t="shared" si="11"/>
        <v>116</v>
      </c>
      <c r="T122" s="6" t="e">
        <f t="shared" si="12"/>
        <v>#N/A</v>
      </c>
    </row>
    <row r="123" spans="4:20" ht="15" x14ac:dyDescent="0.3">
      <c r="D123" s="2" t="s">
        <v>28</v>
      </c>
      <c r="L123" t="str">
        <f t="shared" si="14"/>
        <v xml:space="preserve">        "id": 117,</v>
      </c>
      <c r="M123" t="e">
        <f t="shared" si="8"/>
        <v>#N/A</v>
      </c>
      <c r="N123" t="e">
        <f t="shared" si="9"/>
        <v>#N/A</v>
      </c>
      <c r="R123" s="5" t="str">
        <f t="shared" si="10"/>
        <v>117</v>
      </c>
      <c r="S123" s="10">
        <f t="shared" si="11"/>
        <v>117</v>
      </c>
      <c r="T123" s="6" t="e">
        <f t="shared" si="12"/>
        <v>#N/A</v>
      </c>
    </row>
    <row r="124" spans="4:20" ht="15" x14ac:dyDescent="0.3">
      <c r="D124" s="2" t="s">
        <v>24</v>
      </c>
      <c r="L124" t="str">
        <f t="shared" si="14"/>
        <v xml:space="preserve">        "id": 118,</v>
      </c>
      <c r="M124" t="e">
        <f t="shared" si="8"/>
        <v>#N/A</v>
      </c>
      <c r="N124" t="e">
        <f t="shared" si="9"/>
        <v>#N/A</v>
      </c>
      <c r="R124" s="5" t="str">
        <f t="shared" si="10"/>
        <v>118</v>
      </c>
      <c r="S124" s="10">
        <f t="shared" si="11"/>
        <v>118</v>
      </c>
      <c r="T124" s="6" t="e">
        <f t="shared" si="12"/>
        <v>#N/A</v>
      </c>
    </row>
    <row r="125" spans="4:20" ht="15" x14ac:dyDescent="0.3">
      <c r="D125" s="2" t="s">
        <v>95</v>
      </c>
      <c r="L125" t="str">
        <f t="shared" si="14"/>
        <v xml:space="preserve">        "id": 119,</v>
      </c>
      <c r="M125">
        <f t="shared" si="8"/>
        <v>576</v>
      </c>
      <c r="N125" t="str">
        <f t="shared" si="9"/>
        <v xml:space="preserve">        "localized_name": "Dark Willow"</v>
      </c>
      <c r="R125" s="5" t="str">
        <f t="shared" si="10"/>
        <v>119</v>
      </c>
      <c r="S125" s="10">
        <f t="shared" si="11"/>
        <v>119</v>
      </c>
      <c r="T125" s="6" t="str">
        <f t="shared" si="12"/>
        <v>Dark Willow</v>
      </c>
    </row>
    <row r="126" spans="4:20" ht="15" x14ac:dyDescent="0.3">
      <c r="D126" s="2" t="s">
        <v>96</v>
      </c>
      <c r="L126" t="str">
        <f t="shared" si="14"/>
        <v xml:space="preserve">        "id": 120,</v>
      </c>
      <c r="M126">
        <f t="shared" si="8"/>
        <v>571</v>
      </c>
      <c r="N126" t="str">
        <f t="shared" si="9"/>
        <v xml:space="preserve">        "localized_name": "Pangolier"</v>
      </c>
      <c r="R126" s="5" t="str">
        <f t="shared" si="10"/>
        <v>120</v>
      </c>
      <c r="S126" s="10">
        <f t="shared" si="11"/>
        <v>120</v>
      </c>
      <c r="T126" s="6" t="str">
        <f t="shared" si="12"/>
        <v>Pangolier</v>
      </c>
    </row>
    <row r="127" spans="4:20" ht="15" x14ac:dyDescent="0.3">
      <c r="D127" s="2" t="s">
        <v>97</v>
      </c>
      <c r="L127" t="str">
        <f t="shared" si="14"/>
        <v xml:space="preserve">        "id": 121,</v>
      </c>
      <c r="M127">
        <f t="shared" si="8"/>
        <v>581</v>
      </c>
      <c r="N127" t="str">
        <f t="shared" si="9"/>
        <v xml:space="preserve">        "localized_name": "Grimstroke"</v>
      </c>
      <c r="R127" s="5" t="str">
        <f t="shared" si="10"/>
        <v>121</v>
      </c>
      <c r="S127" s="10">
        <f t="shared" si="11"/>
        <v>121</v>
      </c>
      <c r="T127" s="6" t="str">
        <f t="shared" si="12"/>
        <v>Grimstroke</v>
      </c>
    </row>
    <row r="128" spans="4:20" ht="15" x14ac:dyDescent="0.3">
      <c r="D128" s="2" t="s">
        <v>28</v>
      </c>
      <c r="L128" t="str">
        <f t="shared" si="14"/>
        <v xml:space="preserve">        "id": 122,</v>
      </c>
      <c r="M128" t="e">
        <f t="shared" si="8"/>
        <v>#N/A</v>
      </c>
      <c r="N128" t="e">
        <f t="shared" si="9"/>
        <v>#N/A</v>
      </c>
      <c r="R128" s="5" t="str">
        <f t="shared" si="10"/>
        <v>122</v>
      </c>
      <c r="S128" s="10">
        <f t="shared" si="11"/>
        <v>122</v>
      </c>
      <c r="T128" s="6" t="e">
        <f t="shared" si="12"/>
        <v>#N/A</v>
      </c>
    </row>
    <row r="129" spans="4:20" ht="15" x14ac:dyDescent="0.3">
      <c r="D129" s="2" t="s">
        <v>24</v>
      </c>
      <c r="L129" t="str">
        <f t="shared" si="14"/>
        <v xml:space="preserve">        "id": 123,</v>
      </c>
      <c r="M129" t="e">
        <f t="shared" si="8"/>
        <v>#N/A</v>
      </c>
      <c r="N129" t="e">
        <f t="shared" si="9"/>
        <v>#N/A</v>
      </c>
      <c r="R129" s="5" t="str">
        <f t="shared" si="10"/>
        <v>123</v>
      </c>
      <c r="S129" s="10">
        <f t="shared" si="11"/>
        <v>123</v>
      </c>
      <c r="T129" s="6" t="e">
        <f t="shared" si="12"/>
        <v>#N/A</v>
      </c>
    </row>
    <row r="130" spans="4:20" ht="15" x14ac:dyDescent="0.3">
      <c r="D130" s="2" t="s">
        <v>98</v>
      </c>
      <c r="L130" t="str">
        <f t="shared" si="14"/>
        <v xml:space="preserve">        "id": 124,</v>
      </c>
      <c r="M130" t="e">
        <f t="shared" si="8"/>
        <v>#N/A</v>
      </c>
      <c r="N130" t="e">
        <f t="shared" si="9"/>
        <v>#N/A</v>
      </c>
      <c r="R130" s="5" t="str">
        <f t="shared" si="10"/>
        <v>124</v>
      </c>
      <c r="S130" s="10">
        <f t="shared" si="11"/>
        <v>124</v>
      </c>
      <c r="T130" s="6" t="e">
        <f t="shared" si="12"/>
        <v>#N/A</v>
      </c>
    </row>
    <row r="131" spans="4:20" ht="15" x14ac:dyDescent="0.3">
      <c r="D131" s="2" t="s">
        <v>99</v>
      </c>
      <c r="L131" t="str">
        <f t="shared" ref="L131:L162" si="15">"        ""id"": "&amp;ROW()-ROW($L$6)&amp;","</f>
        <v xml:space="preserve">        "id": 125,</v>
      </c>
      <c r="M131" t="e">
        <f t="shared" si="8"/>
        <v>#N/A</v>
      </c>
      <c r="N131" t="e">
        <f t="shared" si="9"/>
        <v>#N/A</v>
      </c>
      <c r="R131" s="5" t="str">
        <f t="shared" si="10"/>
        <v>125</v>
      </c>
      <c r="S131" s="10">
        <f t="shared" si="11"/>
        <v>125</v>
      </c>
      <c r="T131" s="6" t="e">
        <f t="shared" si="12"/>
        <v>#N/A</v>
      </c>
    </row>
    <row r="132" spans="4:20" ht="15" x14ac:dyDescent="0.3">
      <c r="D132" s="2" t="s">
        <v>100</v>
      </c>
      <c r="L132" t="str">
        <f t="shared" si="15"/>
        <v xml:space="preserve">        "id": 126,</v>
      </c>
      <c r="M132" t="e">
        <f t="shared" si="8"/>
        <v>#N/A</v>
      </c>
      <c r="N132" t="e">
        <f t="shared" si="9"/>
        <v>#N/A</v>
      </c>
      <c r="R132" s="5" t="str">
        <f t="shared" si="10"/>
        <v>126</v>
      </c>
      <c r="S132" s="10">
        <f t="shared" si="11"/>
        <v>126</v>
      </c>
      <c r="T132" s="6" t="e">
        <f t="shared" si="12"/>
        <v>#N/A</v>
      </c>
    </row>
    <row r="133" spans="4:20" ht="15" x14ac:dyDescent="0.3">
      <c r="D133" s="2" t="s">
        <v>28</v>
      </c>
      <c r="L133" t="str">
        <f t="shared" si="15"/>
        <v xml:space="preserve">        "id": 127,</v>
      </c>
      <c r="M133" t="e">
        <f t="shared" si="8"/>
        <v>#N/A</v>
      </c>
      <c r="N133" t="e">
        <f t="shared" si="9"/>
        <v>#N/A</v>
      </c>
      <c r="R133" s="5" t="str">
        <f t="shared" si="10"/>
        <v>127</v>
      </c>
      <c r="S133" s="10">
        <f t="shared" si="11"/>
        <v>127</v>
      </c>
      <c r="T133" s="6" t="e">
        <f t="shared" si="12"/>
        <v>#N/A</v>
      </c>
    </row>
    <row r="134" spans="4:20" ht="15" x14ac:dyDescent="0.3">
      <c r="D134" s="2" t="s">
        <v>24</v>
      </c>
      <c r="L134" t="str">
        <f t="shared" si="15"/>
        <v xml:space="preserve">        "id": 128,</v>
      </c>
      <c r="M134" t="e">
        <f t="shared" si="8"/>
        <v>#N/A</v>
      </c>
      <c r="N134" t="e">
        <f t="shared" si="9"/>
        <v>#N/A</v>
      </c>
      <c r="R134" s="5" t="str">
        <f t="shared" si="10"/>
        <v>128</v>
      </c>
      <c r="S134" s="10">
        <f t="shared" si="11"/>
        <v>128</v>
      </c>
      <c r="T134" s="6" t="e">
        <f t="shared" si="12"/>
        <v>#N/A</v>
      </c>
    </row>
    <row r="135" spans="4:20" ht="15" x14ac:dyDescent="0.3">
      <c r="D135" s="2" t="s">
        <v>101</v>
      </c>
      <c r="L135" t="str">
        <f t="shared" si="15"/>
        <v xml:space="preserve">        "id": 129,</v>
      </c>
      <c r="M135" t="e">
        <f t="shared" ref="M135:M198" si="16">MATCH(L135,$D$6:$D$593,0)</f>
        <v>#N/A</v>
      </c>
      <c r="N135" t="e">
        <f t="shared" ref="N135:N198" si="17">INDEX($D$6:$D$593,M135+1)</f>
        <v>#N/A</v>
      </c>
      <c r="R135" s="5" t="str">
        <f t="shared" ref="R135:R198" si="18">LEFT(RIGHT(L135,LEN(L135)-FIND(": ",L135)-1),LEN(RIGHT(L135,LEN(L135)-FIND(": ",L135)-1))-1)</f>
        <v>129</v>
      </c>
      <c r="S135" s="10">
        <f t="shared" ref="S135:S198" si="19">R135*1</f>
        <v>129</v>
      </c>
      <c r="T135" s="6" t="e">
        <f t="shared" ref="T135:T198" si="20">LEFT(RIGHT(N135,LEN(N135)-FIND(": """,N135)-2),LEN(RIGHT(N135,LEN(N135)-FIND(": """,N135)-2))-1)</f>
        <v>#N/A</v>
      </c>
    </row>
    <row r="136" spans="4:20" ht="15" x14ac:dyDescent="0.3">
      <c r="D136" s="2" t="s">
        <v>102</v>
      </c>
      <c r="L136" t="str">
        <f t="shared" si="15"/>
        <v xml:space="preserve">        "id": 130,</v>
      </c>
      <c r="M136" t="e">
        <f t="shared" si="16"/>
        <v>#N/A</v>
      </c>
      <c r="N136" t="e">
        <f t="shared" si="17"/>
        <v>#N/A</v>
      </c>
      <c r="R136" s="5" t="str">
        <f t="shared" si="18"/>
        <v>130</v>
      </c>
      <c r="S136" s="10">
        <f t="shared" si="19"/>
        <v>130</v>
      </c>
      <c r="T136" s="6" t="e">
        <f t="shared" si="20"/>
        <v>#N/A</v>
      </c>
    </row>
    <row r="137" spans="4:20" ht="15" x14ac:dyDescent="0.3">
      <c r="D137" s="2" t="s">
        <v>103</v>
      </c>
      <c r="L137" t="str">
        <f t="shared" si="15"/>
        <v xml:space="preserve">        "id": 131,</v>
      </c>
      <c r="M137" t="e">
        <f t="shared" si="16"/>
        <v>#N/A</v>
      </c>
      <c r="N137" t="e">
        <f t="shared" si="17"/>
        <v>#N/A</v>
      </c>
      <c r="R137" s="5" t="str">
        <f t="shared" si="18"/>
        <v>131</v>
      </c>
      <c r="S137" s="10">
        <f t="shared" si="19"/>
        <v>131</v>
      </c>
      <c r="T137" s="6" t="e">
        <f t="shared" si="20"/>
        <v>#N/A</v>
      </c>
    </row>
    <row r="138" spans="4:20" ht="15" x14ac:dyDescent="0.3">
      <c r="D138" s="2" t="s">
        <v>28</v>
      </c>
      <c r="L138" t="str">
        <f t="shared" si="15"/>
        <v xml:space="preserve">        "id": 132,</v>
      </c>
      <c r="M138" t="e">
        <f t="shared" si="16"/>
        <v>#N/A</v>
      </c>
      <c r="N138" t="e">
        <f t="shared" si="17"/>
        <v>#N/A</v>
      </c>
      <c r="R138" s="5" t="str">
        <f t="shared" si="18"/>
        <v>132</v>
      </c>
      <c r="S138" s="10">
        <f t="shared" si="19"/>
        <v>132</v>
      </c>
      <c r="T138" s="6" t="e">
        <f t="shared" si="20"/>
        <v>#N/A</v>
      </c>
    </row>
    <row r="139" spans="4:20" ht="15" x14ac:dyDescent="0.3">
      <c r="D139" s="2" t="s">
        <v>24</v>
      </c>
      <c r="L139" t="str">
        <f t="shared" si="15"/>
        <v xml:space="preserve">        "id": 133,</v>
      </c>
      <c r="M139" t="e">
        <f t="shared" si="16"/>
        <v>#N/A</v>
      </c>
      <c r="N139" t="e">
        <f t="shared" si="17"/>
        <v>#N/A</v>
      </c>
      <c r="R139" s="5" t="str">
        <f t="shared" si="18"/>
        <v>133</v>
      </c>
      <c r="S139" s="10">
        <f t="shared" si="19"/>
        <v>133</v>
      </c>
      <c r="T139" s="6" t="e">
        <f t="shared" si="20"/>
        <v>#N/A</v>
      </c>
    </row>
    <row r="140" spans="4:20" ht="15" x14ac:dyDescent="0.3">
      <c r="D140" s="2" t="s">
        <v>104</v>
      </c>
      <c r="L140" t="str">
        <f t="shared" si="15"/>
        <v xml:space="preserve">        "id": 134,</v>
      </c>
      <c r="M140" t="e">
        <f t="shared" si="16"/>
        <v>#N/A</v>
      </c>
      <c r="N140" t="e">
        <f t="shared" si="17"/>
        <v>#N/A</v>
      </c>
      <c r="R140" s="5" t="str">
        <f t="shared" si="18"/>
        <v>134</v>
      </c>
      <c r="S140" s="10">
        <f t="shared" si="19"/>
        <v>134</v>
      </c>
      <c r="T140" s="6" t="e">
        <f t="shared" si="20"/>
        <v>#N/A</v>
      </c>
    </row>
    <row r="141" spans="4:20" ht="15" x14ac:dyDescent="0.3">
      <c r="D141" s="2" t="s">
        <v>105</v>
      </c>
      <c r="L141" t="str">
        <f t="shared" si="15"/>
        <v xml:space="preserve">        "id": 135,</v>
      </c>
      <c r="M141" t="e">
        <f t="shared" si="16"/>
        <v>#N/A</v>
      </c>
      <c r="N141" t="e">
        <f t="shared" si="17"/>
        <v>#N/A</v>
      </c>
      <c r="R141" s="5" t="str">
        <f t="shared" si="18"/>
        <v>135</v>
      </c>
      <c r="S141" s="10">
        <f t="shared" si="19"/>
        <v>135</v>
      </c>
      <c r="T141" s="6" t="e">
        <f t="shared" si="20"/>
        <v>#N/A</v>
      </c>
    </row>
    <row r="142" spans="4:20" ht="15" x14ac:dyDescent="0.3">
      <c r="D142" s="2" t="s">
        <v>106</v>
      </c>
      <c r="L142" t="str">
        <f t="shared" si="15"/>
        <v xml:space="preserve">        "id": 136,</v>
      </c>
      <c r="M142" t="e">
        <f t="shared" si="16"/>
        <v>#N/A</v>
      </c>
      <c r="N142" t="e">
        <f t="shared" si="17"/>
        <v>#N/A</v>
      </c>
      <c r="R142" s="5" t="str">
        <f t="shared" si="18"/>
        <v>136</v>
      </c>
      <c r="S142" s="10">
        <f t="shared" si="19"/>
        <v>136</v>
      </c>
      <c r="T142" s="6" t="e">
        <f t="shared" si="20"/>
        <v>#N/A</v>
      </c>
    </row>
    <row r="143" spans="4:20" ht="15" x14ac:dyDescent="0.3">
      <c r="D143" s="2" t="s">
        <v>28</v>
      </c>
      <c r="L143" t="str">
        <f t="shared" si="15"/>
        <v xml:space="preserve">        "id": 137,</v>
      </c>
      <c r="M143" t="e">
        <f t="shared" si="16"/>
        <v>#N/A</v>
      </c>
      <c r="N143" t="e">
        <f t="shared" si="17"/>
        <v>#N/A</v>
      </c>
      <c r="R143" s="5" t="str">
        <f t="shared" si="18"/>
        <v>137</v>
      </c>
      <c r="S143" s="10">
        <f t="shared" si="19"/>
        <v>137</v>
      </c>
      <c r="T143" s="6" t="e">
        <f t="shared" si="20"/>
        <v>#N/A</v>
      </c>
    </row>
    <row r="144" spans="4:20" ht="15" x14ac:dyDescent="0.3">
      <c r="D144" s="2" t="s">
        <v>24</v>
      </c>
      <c r="L144" t="str">
        <f t="shared" si="15"/>
        <v xml:space="preserve">        "id": 138,</v>
      </c>
      <c r="M144" t="e">
        <f t="shared" si="16"/>
        <v>#N/A</v>
      </c>
      <c r="N144" t="e">
        <f t="shared" si="17"/>
        <v>#N/A</v>
      </c>
      <c r="R144" s="5" t="str">
        <f t="shared" si="18"/>
        <v>138</v>
      </c>
      <c r="S144" s="10">
        <f t="shared" si="19"/>
        <v>138</v>
      </c>
      <c r="T144" s="6" t="e">
        <f t="shared" si="20"/>
        <v>#N/A</v>
      </c>
    </row>
    <row r="145" spans="4:20" ht="15" x14ac:dyDescent="0.3">
      <c r="D145" s="2" t="s">
        <v>107</v>
      </c>
      <c r="L145" t="str">
        <f t="shared" si="15"/>
        <v xml:space="preserve">        "id": 139,</v>
      </c>
      <c r="M145" t="e">
        <f t="shared" si="16"/>
        <v>#N/A</v>
      </c>
      <c r="N145" t="e">
        <f t="shared" si="17"/>
        <v>#N/A</v>
      </c>
      <c r="R145" s="5" t="str">
        <f t="shared" si="18"/>
        <v>139</v>
      </c>
      <c r="S145" s="10">
        <f t="shared" si="19"/>
        <v>139</v>
      </c>
      <c r="T145" s="6" t="e">
        <f t="shared" si="20"/>
        <v>#N/A</v>
      </c>
    </row>
    <row r="146" spans="4:20" ht="15" x14ac:dyDescent="0.3">
      <c r="D146" s="2" t="s">
        <v>108</v>
      </c>
      <c r="L146" t="str">
        <f t="shared" si="15"/>
        <v xml:space="preserve">        "id": 140,</v>
      </c>
      <c r="M146" t="e">
        <f t="shared" si="16"/>
        <v>#N/A</v>
      </c>
      <c r="N146" t="e">
        <f t="shared" si="17"/>
        <v>#N/A</v>
      </c>
      <c r="R146" s="5" t="str">
        <f t="shared" si="18"/>
        <v>140</v>
      </c>
      <c r="S146" s="10">
        <f t="shared" si="19"/>
        <v>140</v>
      </c>
      <c r="T146" s="6" t="e">
        <f t="shared" si="20"/>
        <v>#N/A</v>
      </c>
    </row>
    <row r="147" spans="4:20" ht="15" x14ac:dyDescent="0.3">
      <c r="D147" s="2" t="s">
        <v>109</v>
      </c>
      <c r="L147" t="str">
        <f t="shared" si="15"/>
        <v xml:space="preserve">        "id": 141,</v>
      </c>
      <c r="M147" t="e">
        <f t="shared" si="16"/>
        <v>#N/A</v>
      </c>
      <c r="N147" t="e">
        <f t="shared" si="17"/>
        <v>#N/A</v>
      </c>
      <c r="R147" s="5" t="str">
        <f t="shared" si="18"/>
        <v>141</v>
      </c>
      <c r="S147" s="10">
        <f t="shared" si="19"/>
        <v>141</v>
      </c>
      <c r="T147" s="6" t="e">
        <f t="shared" si="20"/>
        <v>#N/A</v>
      </c>
    </row>
    <row r="148" spans="4:20" ht="15" x14ac:dyDescent="0.3">
      <c r="D148" s="2" t="s">
        <v>28</v>
      </c>
      <c r="L148" t="str">
        <f t="shared" si="15"/>
        <v xml:space="preserve">        "id": 142,</v>
      </c>
      <c r="M148" t="e">
        <f t="shared" si="16"/>
        <v>#N/A</v>
      </c>
      <c r="N148" t="e">
        <f t="shared" si="17"/>
        <v>#N/A</v>
      </c>
      <c r="R148" s="5" t="str">
        <f t="shared" si="18"/>
        <v>142</v>
      </c>
      <c r="S148" s="10">
        <f t="shared" si="19"/>
        <v>142</v>
      </c>
      <c r="T148" s="6" t="e">
        <f t="shared" si="20"/>
        <v>#N/A</v>
      </c>
    </row>
    <row r="149" spans="4:20" ht="15" x14ac:dyDescent="0.3">
      <c r="D149" s="2" t="s">
        <v>24</v>
      </c>
      <c r="L149" t="str">
        <f t="shared" si="15"/>
        <v xml:space="preserve">        "id": 143,</v>
      </c>
      <c r="M149" t="e">
        <f t="shared" si="16"/>
        <v>#N/A</v>
      </c>
      <c r="N149" t="e">
        <f t="shared" si="17"/>
        <v>#N/A</v>
      </c>
      <c r="R149" s="5" t="str">
        <f t="shared" si="18"/>
        <v>143</v>
      </c>
      <c r="S149" s="10">
        <f t="shared" si="19"/>
        <v>143</v>
      </c>
      <c r="T149" s="6" t="e">
        <f t="shared" si="20"/>
        <v>#N/A</v>
      </c>
    </row>
    <row r="150" spans="4:20" ht="15" x14ac:dyDescent="0.3">
      <c r="D150" s="2" t="s">
        <v>110</v>
      </c>
      <c r="L150" t="str">
        <f t="shared" si="15"/>
        <v xml:space="preserve">        "id": 144,</v>
      </c>
      <c r="M150" t="e">
        <f t="shared" si="16"/>
        <v>#N/A</v>
      </c>
      <c r="N150" t="e">
        <f t="shared" si="17"/>
        <v>#N/A</v>
      </c>
      <c r="R150" s="5" t="str">
        <f t="shared" si="18"/>
        <v>144</v>
      </c>
      <c r="S150" s="10">
        <f t="shared" si="19"/>
        <v>144</v>
      </c>
      <c r="T150" s="6" t="e">
        <f t="shared" si="20"/>
        <v>#N/A</v>
      </c>
    </row>
    <row r="151" spans="4:20" ht="15" x14ac:dyDescent="0.3">
      <c r="D151" s="2" t="s">
        <v>111</v>
      </c>
      <c r="L151" t="str">
        <f t="shared" si="15"/>
        <v xml:space="preserve">        "id": 145,</v>
      </c>
      <c r="M151" t="e">
        <f t="shared" si="16"/>
        <v>#N/A</v>
      </c>
      <c r="N151" t="e">
        <f t="shared" si="17"/>
        <v>#N/A</v>
      </c>
      <c r="R151" s="5" t="str">
        <f t="shared" si="18"/>
        <v>145</v>
      </c>
      <c r="S151" s="10">
        <f t="shared" si="19"/>
        <v>145</v>
      </c>
      <c r="T151" s="6" t="e">
        <f t="shared" si="20"/>
        <v>#N/A</v>
      </c>
    </row>
    <row r="152" spans="4:20" ht="15" x14ac:dyDescent="0.3">
      <c r="D152" s="2" t="s">
        <v>112</v>
      </c>
      <c r="L152" t="str">
        <f t="shared" si="15"/>
        <v xml:space="preserve">        "id": 146,</v>
      </c>
      <c r="M152" t="e">
        <f t="shared" si="16"/>
        <v>#N/A</v>
      </c>
      <c r="N152" t="e">
        <f t="shared" si="17"/>
        <v>#N/A</v>
      </c>
      <c r="R152" s="5" t="str">
        <f t="shared" si="18"/>
        <v>146</v>
      </c>
      <c r="S152" s="10">
        <f t="shared" si="19"/>
        <v>146</v>
      </c>
      <c r="T152" s="6" t="e">
        <f t="shared" si="20"/>
        <v>#N/A</v>
      </c>
    </row>
    <row r="153" spans="4:20" ht="15" x14ac:dyDescent="0.3">
      <c r="D153" s="2" t="s">
        <v>28</v>
      </c>
      <c r="L153" t="str">
        <f t="shared" si="15"/>
        <v xml:space="preserve">        "id": 147,</v>
      </c>
      <c r="M153" t="e">
        <f t="shared" si="16"/>
        <v>#N/A</v>
      </c>
      <c r="N153" t="e">
        <f t="shared" si="17"/>
        <v>#N/A</v>
      </c>
      <c r="R153" s="5" t="str">
        <f t="shared" si="18"/>
        <v>147</v>
      </c>
      <c r="S153" s="10">
        <f t="shared" si="19"/>
        <v>147</v>
      </c>
      <c r="T153" s="6" t="e">
        <f t="shared" si="20"/>
        <v>#N/A</v>
      </c>
    </row>
    <row r="154" spans="4:20" ht="15" x14ac:dyDescent="0.3">
      <c r="D154" s="2" t="s">
        <v>24</v>
      </c>
      <c r="L154" t="str">
        <f t="shared" si="15"/>
        <v xml:space="preserve">        "id": 148,</v>
      </c>
      <c r="M154" t="e">
        <f t="shared" si="16"/>
        <v>#N/A</v>
      </c>
      <c r="N154" t="e">
        <f t="shared" si="17"/>
        <v>#N/A</v>
      </c>
      <c r="R154" s="5" t="str">
        <f t="shared" si="18"/>
        <v>148</v>
      </c>
      <c r="S154" s="10">
        <f t="shared" si="19"/>
        <v>148</v>
      </c>
      <c r="T154" s="6" t="e">
        <f t="shared" si="20"/>
        <v>#N/A</v>
      </c>
    </row>
    <row r="155" spans="4:20" ht="15" x14ac:dyDescent="0.3">
      <c r="D155" s="2" t="s">
        <v>113</v>
      </c>
      <c r="L155" t="str">
        <f t="shared" si="15"/>
        <v xml:space="preserve">        "id": 149,</v>
      </c>
      <c r="M155" t="e">
        <f t="shared" si="16"/>
        <v>#N/A</v>
      </c>
      <c r="N155" t="e">
        <f t="shared" si="17"/>
        <v>#N/A</v>
      </c>
      <c r="R155" s="5" t="str">
        <f t="shared" si="18"/>
        <v>149</v>
      </c>
      <c r="S155" s="10">
        <f t="shared" si="19"/>
        <v>149</v>
      </c>
      <c r="T155" s="6" t="e">
        <f t="shared" si="20"/>
        <v>#N/A</v>
      </c>
    </row>
    <row r="156" spans="4:20" ht="15" x14ac:dyDescent="0.3">
      <c r="D156" s="2" t="s">
        <v>114</v>
      </c>
      <c r="L156" t="str">
        <f t="shared" si="15"/>
        <v xml:space="preserve">        "id": 150,</v>
      </c>
      <c r="M156" t="e">
        <f t="shared" si="16"/>
        <v>#N/A</v>
      </c>
      <c r="N156" t="e">
        <f t="shared" si="17"/>
        <v>#N/A</v>
      </c>
      <c r="R156" s="5" t="str">
        <f t="shared" si="18"/>
        <v>150</v>
      </c>
      <c r="S156" s="10">
        <f t="shared" si="19"/>
        <v>150</v>
      </c>
      <c r="T156" s="6" t="e">
        <f t="shared" si="20"/>
        <v>#N/A</v>
      </c>
    </row>
    <row r="157" spans="4:20" ht="15" x14ac:dyDescent="0.3">
      <c r="D157" s="2" t="s">
        <v>115</v>
      </c>
      <c r="L157" t="str">
        <f t="shared" si="15"/>
        <v xml:space="preserve">        "id": 151,</v>
      </c>
      <c r="M157" t="e">
        <f t="shared" si="16"/>
        <v>#N/A</v>
      </c>
      <c r="N157" t="e">
        <f t="shared" si="17"/>
        <v>#N/A</v>
      </c>
      <c r="R157" s="5" t="str">
        <f t="shared" si="18"/>
        <v>151</v>
      </c>
      <c r="S157" s="10">
        <f t="shared" si="19"/>
        <v>151</v>
      </c>
      <c r="T157" s="6" t="e">
        <f t="shared" si="20"/>
        <v>#N/A</v>
      </c>
    </row>
    <row r="158" spans="4:20" ht="15" x14ac:dyDescent="0.3">
      <c r="D158" s="2" t="s">
        <v>28</v>
      </c>
      <c r="L158" t="str">
        <f t="shared" si="15"/>
        <v xml:space="preserve">        "id": 152,</v>
      </c>
      <c r="M158" t="e">
        <f t="shared" si="16"/>
        <v>#N/A</v>
      </c>
      <c r="N158" t="e">
        <f t="shared" si="17"/>
        <v>#N/A</v>
      </c>
      <c r="R158" s="5" t="str">
        <f t="shared" si="18"/>
        <v>152</v>
      </c>
      <c r="S158" s="10">
        <f t="shared" si="19"/>
        <v>152</v>
      </c>
      <c r="T158" s="6" t="e">
        <f t="shared" si="20"/>
        <v>#N/A</v>
      </c>
    </row>
    <row r="159" spans="4:20" ht="15" x14ac:dyDescent="0.3">
      <c r="D159" s="2" t="s">
        <v>24</v>
      </c>
      <c r="L159" t="str">
        <f t="shared" si="15"/>
        <v xml:space="preserve">        "id": 153,</v>
      </c>
      <c r="M159" t="e">
        <f t="shared" si="16"/>
        <v>#N/A</v>
      </c>
      <c r="N159" t="e">
        <f t="shared" si="17"/>
        <v>#N/A</v>
      </c>
      <c r="R159" s="5" t="str">
        <f t="shared" si="18"/>
        <v>153</v>
      </c>
      <c r="S159" s="10">
        <f t="shared" si="19"/>
        <v>153</v>
      </c>
      <c r="T159" s="6" t="e">
        <f t="shared" si="20"/>
        <v>#N/A</v>
      </c>
    </row>
    <row r="160" spans="4:20" ht="15" x14ac:dyDescent="0.3">
      <c r="D160" s="2" t="s">
        <v>116</v>
      </c>
      <c r="L160" t="str">
        <f t="shared" si="15"/>
        <v xml:space="preserve">        "id": 154,</v>
      </c>
      <c r="M160" t="e">
        <f t="shared" si="16"/>
        <v>#N/A</v>
      </c>
      <c r="N160" t="e">
        <f t="shared" si="17"/>
        <v>#N/A</v>
      </c>
      <c r="R160" s="5" t="str">
        <f t="shared" si="18"/>
        <v>154</v>
      </c>
      <c r="S160" s="10">
        <f t="shared" si="19"/>
        <v>154</v>
      </c>
      <c r="T160" s="6" t="e">
        <f t="shared" si="20"/>
        <v>#N/A</v>
      </c>
    </row>
    <row r="161" spans="4:20" ht="15" x14ac:dyDescent="0.3">
      <c r="D161" s="2" t="s">
        <v>117</v>
      </c>
      <c r="L161" t="str">
        <f t="shared" si="15"/>
        <v xml:space="preserve">        "id": 155,</v>
      </c>
      <c r="M161" t="e">
        <f t="shared" si="16"/>
        <v>#N/A</v>
      </c>
      <c r="N161" t="e">
        <f t="shared" si="17"/>
        <v>#N/A</v>
      </c>
      <c r="R161" s="5" t="str">
        <f t="shared" si="18"/>
        <v>155</v>
      </c>
      <c r="S161" s="10">
        <f t="shared" si="19"/>
        <v>155</v>
      </c>
      <c r="T161" s="6" t="e">
        <f t="shared" si="20"/>
        <v>#N/A</v>
      </c>
    </row>
    <row r="162" spans="4:20" ht="15" x14ac:dyDescent="0.3">
      <c r="D162" s="2" t="s">
        <v>118</v>
      </c>
      <c r="L162" t="str">
        <f t="shared" si="15"/>
        <v xml:space="preserve">        "id": 156,</v>
      </c>
      <c r="M162" t="e">
        <f t="shared" si="16"/>
        <v>#N/A</v>
      </c>
      <c r="N162" t="e">
        <f t="shared" si="17"/>
        <v>#N/A</v>
      </c>
      <c r="R162" s="5" t="str">
        <f t="shared" si="18"/>
        <v>156</v>
      </c>
      <c r="S162" s="10">
        <f t="shared" si="19"/>
        <v>156</v>
      </c>
      <c r="T162" s="6" t="e">
        <f t="shared" si="20"/>
        <v>#N/A</v>
      </c>
    </row>
    <row r="163" spans="4:20" ht="15" x14ac:dyDescent="0.3">
      <c r="D163" s="2" t="s">
        <v>28</v>
      </c>
      <c r="L163" t="str">
        <f t="shared" ref="L163:L194" si="21">"        ""id"": "&amp;ROW()-ROW($L$6)&amp;","</f>
        <v xml:space="preserve">        "id": 157,</v>
      </c>
      <c r="M163" t="e">
        <f t="shared" si="16"/>
        <v>#N/A</v>
      </c>
      <c r="N163" t="e">
        <f t="shared" si="17"/>
        <v>#N/A</v>
      </c>
      <c r="R163" s="5" t="str">
        <f t="shared" si="18"/>
        <v>157</v>
      </c>
      <c r="S163" s="10">
        <f t="shared" si="19"/>
        <v>157</v>
      </c>
      <c r="T163" s="6" t="e">
        <f t="shared" si="20"/>
        <v>#N/A</v>
      </c>
    </row>
    <row r="164" spans="4:20" ht="15" x14ac:dyDescent="0.3">
      <c r="D164" s="2" t="s">
        <v>24</v>
      </c>
      <c r="L164" t="str">
        <f t="shared" si="21"/>
        <v xml:space="preserve">        "id": 158,</v>
      </c>
      <c r="M164" t="e">
        <f t="shared" si="16"/>
        <v>#N/A</v>
      </c>
      <c r="N164" t="e">
        <f t="shared" si="17"/>
        <v>#N/A</v>
      </c>
      <c r="R164" s="5" t="str">
        <f t="shared" si="18"/>
        <v>158</v>
      </c>
      <c r="S164" s="10">
        <f t="shared" si="19"/>
        <v>158</v>
      </c>
      <c r="T164" s="6" t="e">
        <f t="shared" si="20"/>
        <v>#N/A</v>
      </c>
    </row>
    <row r="165" spans="4:20" ht="15" x14ac:dyDescent="0.3">
      <c r="D165" s="2" t="s">
        <v>119</v>
      </c>
      <c r="L165" t="str">
        <f t="shared" si="21"/>
        <v xml:space="preserve">        "id": 159,</v>
      </c>
      <c r="M165" t="e">
        <f t="shared" si="16"/>
        <v>#N/A</v>
      </c>
      <c r="N165" t="e">
        <f t="shared" si="17"/>
        <v>#N/A</v>
      </c>
      <c r="R165" s="5" t="str">
        <f t="shared" si="18"/>
        <v>159</v>
      </c>
      <c r="S165" s="10">
        <f t="shared" si="19"/>
        <v>159</v>
      </c>
      <c r="T165" s="6" t="e">
        <f t="shared" si="20"/>
        <v>#N/A</v>
      </c>
    </row>
    <row r="166" spans="4:20" ht="15" x14ac:dyDescent="0.3">
      <c r="D166" s="2" t="s">
        <v>120</v>
      </c>
      <c r="L166" t="str">
        <f t="shared" si="21"/>
        <v xml:space="preserve">        "id": 160,</v>
      </c>
      <c r="M166" t="e">
        <f t="shared" si="16"/>
        <v>#N/A</v>
      </c>
      <c r="N166" t="e">
        <f t="shared" si="17"/>
        <v>#N/A</v>
      </c>
      <c r="R166" s="5" t="str">
        <f t="shared" si="18"/>
        <v>160</v>
      </c>
      <c r="S166" s="10">
        <f t="shared" si="19"/>
        <v>160</v>
      </c>
      <c r="T166" s="6" t="e">
        <f t="shared" si="20"/>
        <v>#N/A</v>
      </c>
    </row>
    <row r="167" spans="4:20" ht="15" x14ac:dyDescent="0.3">
      <c r="D167" s="2" t="s">
        <v>121</v>
      </c>
      <c r="L167" t="str">
        <f t="shared" si="21"/>
        <v xml:space="preserve">        "id": 161,</v>
      </c>
      <c r="M167" t="e">
        <f t="shared" si="16"/>
        <v>#N/A</v>
      </c>
      <c r="N167" t="e">
        <f t="shared" si="17"/>
        <v>#N/A</v>
      </c>
      <c r="R167" s="5" t="str">
        <f t="shared" si="18"/>
        <v>161</v>
      </c>
      <c r="S167" s="10">
        <f t="shared" si="19"/>
        <v>161</v>
      </c>
      <c r="T167" s="6" t="e">
        <f t="shared" si="20"/>
        <v>#N/A</v>
      </c>
    </row>
    <row r="168" spans="4:20" ht="15" x14ac:dyDescent="0.3">
      <c r="D168" s="2" t="s">
        <v>28</v>
      </c>
      <c r="L168" t="str">
        <f t="shared" si="21"/>
        <v xml:space="preserve">        "id": 162,</v>
      </c>
      <c r="M168" t="e">
        <f t="shared" si="16"/>
        <v>#N/A</v>
      </c>
      <c r="N168" t="e">
        <f t="shared" si="17"/>
        <v>#N/A</v>
      </c>
      <c r="R168" s="5" t="str">
        <f t="shared" si="18"/>
        <v>162</v>
      </c>
      <c r="S168" s="10">
        <f t="shared" si="19"/>
        <v>162</v>
      </c>
      <c r="T168" s="6" t="e">
        <f t="shared" si="20"/>
        <v>#N/A</v>
      </c>
    </row>
    <row r="169" spans="4:20" ht="15" x14ac:dyDescent="0.3">
      <c r="D169" s="2" t="s">
        <v>24</v>
      </c>
      <c r="L169" t="str">
        <f t="shared" si="21"/>
        <v xml:space="preserve">        "id": 163,</v>
      </c>
      <c r="M169" t="e">
        <f t="shared" si="16"/>
        <v>#N/A</v>
      </c>
      <c r="N169" t="e">
        <f t="shared" si="17"/>
        <v>#N/A</v>
      </c>
      <c r="R169" s="5" t="str">
        <f t="shared" si="18"/>
        <v>163</v>
      </c>
      <c r="S169" s="10">
        <f t="shared" si="19"/>
        <v>163</v>
      </c>
      <c r="T169" s="6" t="e">
        <f t="shared" si="20"/>
        <v>#N/A</v>
      </c>
    </row>
    <row r="170" spans="4:20" ht="15" x14ac:dyDescent="0.3">
      <c r="D170" s="2" t="s">
        <v>122</v>
      </c>
      <c r="L170" t="str">
        <f t="shared" si="21"/>
        <v xml:space="preserve">        "id": 164,</v>
      </c>
      <c r="M170" t="e">
        <f t="shared" si="16"/>
        <v>#N/A</v>
      </c>
      <c r="N170" t="e">
        <f t="shared" si="17"/>
        <v>#N/A</v>
      </c>
      <c r="R170" s="5" t="str">
        <f t="shared" si="18"/>
        <v>164</v>
      </c>
      <c r="S170" s="10">
        <f t="shared" si="19"/>
        <v>164</v>
      </c>
      <c r="T170" s="6" t="e">
        <f t="shared" si="20"/>
        <v>#N/A</v>
      </c>
    </row>
    <row r="171" spans="4:20" ht="15" x14ac:dyDescent="0.3">
      <c r="D171" s="2" t="s">
        <v>123</v>
      </c>
      <c r="L171" t="str">
        <f t="shared" si="21"/>
        <v xml:space="preserve">        "id": 165,</v>
      </c>
      <c r="M171" t="e">
        <f t="shared" si="16"/>
        <v>#N/A</v>
      </c>
      <c r="N171" t="e">
        <f t="shared" si="17"/>
        <v>#N/A</v>
      </c>
      <c r="R171" s="5" t="str">
        <f t="shared" si="18"/>
        <v>165</v>
      </c>
      <c r="S171" s="10">
        <f t="shared" si="19"/>
        <v>165</v>
      </c>
      <c r="T171" s="6" t="e">
        <f t="shared" si="20"/>
        <v>#N/A</v>
      </c>
    </row>
    <row r="172" spans="4:20" ht="15" x14ac:dyDescent="0.3">
      <c r="D172" s="2" t="s">
        <v>124</v>
      </c>
      <c r="L172" t="str">
        <f t="shared" si="21"/>
        <v xml:space="preserve">        "id": 166,</v>
      </c>
      <c r="M172" t="e">
        <f t="shared" si="16"/>
        <v>#N/A</v>
      </c>
      <c r="N172" t="e">
        <f t="shared" si="17"/>
        <v>#N/A</v>
      </c>
      <c r="R172" s="5" t="str">
        <f t="shared" si="18"/>
        <v>166</v>
      </c>
      <c r="S172" s="10">
        <f t="shared" si="19"/>
        <v>166</v>
      </c>
      <c r="T172" s="6" t="e">
        <f t="shared" si="20"/>
        <v>#N/A</v>
      </c>
    </row>
    <row r="173" spans="4:20" ht="15" x14ac:dyDescent="0.3">
      <c r="D173" s="2" t="s">
        <v>28</v>
      </c>
      <c r="L173" t="str">
        <f t="shared" si="21"/>
        <v xml:space="preserve">        "id": 167,</v>
      </c>
      <c r="M173" t="e">
        <f t="shared" si="16"/>
        <v>#N/A</v>
      </c>
      <c r="N173" t="e">
        <f t="shared" si="17"/>
        <v>#N/A</v>
      </c>
      <c r="R173" s="5" t="str">
        <f t="shared" si="18"/>
        <v>167</v>
      </c>
      <c r="S173" s="10">
        <f t="shared" si="19"/>
        <v>167</v>
      </c>
      <c r="T173" s="6" t="e">
        <f t="shared" si="20"/>
        <v>#N/A</v>
      </c>
    </row>
    <row r="174" spans="4:20" ht="15" x14ac:dyDescent="0.3">
      <c r="D174" s="2" t="s">
        <v>24</v>
      </c>
      <c r="L174" t="str">
        <f t="shared" si="21"/>
        <v xml:space="preserve">        "id": 168,</v>
      </c>
      <c r="M174" t="e">
        <f t="shared" si="16"/>
        <v>#N/A</v>
      </c>
      <c r="N174" t="e">
        <f t="shared" si="17"/>
        <v>#N/A</v>
      </c>
      <c r="R174" s="5" t="str">
        <f t="shared" si="18"/>
        <v>168</v>
      </c>
      <c r="S174" s="10">
        <f t="shared" si="19"/>
        <v>168</v>
      </c>
      <c r="T174" s="6" t="e">
        <f t="shared" si="20"/>
        <v>#N/A</v>
      </c>
    </row>
    <row r="175" spans="4:20" ht="15" x14ac:dyDescent="0.3">
      <c r="D175" s="2" t="s">
        <v>125</v>
      </c>
      <c r="L175" t="str">
        <f t="shared" si="21"/>
        <v xml:space="preserve">        "id": 169,</v>
      </c>
      <c r="M175" t="e">
        <f t="shared" si="16"/>
        <v>#N/A</v>
      </c>
      <c r="N175" t="e">
        <f t="shared" si="17"/>
        <v>#N/A</v>
      </c>
      <c r="R175" s="5" t="str">
        <f t="shared" si="18"/>
        <v>169</v>
      </c>
      <c r="S175" s="10">
        <f t="shared" si="19"/>
        <v>169</v>
      </c>
      <c r="T175" s="6" t="e">
        <f t="shared" si="20"/>
        <v>#N/A</v>
      </c>
    </row>
    <row r="176" spans="4:20" ht="15" x14ac:dyDescent="0.3">
      <c r="D176" s="2" t="s">
        <v>126</v>
      </c>
      <c r="L176" t="str">
        <f t="shared" si="21"/>
        <v xml:space="preserve">        "id": 170,</v>
      </c>
      <c r="M176" t="e">
        <f t="shared" si="16"/>
        <v>#N/A</v>
      </c>
      <c r="N176" t="e">
        <f t="shared" si="17"/>
        <v>#N/A</v>
      </c>
      <c r="R176" s="5" t="str">
        <f t="shared" si="18"/>
        <v>170</v>
      </c>
      <c r="S176" s="10">
        <f t="shared" si="19"/>
        <v>170</v>
      </c>
      <c r="T176" s="6" t="e">
        <f t="shared" si="20"/>
        <v>#N/A</v>
      </c>
    </row>
    <row r="177" spans="4:20" ht="15" x14ac:dyDescent="0.3">
      <c r="D177" s="2" t="s">
        <v>127</v>
      </c>
      <c r="L177" t="str">
        <f t="shared" si="21"/>
        <v xml:space="preserve">        "id": 171,</v>
      </c>
      <c r="M177" t="e">
        <f t="shared" si="16"/>
        <v>#N/A</v>
      </c>
      <c r="N177" t="e">
        <f t="shared" si="17"/>
        <v>#N/A</v>
      </c>
      <c r="R177" s="5" t="str">
        <f t="shared" si="18"/>
        <v>171</v>
      </c>
      <c r="S177" s="10">
        <f t="shared" si="19"/>
        <v>171</v>
      </c>
      <c r="T177" s="6" t="e">
        <f t="shared" si="20"/>
        <v>#N/A</v>
      </c>
    </row>
    <row r="178" spans="4:20" ht="15" x14ac:dyDescent="0.3">
      <c r="D178" s="2" t="s">
        <v>28</v>
      </c>
      <c r="L178" t="str">
        <f t="shared" si="21"/>
        <v xml:space="preserve">        "id": 172,</v>
      </c>
      <c r="M178" t="e">
        <f t="shared" si="16"/>
        <v>#N/A</v>
      </c>
      <c r="N178" t="e">
        <f t="shared" si="17"/>
        <v>#N/A</v>
      </c>
      <c r="R178" s="5" t="str">
        <f t="shared" si="18"/>
        <v>172</v>
      </c>
      <c r="S178" s="10">
        <f t="shared" si="19"/>
        <v>172</v>
      </c>
      <c r="T178" s="6" t="e">
        <f t="shared" si="20"/>
        <v>#N/A</v>
      </c>
    </row>
    <row r="179" spans="4:20" ht="15" x14ac:dyDescent="0.3">
      <c r="D179" s="2" t="s">
        <v>24</v>
      </c>
      <c r="L179" t="str">
        <f t="shared" si="21"/>
        <v xml:space="preserve">        "id": 173,</v>
      </c>
      <c r="M179" t="e">
        <f t="shared" si="16"/>
        <v>#N/A</v>
      </c>
      <c r="N179" t="e">
        <f t="shared" si="17"/>
        <v>#N/A</v>
      </c>
      <c r="R179" s="5" t="str">
        <f t="shared" si="18"/>
        <v>173</v>
      </c>
      <c r="S179" s="10">
        <f t="shared" si="19"/>
        <v>173</v>
      </c>
      <c r="T179" s="6" t="e">
        <f t="shared" si="20"/>
        <v>#N/A</v>
      </c>
    </row>
    <row r="180" spans="4:20" ht="15" x14ac:dyDescent="0.3">
      <c r="D180" s="2" t="s">
        <v>128</v>
      </c>
      <c r="L180" t="str">
        <f t="shared" si="21"/>
        <v xml:space="preserve">        "id": 174,</v>
      </c>
      <c r="M180" t="e">
        <f t="shared" si="16"/>
        <v>#N/A</v>
      </c>
      <c r="N180" t="e">
        <f t="shared" si="17"/>
        <v>#N/A</v>
      </c>
      <c r="R180" s="5" t="str">
        <f t="shared" si="18"/>
        <v>174</v>
      </c>
      <c r="S180" s="10">
        <f t="shared" si="19"/>
        <v>174</v>
      </c>
      <c r="T180" s="6" t="e">
        <f t="shared" si="20"/>
        <v>#N/A</v>
      </c>
    </row>
    <row r="181" spans="4:20" ht="15" x14ac:dyDescent="0.3">
      <c r="D181" s="2" t="s">
        <v>129</v>
      </c>
      <c r="L181" t="str">
        <f t="shared" si="21"/>
        <v xml:space="preserve">        "id": 175,</v>
      </c>
      <c r="M181" t="e">
        <f t="shared" si="16"/>
        <v>#N/A</v>
      </c>
      <c r="N181" t="e">
        <f t="shared" si="17"/>
        <v>#N/A</v>
      </c>
      <c r="R181" s="5" t="str">
        <f t="shared" si="18"/>
        <v>175</v>
      </c>
      <c r="S181" s="10">
        <f t="shared" si="19"/>
        <v>175</v>
      </c>
      <c r="T181" s="6" t="e">
        <f t="shared" si="20"/>
        <v>#N/A</v>
      </c>
    </row>
    <row r="182" spans="4:20" ht="15" x14ac:dyDescent="0.3">
      <c r="D182" s="2" t="s">
        <v>130</v>
      </c>
      <c r="L182" t="str">
        <f t="shared" si="21"/>
        <v xml:space="preserve">        "id": 176,</v>
      </c>
      <c r="M182" t="e">
        <f t="shared" si="16"/>
        <v>#N/A</v>
      </c>
      <c r="N182" t="e">
        <f t="shared" si="17"/>
        <v>#N/A</v>
      </c>
      <c r="R182" s="5" t="str">
        <f t="shared" si="18"/>
        <v>176</v>
      </c>
      <c r="S182" s="10">
        <f t="shared" si="19"/>
        <v>176</v>
      </c>
      <c r="T182" s="6" t="e">
        <f t="shared" si="20"/>
        <v>#N/A</v>
      </c>
    </row>
    <row r="183" spans="4:20" ht="15" x14ac:dyDescent="0.3">
      <c r="D183" s="2" t="s">
        <v>28</v>
      </c>
      <c r="L183" t="str">
        <f t="shared" si="21"/>
        <v xml:space="preserve">        "id": 177,</v>
      </c>
      <c r="M183" t="e">
        <f t="shared" si="16"/>
        <v>#N/A</v>
      </c>
      <c r="N183" t="e">
        <f t="shared" si="17"/>
        <v>#N/A</v>
      </c>
      <c r="R183" s="5" t="str">
        <f t="shared" si="18"/>
        <v>177</v>
      </c>
      <c r="S183" s="10">
        <f t="shared" si="19"/>
        <v>177</v>
      </c>
      <c r="T183" s="6" t="e">
        <f t="shared" si="20"/>
        <v>#N/A</v>
      </c>
    </row>
    <row r="184" spans="4:20" ht="15" x14ac:dyDescent="0.3">
      <c r="D184" s="2" t="s">
        <v>24</v>
      </c>
      <c r="L184" t="str">
        <f t="shared" si="21"/>
        <v xml:space="preserve">        "id": 178,</v>
      </c>
      <c r="M184" t="e">
        <f t="shared" si="16"/>
        <v>#N/A</v>
      </c>
      <c r="N184" t="e">
        <f t="shared" si="17"/>
        <v>#N/A</v>
      </c>
      <c r="R184" s="5" t="str">
        <f t="shared" si="18"/>
        <v>178</v>
      </c>
      <c r="S184" s="10">
        <f t="shared" si="19"/>
        <v>178</v>
      </c>
      <c r="T184" s="6" t="e">
        <f t="shared" si="20"/>
        <v>#N/A</v>
      </c>
    </row>
    <row r="185" spans="4:20" ht="15" x14ac:dyDescent="0.3">
      <c r="D185" s="2" t="s">
        <v>131</v>
      </c>
      <c r="L185" t="str">
        <f t="shared" si="21"/>
        <v xml:space="preserve">        "id": 179,</v>
      </c>
      <c r="M185" t="e">
        <f t="shared" si="16"/>
        <v>#N/A</v>
      </c>
      <c r="N185" t="e">
        <f t="shared" si="17"/>
        <v>#N/A</v>
      </c>
      <c r="R185" s="5" t="str">
        <f t="shared" si="18"/>
        <v>179</v>
      </c>
      <c r="S185" s="10">
        <f t="shared" si="19"/>
        <v>179</v>
      </c>
      <c r="T185" s="6" t="e">
        <f t="shared" si="20"/>
        <v>#N/A</v>
      </c>
    </row>
    <row r="186" spans="4:20" ht="15" x14ac:dyDescent="0.3">
      <c r="D186" s="2" t="s">
        <v>132</v>
      </c>
      <c r="L186" t="str">
        <f t="shared" si="21"/>
        <v xml:space="preserve">        "id": 180,</v>
      </c>
      <c r="M186" t="e">
        <f t="shared" si="16"/>
        <v>#N/A</v>
      </c>
      <c r="N186" t="e">
        <f t="shared" si="17"/>
        <v>#N/A</v>
      </c>
      <c r="R186" s="5" t="str">
        <f t="shared" si="18"/>
        <v>180</v>
      </c>
      <c r="S186" s="10">
        <f t="shared" si="19"/>
        <v>180</v>
      </c>
      <c r="T186" s="6" t="e">
        <f t="shared" si="20"/>
        <v>#N/A</v>
      </c>
    </row>
    <row r="187" spans="4:20" ht="15" x14ac:dyDescent="0.3">
      <c r="D187" s="2" t="s">
        <v>133</v>
      </c>
      <c r="L187" t="str">
        <f t="shared" si="21"/>
        <v xml:space="preserve">        "id": 181,</v>
      </c>
      <c r="M187" t="e">
        <f t="shared" si="16"/>
        <v>#N/A</v>
      </c>
      <c r="N187" t="e">
        <f t="shared" si="17"/>
        <v>#N/A</v>
      </c>
      <c r="R187" s="5" t="str">
        <f t="shared" si="18"/>
        <v>181</v>
      </c>
      <c r="S187" s="10">
        <f t="shared" si="19"/>
        <v>181</v>
      </c>
      <c r="T187" s="6" t="e">
        <f t="shared" si="20"/>
        <v>#N/A</v>
      </c>
    </row>
    <row r="188" spans="4:20" ht="15" x14ac:dyDescent="0.3">
      <c r="D188" s="2" t="s">
        <v>28</v>
      </c>
      <c r="L188" t="str">
        <f t="shared" si="21"/>
        <v xml:space="preserve">        "id": 182,</v>
      </c>
      <c r="M188" t="e">
        <f t="shared" si="16"/>
        <v>#N/A</v>
      </c>
      <c r="N188" t="e">
        <f t="shared" si="17"/>
        <v>#N/A</v>
      </c>
      <c r="R188" s="5" t="str">
        <f t="shared" si="18"/>
        <v>182</v>
      </c>
      <c r="S188" s="10">
        <f t="shared" si="19"/>
        <v>182</v>
      </c>
      <c r="T188" s="6" t="e">
        <f t="shared" si="20"/>
        <v>#N/A</v>
      </c>
    </row>
    <row r="189" spans="4:20" ht="15" x14ac:dyDescent="0.3">
      <c r="D189" s="2" t="s">
        <v>24</v>
      </c>
      <c r="L189" t="str">
        <f t="shared" si="21"/>
        <v xml:space="preserve">        "id": 183,</v>
      </c>
      <c r="M189" t="e">
        <f t="shared" si="16"/>
        <v>#N/A</v>
      </c>
      <c r="N189" t="e">
        <f t="shared" si="17"/>
        <v>#N/A</v>
      </c>
      <c r="R189" s="5" t="str">
        <f t="shared" si="18"/>
        <v>183</v>
      </c>
      <c r="S189" s="10">
        <f t="shared" si="19"/>
        <v>183</v>
      </c>
      <c r="T189" s="6" t="e">
        <f t="shared" si="20"/>
        <v>#N/A</v>
      </c>
    </row>
    <row r="190" spans="4:20" ht="15" x14ac:dyDescent="0.3">
      <c r="D190" s="2" t="s">
        <v>134</v>
      </c>
      <c r="L190" t="str">
        <f t="shared" si="21"/>
        <v xml:space="preserve">        "id": 184,</v>
      </c>
      <c r="M190" t="e">
        <f t="shared" si="16"/>
        <v>#N/A</v>
      </c>
      <c r="N190" t="e">
        <f t="shared" si="17"/>
        <v>#N/A</v>
      </c>
      <c r="R190" s="5" t="str">
        <f t="shared" si="18"/>
        <v>184</v>
      </c>
      <c r="S190" s="10">
        <f t="shared" si="19"/>
        <v>184</v>
      </c>
      <c r="T190" s="6" t="e">
        <f t="shared" si="20"/>
        <v>#N/A</v>
      </c>
    </row>
    <row r="191" spans="4:20" ht="15" x14ac:dyDescent="0.3">
      <c r="D191" s="2" t="s">
        <v>135</v>
      </c>
      <c r="L191" t="str">
        <f t="shared" si="21"/>
        <v xml:space="preserve">        "id": 185,</v>
      </c>
      <c r="M191" t="e">
        <f t="shared" si="16"/>
        <v>#N/A</v>
      </c>
      <c r="N191" t="e">
        <f t="shared" si="17"/>
        <v>#N/A</v>
      </c>
      <c r="R191" s="5" t="str">
        <f t="shared" si="18"/>
        <v>185</v>
      </c>
      <c r="S191" s="10">
        <f t="shared" si="19"/>
        <v>185</v>
      </c>
      <c r="T191" s="6" t="e">
        <f t="shared" si="20"/>
        <v>#N/A</v>
      </c>
    </row>
    <row r="192" spans="4:20" ht="15" x14ac:dyDescent="0.3">
      <c r="D192" s="2" t="s">
        <v>136</v>
      </c>
      <c r="L192" t="str">
        <f t="shared" si="21"/>
        <v xml:space="preserve">        "id": 186,</v>
      </c>
      <c r="M192" t="e">
        <f t="shared" si="16"/>
        <v>#N/A</v>
      </c>
      <c r="N192" t="e">
        <f t="shared" si="17"/>
        <v>#N/A</v>
      </c>
      <c r="R192" s="5" t="str">
        <f t="shared" si="18"/>
        <v>186</v>
      </c>
      <c r="S192" s="10">
        <f t="shared" si="19"/>
        <v>186</v>
      </c>
      <c r="T192" s="6" t="e">
        <f t="shared" si="20"/>
        <v>#N/A</v>
      </c>
    </row>
    <row r="193" spans="4:20" ht="15" x14ac:dyDescent="0.3">
      <c r="D193" s="2" t="s">
        <v>28</v>
      </c>
      <c r="L193" t="str">
        <f t="shared" si="21"/>
        <v xml:space="preserve">        "id": 187,</v>
      </c>
      <c r="M193" t="e">
        <f t="shared" si="16"/>
        <v>#N/A</v>
      </c>
      <c r="N193" t="e">
        <f t="shared" si="17"/>
        <v>#N/A</v>
      </c>
      <c r="R193" s="5" t="str">
        <f t="shared" si="18"/>
        <v>187</v>
      </c>
      <c r="S193" s="10">
        <f t="shared" si="19"/>
        <v>187</v>
      </c>
      <c r="T193" s="6" t="e">
        <f t="shared" si="20"/>
        <v>#N/A</v>
      </c>
    </row>
    <row r="194" spans="4:20" ht="15" x14ac:dyDescent="0.3">
      <c r="D194" s="2" t="s">
        <v>24</v>
      </c>
      <c r="L194" t="str">
        <f t="shared" si="21"/>
        <v xml:space="preserve">        "id": 188,</v>
      </c>
      <c r="M194" t="e">
        <f t="shared" si="16"/>
        <v>#N/A</v>
      </c>
      <c r="N194" t="e">
        <f t="shared" si="17"/>
        <v>#N/A</v>
      </c>
      <c r="R194" s="5" t="str">
        <f t="shared" si="18"/>
        <v>188</v>
      </c>
      <c r="S194" s="10">
        <f t="shared" si="19"/>
        <v>188</v>
      </c>
      <c r="T194" s="6" t="e">
        <f t="shared" si="20"/>
        <v>#N/A</v>
      </c>
    </row>
    <row r="195" spans="4:20" ht="15" x14ac:dyDescent="0.3">
      <c r="D195" s="2" t="s">
        <v>137</v>
      </c>
      <c r="L195" t="str">
        <f t="shared" ref="L195:L209" si="22">"        ""id"": "&amp;ROW()-ROW($L$6)&amp;","</f>
        <v xml:space="preserve">        "id": 189,</v>
      </c>
      <c r="M195" t="e">
        <f t="shared" si="16"/>
        <v>#N/A</v>
      </c>
      <c r="N195" t="e">
        <f t="shared" si="17"/>
        <v>#N/A</v>
      </c>
      <c r="R195" s="5" t="str">
        <f t="shared" si="18"/>
        <v>189</v>
      </c>
      <c r="S195" s="10">
        <f t="shared" si="19"/>
        <v>189</v>
      </c>
      <c r="T195" s="6" t="e">
        <f t="shared" si="20"/>
        <v>#N/A</v>
      </c>
    </row>
    <row r="196" spans="4:20" ht="15" x14ac:dyDescent="0.3">
      <c r="D196" s="2" t="s">
        <v>138</v>
      </c>
      <c r="L196" t="str">
        <f t="shared" si="22"/>
        <v xml:space="preserve">        "id": 190,</v>
      </c>
      <c r="M196" t="e">
        <f t="shared" si="16"/>
        <v>#N/A</v>
      </c>
      <c r="N196" t="e">
        <f t="shared" si="17"/>
        <v>#N/A</v>
      </c>
      <c r="R196" s="5" t="str">
        <f t="shared" si="18"/>
        <v>190</v>
      </c>
      <c r="S196" s="10">
        <f t="shared" si="19"/>
        <v>190</v>
      </c>
      <c r="T196" s="6" t="e">
        <f t="shared" si="20"/>
        <v>#N/A</v>
      </c>
    </row>
    <row r="197" spans="4:20" ht="15" x14ac:dyDescent="0.3">
      <c r="D197" s="2" t="s">
        <v>139</v>
      </c>
      <c r="L197" t="str">
        <f t="shared" si="22"/>
        <v xml:space="preserve">        "id": 191,</v>
      </c>
      <c r="M197" t="e">
        <f t="shared" si="16"/>
        <v>#N/A</v>
      </c>
      <c r="N197" t="e">
        <f t="shared" si="17"/>
        <v>#N/A</v>
      </c>
      <c r="R197" s="5" t="str">
        <f t="shared" si="18"/>
        <v>191</v>
      </c>
      <c r="S197" s="10">
        <f t="shared" si="19"/>
        <v>191</v>
      </c>
      <c r="T197" s="6" t="e">
        <f t="shared" si="20"/>
        <v>#N/A</v>
      </c>
    </row>
    <row r="198" spans="4:20" ht="15" x14ac:dyDescent="0.3">
      <c r="D198" s="2" t="s">
        <v>28</v>
      </c>
      <c r="L198" t="str">
        <f t="shared" si="22"/>
        <v xml:space="preserve">        "id": 192,</v>
      </c>
      <c r="M198" t="e">
        <f t="shared" si="16"/>
        <v>#N/A</v>
      </c>
      <c r="N198" t="e">
        <f t="shared" si="17"/>
        <v>#N/A</v>
      </c>
      <c r="R198" s="5" t="str">
        <f t="shared" si="18"/>
        <v>192</v>
      </c>
      <c r="S198" s="10">
        <f t="shared" si="19"/>
        <v>192</v>
      </c>
      <c r="T198" s="6" t="e">
        <f t="shared" si="20"/>
        <v>#N/A</v>
      </c>
    </row>
    <row r="199" spans="4:20" ht="15" x14ac:dyDescent="0.3">
      <c r="D199" s="2" t="s">
        <v>24</v>
      </c>
      <c r="L199" t="str">
        <f t="shared" si="22"/>
        <v xml:space="preserve">        "id": 193,</v>
      </c>
      <c r="M199" t="e">
        <f t="shared" ref="M199:M209" si="23">MATCH(L199,$D$6:$D$593,0)</f>
        <v>#N/A</v>
      </c>
      <c r="N199" t="e">
        <f t="shared" ref="N199:N209" si="24">INDEX($D$6:$D$593,M199+1)</f>
        <v>#N/A</v>
      </c>
      <c r="R199" s="5" t="str">
        <f t="shared" ref="R199:R209" si="25">LEFT(RIGHT(L199,LEN(L199)-FIND(": ",L199)-1),LEN(RIGHT(L199,LEN(L199)-FIND(": ",L199)-1))-1)</f>
        <v>193</v>
      </c>
      <c r="S199" s="10">
        <f t="shared" ref="S199:S209" si="26">R199*1</f>
        <v>193</v>
      </c>
      <c r="T199" s="6" t="e">
        <f t="shared" ref="T199:T209" si="27">LEFT(RIGHT(N199,LEN(N199)-FIND(": """,N199)-2),LEN(RIGHT(N199,LEN(N199)-FIND(": """,N199)-2))-1)</f>
        <v>#N/A</v>
      </c>
    </row>
    <row r="200" spans="4:20" ht="15" x14ac:dyDescent="0.3">
      <c r="D200" s="2" t="s">
        <v>140</v>
      </c>
      <c r="L200" t="str">
        <f t="shared" si="22"/>
        <v xml:space="preserve">        "id": 194,</v>
      </c>
      <c r="M200" t="e">
        <f t="shared" si="23"/>
        <v>#N/A</v>
      </c>
      <c r="N200" t="e">
        <f t="shared" si="24"/>
        <v>#N/A</v>
      </c>
      <c r="R200" s="5" t="str">
        <f t="shared" si="25"/>
        <v>194</v>
      </c>
      <c r="S200" s="10">
        <f t="shared" si="26"/>
        <v>194</v>
      </c>
      <c r="T200" s="6" t="e">
        <f t="shared" si="27"/>
        <v>#N/A</v>
      </c>
    </row>
    <row r="201" spans="4:20" ht="15" x14ac:dyDescent="0.3">
      <c r="D201" s="2" t="s">
        <v>141</v>
      </c>
      <c r="L201" t="str">
        <f t="shared" si="22"/>
        <v xml:space="preserve">        "id": 195,</v>
      </c>
      <c r="M201" t="e">
        <f t="shared" si="23"/>
        <v>#N/A</v>
      </c>
      <c r="N201" t="e">
        <f t="shared" si="24"/>
        <v>#N/A</v>
      </c>
      <c r="R201" s="5" t="str">
        <f t="shared" si="25"/>
        <v>195</v>
      </c>
      <c r="S201" s="10">
        <f t="shared" si="26"/>
        <v>195</v>
      </c>
      <c r="T201" s="6" t="e">
        <f t="shared" si="27"/>
        <v>#N/A</v>
      </c>
    </row>
    <row r="202" spans="4:20" ht="15" x14ac:dyDescent="0.3">
      <c r="D202" s="2" t="s">
        <v>142</v>
      </c>
      <c r="L202" t="str">
        <f t="shared" si="22"/>
        <v xml:space="preserve">        "id": 196,</v>
      </c>
      <c r="M202" t="e">
        <f t="shared" si="23"/>
        <v>#N/A</v>
      </c>
      <c r="N202" t="e">
        <f t="shared" si="24"/>
        <v>#N/A</v>
      </c>
      <c r="R202" s="5" t="str">
        <f t="shared" si="25"/>
        <v>196</v>
      </c>
      <c r="S202" s="10">
        <f t="shared" si="26"/>
        <v>196</v>
      </c>
      <c r="T202" s="6" t="e">
        <f t="shared" si="27"/>
        <v>#N/A</v>
      </c>
    </row>
    <row r="203" spans="4:20" ht="15" x14ac:dyDescent="0.3">
      <c r="D203" s="2" t="s">
        <v>28</v>
      </c>
      <c r="L203" t="str">
        <f t="shared" si="22"/>
        <v xml:space="preserve">        "id": 197,</v>
      </c>
      <c r="M203" t="e">
        <f t="shared" si="23"/>
        <v>#N/A</v>
      </c>
      <c r="N203" t="e">
        <f t="shared" si="24"/>
        <v>#N/A</v>
      </c>
      <c r="R203" s="5" t="str">
        <f t="shared" si="25"/>
        <v>197</v>
      </c>
      <c r="S203" s="10">
        <f t="shared" si="26"/>
        <v>197</v>
      </c>
      <c r="T203" s="6" t="e">
        <f t="shared" si="27"/>
        <v>#N/A</v>
      </c>
    </row>
    <row r="204" spans="4:20" ht="15" x14ac:dyDescent="0.3">
      <c r="D204" s="2" t="s">
        <v>24</v>
      </c>
      <c r="L204" t="str">
        <f t="shared" si="22"/>
        <v xml:space="preserve">        "id": 198,</v>
      </c>
      <c r="M204" t="e">
        <f t="shared" si="23"/>
        <v>#N/A</v>
      </c>
      <c r="N204" t="e">
        <f t="shared" si="24"/>
        <v>#N/A</v>
      </c>
      <c r="R204" s="5" t="str">
        <f t="shared" si="25"/>
        <v>198</v>
      </c>
      <c r="S204" s="10">
        <f t="shared" si="26"/>
        <v>198</v>
      </c>
      <c r="T204" s="6" t="e">
        <f t="shared" si="27"/>
        <v>#N/A</v>
      </c>
    </row>
    <row r="205" spans="4:20" ht="15" x14ac:dyDescent="0.3">
      <c r="D205" s="2" t="s">
        <v>143</v>
      </c>
      <c r="L205" t="str">
        <f t="shared" si="22"/>
        <v xml:space="preserve">        "id": 199,</v>
      </c>
      <c r="M205" t="e">
        <f t="shared" si="23"/>
        <v>#N/A</v>
      </c>
      <c r="N205" t="e">
        <f t="shared" si="24"/>
        <v>#N/A</v>
      </c>
      <c r="R205" s="5" t="str">
        <f t="shared" si="25"/>
        <v>199</v>
      </c>
      <c r="S205" s="10">
        <f t="shared" si="26"/>
        <v>199</v>
      </c>
      <c r="T205" s="6" t="e">
        <f t="shared" si="27"/>
        <v>#N/A</v>
      </c>
    </row>
    <row r="206" spans="4:20" ht="15" x14ac:dyDescent="0.3">
      <c r="D206" s="2" t="s">
        <v>144</v>
      </c>
      <c r="L206" t="str">
        <f t="shared" si="22"/>
        <v xml:space="preserve">        "id": 200,</v>
      </c>
      <c r="M206" t="e">
        <f t="shared" si="23"/>
        <v>#N/A</v>
      </c>
      <c r="N206" t="e">
        <f t="shared" si="24"/>
        <v>#N/A</v>
      </c>
      <c r="R206" s="5" t="str">
        <f t="shared" si="25"/>
        <v>200</v>
      </c>
      <c r="S206" s="10">
        <f t="shared" si="26"/>
        <v>200</v>
      </c>
      <c r="T206" s="6" t="e">
        <f t="shared" si="27"/>
        <v>#N/A</v>
      </c>
    </row>
    <row r="207" spans="4:20" ht="15" x14ac:dyDescent="0.3">
      <c r="D207" s="2" t="s">
        <v>145</v>
      </c>
      <c r="L207" t="str">
        <f t="shared" si="22"/>
        <v xml:space="preserve">        "id": 201,</v>
      </c>
      <c r="M207" t="e">
        <f t="shared" si="23"/>
        <v>#N/A</v>
      </c>
      <c r="N207" t="e">
        <f t="shared" si="24"/>
        <v>#N/A</v>
      </c>
      <c r="R207" s="5" t="str">
        <f t="shared" si="25"/>
        <v>201</v>
      </c>
      <c r="S207" s="10">
        <f t="shared" si="26"/>
        <v>201</v>
      </c>
      <c r="T207" s="6" t="e">
        <f t="shared" si="27"/>
        <v>#N/A</v>
      </c>
    </row>
    <row r="208" spans="4:20" ht="15" x14ac:dyDescent="0.3">
      <c r="D208" s="2" t="s">
        <v>28</v>
      </c>
      <c r="L208" t="str">
        <f t="shared" si="22"/>
        <v xml:space="preserve">        "id": 202,</v>
      </c>
      <c r="M208" t="e">
        <f t="shared" si="23"/>
        <v>#N/A</v>
      </c>
      <c r="N208" t="e">
        <f t="shared" si="24"/>
        <v>#N/A</v>
      </c>
      <c r="R208" s="5" t="str">
        <f t="shared" si="25"/>
        <v>202</v>
      </c>
      <c r="S208" s="10">
        <f t="shared" si="26"/>
        <v>202</v>
      </c>
      <c r="T208" s="6" t="e">
        <f t="shared" si="27"/>
        <v>#N/A</v>
      </c>
    </row>
    <row r="209" spans="4:20" ht="15" x14ac:dyDescent="0.3">
      <c r="D209" s="2" t="s">
        <v>24</v>
      </c>
      <c r="L209" t="str">
        <f t="shared" si="22"/>
        <v xml:space="preserve">        "id": 203,</v>
      </c>
      <c r="M209" t="e">
        <f t="shared" si="23"/>
        <v>#N/A</v>
      </c>
      <c r="N209" t="e">
        <f t="shared" si="24"/>
        <v>#N/A</v>
      </c>
      <c r="R209" s="7" t="str">
        <f t="shared" si="25"/>
        <v>203</v>
      </c>
      <c r="S209" s="11">
        <f t="shared" si="26"/>
        <v>203</v>
      </c>
      <c r="T209" s="8" t="e">
        <f t="shared" si="27"/>
        <v>#N/A</v>
      </c>
    </row>
    <row r="210" spans="4:20" ht="15" x14ac:dyDescent="0.3">
      <c r="D210" s="2" t="s">
        <v>146</v>
      </c>
    </row>
    <row r="211" spans="4:20" ht="15" x14ac:dyDescent="0.3">
      <c r="D211" s="2" t="s">
        <v>147</v>
      </c>
    </row>
    <row r="212" spans="4:20" ht="15" x14ac:dyDescent="0.3">
      <c r="D212" s="2" t="s">
        <v>148</v>
      </c>
    </row>
    <row r="213" spans="4:20" ht="15" x14ac:dyDescent="0.3">
      <c r="D213" s="2" t="s">
        <v>28</v>
      </c>
    </row>
    <row r="214" spans="4:20" ht="15" x14ac:dyDescent="0.3">
      <c r="D214" s="2" t="s">
        <v>24</v>
      </c>
    </row>
    <row r="215" spans="4:20" ht="15" x14ac:dyDescent="0.3">
      <c r="D215" s="2" t="s">
        <v>149</v>
      </c>
    </row>
    <row r="216" spans="4:20" ht="15" x14ac:dyDescent="0.3">
      <c r="D216" s="2" t="s">
        <v>150</v>
      </c>
    </row>
    <row r="217" spans="4:20" ht="15" x14ac:dyDescent="0.3">
      <c r="D217" s="2" t="s">
        <v>151</v>
      </c>
    </row>
    <row r="218" spans="4:20" ht="15" x14ac:dyDescent="0.3">
      <c r="D218" s="2" t="s">
        <v>28</v>
      </c>
    </row>
    <row r="219" spans="4:20" ht="15" x14ac:dyDescent="0.3">
      <c r="D219" s="2" t="s">
        <v>24</v>
      </c>
    </row>
    <row r="220" spans="4:20" ht="15" x14ac:dyDescent="0.3">
      <c r="D220" s="2" t="s">
        <v>152</v>
      </c>
    </row>
    <row r="221" spans="4:20" ht="15" x14ac:dyDescent="0.3">
      <c r="D221" s="2" t="s">
        <v>153</v>
      </c>
    </row>
    <row r="222" spans="4:20" ht="15" x14ac:dyDescent="0.3">
      <c r="D222" s="2" t="s">
        <v>154</v>
      </c>
    </row>
    <row r="223" spans="4:20" ht="15" x14ac:dyDescent="0.3">
      <c r="D223" s="2" t="s">
        <v>28</v>
      </c>
    </row>
    <row r="224" spans="4:20" ht="15" x14ac:dyDescent="0.3">
      <c r="D224" s="2" t="s">
        <v>24</v>
      </c>
    </row>
    <row r="225" spans="4:4" ht="15" x14ac:dyDescent="0.3">
      <c r="D225" s="2" t="s">
        <v>155</v>
      </c>
    </row>
    <row r="226" spans="4:4" ht="15" x14ac:dyDescent="0.3">
      <c r="D226" s="2" t="s">
        <v>156</v>
      </c>
    </row>
    <row r="227" spans="4:4" ht="15" x14ac:dyDescent="0.3">
      <c r="D227" s="2" t="s">
        <v>157</v>
      </c>
    </row>
    <row r="228" spans="4:4" ht="15" x14ac:dyDescent="0.3">
      <c r="D228" s="2" t="s">
        <v>28</v>
      </c>
    </row>
    <row r="229" spans="4:4" ht="15" x14ac:dyDescent="0.3">
      <c r="D229" s="2" t="s">
        <v>24</v>
      </c>
    </row>
    <row r="230" spans="4:4" ht="15" x14ac:dyDescent="0.3">
      <c r="D230" s="2" t="s">
        <v>158</v>
      </c>
    </row>
    <row r="231" spans="4:4" ht="15" x14ac:dyDescent="0.3">
      <c r="D231" s="2" t="s">
        <v>159</v>
      </c>
    </row>
    <row r="232" spans="4:4" ht="15" x14ac:dyDescent="0.3">
      <c r="D232" s="2" t="s">
        <v>160</v>
      </c>
    </row>
    <row r="233" spans="4:4" ht="15" x14ac:dyDescent="0.3">
      <c r="D233" s="2" t="s">
        <v>28</v>
      </c>
    </row>
    <row r="234" spans="4:4" ht="15" x14ac:dyDescent="0.3">
      <c r="D234" s="2" t="s">
        <v>24</v>
      </c>
    </row>
    <row r="235" spans="4:4" ht="15" x14ac:dyDescent="0.3">
      <c r="D235" s="2" t="s">
        <v>161</v>
      </c>
    </row>
    <row r="236" spans="4:4" ht="15" x14ac:dyDescent="0.3">
      <c r="D236" s="2" t="s">
        <v>162</v>
      </c>
    </row>
    <row r="237" spans="4:4" ht="15" x14ac:dyDescent="0.3">
      <c r="D237" s="2" t="s">
        <v>163</v>
      </c>
    </row>
    <row r="238" spans="4:4" ht="15" x14ac:dyDescent="0.3">
      <c r="D238" s="2" t="s">
        <v>28</v>
      </c>
    </row>
    <row r="239" spans="4:4" ht="15" x14ac:dyDescent="0.3">
      <c r="D239" s="2" t="s">
        <v>24</v>
      </c>
    </row>
    <row r="240" spans="4:4" ht="15" x14ac:dyDescent="0.3">
      <c r="D240" s="2" t="s">
        <v>164</v>
      </c>
    </row>
    <row r="241" spans="4:4" ht="15" x14ac:dyDescent="0.3">
      <c r="D241" s="2" t="s">
        <v>165</v>
      </c>
    </row>
    <row r="242" spans="4:4" ht="15" x14ac:dyDescent="0.3">
      <c r="D242" s="2" t="s">
        <v>166</v>
      </c>
    </row>
    <row r="243" spans="4:4" ht="15" x14ac:dyDescent="0.3">
      <c r="D243" s="2" t="s">
        <v>28</v>
      </c>
    </row>
    <row r="244" spans="4:4" ht="15" x14ac:dyDescent="0.3">
      <c r="D244" s="2" t="s">
        <v>24</v>
      </c>
    </row>
    <row r="245" spans="4:4" ht="15" x14ac:dyDescent="0.3">
      <c r="D245" s="2" t="s">
        <v>167</v>
      </c>
    </row>
    <row r="246" spans="4:4" ht="15" x14ac:dyDescent="0.3">
      <c r="D246" s="2" t="s">
        <v>168</v>
      </c>
    </row>
    <row r="247" spans="4:4" ht="15" x14ac:dyDescent="0.3">
      <c r="D247" s="2" t="s">
        <v>169</v>
      </c>
    </row>
    <row r="248" spans="4:4" ht="15" x14ac:dyDescent="0.3">
      <c r="D248" s="2" t="s">
        <v>28</v>
      </c>
    </row>
    <row r="249" spans="4:4" ht="15" x14ac:dyDescent="0.3">
      <c r="D249" s="2" t="s">
        <v>24</v>
      </c>
    </row>
    <row r="250" spans="4:4" ht="15" x14ac:dyDescent="0.3">
      <c r="D250" s="2" t="s">
        <v>170</v>
      </c>
    </row>
    <row r="251" spans="4:4" ht="15" x14ac:dyDescent="0.3">
      <c r="D251" s="2" t="s">
        <v>171</v>
      </c>
    </row>
    <row r="252" spans="4:4" ht="15" x14ac:dyDescent="0.3">
      <c r="D252" s="2" t="s">
        <v>172</v>
      </c>
    </row>
    <row r="253" spans="4:4" ht="15" x14ac:dyDescent="0.3">
      <c r="D253" s="2" t="s">
        <v>28</v>
      </c>
    </row>
    <row r="254" spans="4:4" ht="15" x14ac:dyDescent="0.3">
      <c r="D254" s="2" t="s">
        <v>24</v>
      </c>
    </row>
    <row r="255" spans="4:4" ht="15" x14ac:dyDescent="0.3">
      <c r="D255" s="2" t="s">
        <v>173</v>
      </c>
    </row>
    <row r="256" spans="4:4" ht="15" x14ac:dyDescent="0.3">
      <c r="D256" s="2" t="s">
        <v>174</v>
      </c>
    </row>
    <row r="257" spans="4:4" ht="15" x14ac:dyDescent="0.3">
      <c r="D257" s="2" t="s">
        <v>175</v>
      </c>
    </row>
    <row r="258" spans="4:4" ht="15" x14ac:dyDescent="0.3">
      <c r="D258" s="2" t="s">
        <v>28</v>
      </c>
    </row>
    <row r="259" spans="4:4" ht="15" x14ac:dyDescent="0.3">
      <c r="D259" s="2" t="s">
        <v>24</v>
      </c>
    </row>
    <row r="260" spans="4:4" ht="15" x14ac:dyDescent="0.3">
      <c r="D260" s="2" t="s">
        <v>176</v>
      </c>
    </row>
    <row r="261" spans="4:4" ht="15" x14ac:dyDescent="0.3">
      <c r="D261" s="2" t="s">
        <v>177</v>
      </c>
    </row>
    <row r="262" spans="4:4" ht="15" x14ac:dyDescent="0.3">
      <c r="D262" s="2" t="s">
        <v>178</v>
      </c>
    </row>
    <row r="263" spans="4:4" ht="15" x14ac:dyDescent="0.3">
      <c r="D263" s="2" t="s">
        <v>28</v>
      </c>
    </row>
    <row r="264" spans="4:4" ht="15" x14ac:dyDescent="0.3">
      <c r="D264" s="2" t="s">
        <v>24</v>
      </c>
    </row>
    <row r="265" spans="4:4" ht="15" x14ac:dyDescent="0.3">
      <c r="D265" s="2" t="s">
        <v>179</v>
      </c>
    </row>
    <row r="266" spans="4:4" ht="15" x14ac:dyDescent="0.3">
      <c r="D266" s="2" t="s">
        <v>180</v>
      </c>
    </row>
    <row r="267" spans="4:4" ht="15" x14ac:dyDescent="0.3">
      <c r="D267" s="2" t="s">
        <v>181</v>
      </c>
    </row>
    <row r="268" spans="4:4" ht="15" x14ac:dyDescent="0.3">
      <c r="D268" s="2" t="s">
        <v>28</v>
      </c>
    </row>
    <row r="269" spans="4:4" ht="15" x14ac:dyDescent="0.3">
      <c r="D269" s="2" t="s">
        <v>24</v>
      </c>
    </row>
    <row r="270" spans="4:4" ht="15" x14ac:dyDescent="0.3">
      <c r="D270" s="2" t="s">
        <v>182</v>
      </c>
    </row>
    <row r="271" spans="4:4" ht="15" x14ac:dyDescent="0.3">
      <c r="D271" s="2" t="s">
        <v>183</v>
      </c>
    </row>
    <row r="272" spans="4:4" ht="15" x14ac:dyDescent="0.3">
      <c r="D272" s="2" t="s">
        <v>184</v>
      </c>
    </row>
    <row r="273" spans="4:4" ht="15" x14ac:dyDescent="0.3">
      <c r="D273" s="2" t="s">
        <v>28</v>
      </c>
    </row>
    <row r="274" spans="4:4" ht="15" x14ac:dyDescent="0.3">
      <c r="D274" s="2" t="s">
        <v>24</v>
      </c>
    </row>
    <row r="275" spans="4:4" ht="15" x14ac:dyDescent="0.3">
      <c r="D275" s="2" t="s">
        <v>185</v>
      </c>
    </row>
    <row r="276" spans="4:4" ht="15" x14ac:dyDescent="0.3">
      <c r="D276" s="2" t="s">
        <v>186</v>
      </c>
    </row>
    <row r="277" spans="4:4" ht="15" x14ac:dyDescent="0.3">
      <c r="D277" s="2" t="s">
        <v>187</v>
      </c>
    </row>
    <row r="278" spans="4:4" ht="15" x14ac:dyDescent="0.3">
      <c r="D278" s="2" t="s">
        <v>28</v>
      </c>
    </row>
    <row r="279" spans="4:4" ht="15" x14ac:dyDescent="0.3">
      <c r="D279" s="2" t="s">
        <v>24</v>
      </c>
    </row>
    <row r="280" spans="4:4" ht="15" x14ac:dyDescent="0.3">
      <c r="D280" s="2" t="s">
        <v>188</v>
      </c>
    </row>
    <row r="281" spans="4:4" ht="15" x14ac:dyDescent="0.3">
      <c r="D281" s="2" t="s">
        <v>189</v>
      </c>
    </row>
    <row r="282" spans="4:4" ht="15" x14ac:dyDescent="0.3">
      <c r="D282" s="2" t="s">
        <v>190</v>
      </c>
    </row>
    <row r="283" spans="4:4" ht="15" x14ac:dyDescent="0.3">
      <c r="D283" s="2" t="s">
        <v>28</v>
      </c>
    </row>
    <row r="284" spans="4:4" ht="15" x14ac:dyDescent="0.3">
      <c r="D284" s="2" t="s">
        <v>24</v>
      </c>
    </row>
    <row r="285" spans="4:4" ht="15" x14ac:dyDescent="0.3">
      <c r="D285" s="2" t="s">
        <v>191</v>
      </c>
    </row>
    <row r="286" spans="4:4" ht="15" x14ac:dyDescent="0.3">
      <c r="D286" s="2" t="s">
        <v>192</v>
      </c>
    </row>
    <row r="287" spans="4:4" ht="15" x14ac:dyDescent="0.3">
      <c r="D287" s="2" t="s">
        <v>193</v>
      </c>
    </row>
    <row r="288" spans="4:4" ht="15" x14ac:dyDescent="0.3">
      <c r="D288" s="2" t="s">
        <v>28</v>
      </c>
    </row>
    <row r="289" spans="4:4" ht="15" x14ac:dyDescent="0.3">
      <c r="D289" s="2" t="s">
        <v>24</v>
      </c>
    </row>
    <row r="290" spans="4:4" ht="15" x14ac:dyDescent="0.3">
      <c r="D290" s="2" t="s">
        <v>194</v>
      </c>
    </row>
    <row r="291" spans="4:4" ht="15" x14ac:dyDescent="0.3">
      <c r="D291" s="2" t="s">
        <v>195</v>
      </c>
    </row>
    <row r="292" spans="4:4" ht="15" x14ac:dyDescent="0.3">
      <c r="D292" s="2" t="s">
        <v>196</v>
      </c>
    </row>
    <row r="293" spans="4:4" ht="15" x14ac:dyDescent="0.3">
      <c r="D293" s="2" t="s">
        <v>28</v>
      </c>
    </row>
    <row r="294" spans="4:4" ht="15" x14ac:dyDescent="0.3">
      <c r="D294" s="2" t="s">
        <v>24</v>
      </c>
    </row>
    <row r="295" spans="4:4" ht="15" x14ac:dyDescent="0.3">
      <c r="D295" s="2" t="s">
        <v>197</v>
      </c>
    </row>
    <row r="296" spans="4:4" ht="15" x14ac:dyDescent="0.3">
      <c r="D296" s="2" t="s">
        <v>198</v>
      </c>
    </row>
    <row r="297" spans="4:4" ht="15" x14ac:dyDescent="0.3">
      <c r="D297" s="2" t="s">
        <v>199</v>
      </c>
    </row>
    <row r="298" spans="4:4" ht="15" x14ac:dyDescent="0.3">
      <c r="D298" s="2" t="s">
        <v>28</v>
      </c>
    </row>
    <row r="299" spans="4:4" ht="15" x14ac:dyDescent="0.3">
      <c r="D299" s="2" t="s">
        <v>24</v>
      </c>
    </row>
    <row r="300" spans="4:4" ht="15" x14ac:dyDescent="0.3">
      <c r="D300" s="2" t="s">
        <v>200</v>
      </c>
    </row>
    <row r="301" spans="4:4" ht="15" x14ac:dyDescent="0.3">
      <c r="D301" s="2" t="s">
        <v>201</v>
      </c>
    </row>
    <row r="302" spans="4:4" ht="15" x14ac:dyDescent="0.3">
      <c r="D302" s="2" t="s">
        <v>202</v>
      </c>
    </row>
    <row r="303" spans="4:4" ht="15" x14ac:dyDescent="0.3">
      <c r="D303" s="2" t="s">
        <v>28</v>
      </c>
    </row>
    <row r="304" spans="4:4" ht="15" x14ac:dyDescent="0.3">
      <c r="D304" s="2" t="s">
        <v>24</v>
      </c>
    </row>
    <row r="305" spans="4:4" ht="15" x14ac:dyDescent="0.3">
      <c r="D305" s="2" t="s">
        <v>203</v>
      </c>
    </row>
    <row r="306" spans="4:4" ht="15" x14ac:dyDescent="0.3">
      <c r="D306" s="2" t="s">
        <v>204</v>
      </c>
    </row>
    <row r="307" spans="4:4" ht="15" x14ac:dyDescent="0.3">
      <c r="D307" s="2" t="s">
        <v>205</v>
      </c>
    </row>
    <row r="308" spans="4:4" ht="15" x14ac:dyDescent="0.3">
      <c r="D308" s="2" t="s">
        <v>28</v>
      </c>
    </row>
    <row r="309" spans="4:4" ht="15" x14ac:dyDescent="0.3">
      <c r="D309" s="2" t="s">
        <v>24</v>
      </c>
    </row>
    <row r="310" spans="4:4" ht="15" x14ac:dyDescent="0.3">
      <c r="D310" s="2" t="s">
        <v>206</v>
      </c>
    </row>
    <row r="311" spans="4:4" ht="15" x14ac:dyDescent="0.3">
      <c r="D311" s="2" t="s">
        <v>207</v>
      </c>
    </row>
    <row r="312" spans="4:4" ht="15" x14ac:dyDescent="0.3">
      <c r="D312" s="2" t="s">
        <v>208</v>
      </c>
    </row>
    <row r="313" spans="4:4" ht="15" x14ac:dyDescent="0.3">
      <c r="D313" s="2" t="s">
        <v>28</v>
      </c>
    </row>
    <row r="314" spans="4:4" ht="15" x14ac:dyDescent="0.3">
      <c r="D314" s="2" t="s">
        <v>24</v>
      </c>
    </row>
    <row r="315" spans="4:4" ht="15" x14ac:dyDescent="0.3">
      <c r="D315" s="2" t="s">
        <v>209</v>
      </c>
    </row>
    <row r="316" spans="4:4" ht="15" x14ac:dyDescent="0.3">
      <c r="D316" s="2" t="s">
        <v>210</v>
      </c>
    </row>
    <row r="317" spans="4:4" ht="15" x14ac:dyDescent="0.3">
      <c r="D317" s="2" t="s">
        <v>211</v>
      </c>
    </row>
    <row r="318" spans="4:4" ht="15" x14ac:dyDescent="0.3">
      <c r="D318" s="2" t="s">
        <v>28</v>
      </c>
    </row>
    <row r="319" spans="4:4" ht="15" x14ac:dyDescent="0.3">
      <c r="D319" s="2" t="s">
        <v>24</v>
      </c>
    </row>
    <row r="320" spans="4:4" ht="15" x14ac:dyDescent="0.3">
      <c r="D320" s="2" t="s">
        <v>212</v>
      </c>
    </row>
    <row r="321" spans="4:4" ht="15" x14ac:dyDescent="0.3">
      <c r="D321" s="2" t="s">
        <v>213</v>
      </c>
    </row>
    <row r="322" spans="4:4" ht="15" x14ac:dyDescent="0.3">
      <c r="D322" s="2" t="s">
        <v>214</v>
      </c>
    </row>
    <row r="323" spans="4:4" ht="15" x14ac:dyDescent="0.3">
      <c r="D323" s="2" t="s">
        <v>28</v>
      </c>
    </row>
    <row r="324" spans="4:4" ht="15" x14ac:dyDescent="0.3">
      <c r="D324" s="2" t="s">
        <v>24</v>
      </c>
    </row>
    <row r="325" spans="4:4" ht="15" x14ac:dyDescent="0.3">
      <c r="D325" s="2" t="s">
        <v>215</v>
      </c>
    </row>
    <row r="326" spans="4:4" ht="15" x14ac:dyDescent="0.3">
      <c r="D326" s="2" t="s">
        <v>216</v>
      </c>
    </row>
    <row r="327" spans="4:4" ht="15" x14ac:dyDescent="0.3">
      <c r="D327" s="2" t="s">
        <v>217</v>
      </c>
    </row>
    <row r="328" spans="4:4" ht="15" x14ac:dyDescent="0.3">
      <c r="D328" s="2" t="s">
        <v>28</v>
      </c>
    </row>
    <row r="329" spans="4:4" ht="15" x14ac:dyDescent="0.3">
      <c r="D329" s="2" t="s">
        <v>24</v>
      </c>
    </row>
    <row r="330" spans="4:4" ht="15" x14ac:dyDescent="0.3">
      <c r="D330" s="2" t="s">
        <v>218</v>
      </c>
    </row>
    <row r="331" spans="4:4" ht="15" x14ac:dyDescent="0.3">
      <c r="D331" s="2" t="s">
        <v>219</v>
      </c>
    </row>
    <row r="332" spans="4:4" ht="15" x14ac:dyDescent="0.3">
      <c r="D332" s="2" t="s">
        <v>220</v>
      </c>
    </row>
    <row r="333" spans="4:4" ht="15" x14ac:dyDescent="0.3">
      <c r="D333" s="2" t="s">
        <v>28</v>
      </c>
    </row>
    <row r="334" spans="4:4" ht="15" x14ac:dyDescent="0.3">
      <c r="D334" s="2" t="s">
        <v>24</v>
      </c>
    </row>
    <row r="335" spans="4:4" ht="15" x14ac:dyDescent="0.3">
      <c r="D335" s="2" t="s">
        <v>221</v>
      </c>
    </row>
    <row r="336" spans="4:4" ht="15" x14ac:dyDescent="0.3">
      <c r="D336" s="2" t="s">
        <v>222</v>
      </c>
    </row>
    <row r="337" spans="4:4" ht="15" x14ac:dyDescent="0.3">
      <c r="D337" s="2" t="s">
        <v>223</v>
      </c>
    </row>
    <row r="338" spans="4:4" ht="15" x14ac:dyDescent="0.3">
      <c r="D338" s="2" t="s">
        <v>28</v>
      </c>
    </row>
    <row r="339" spans="4:4" ht="15" x14ac:dyDescent="0.3">
      <c r="D339" s="2" t="s">
        <v>24</v>
      </c>
    </row>
    <row r="340" spans="4:4" ht="15" x14ac:dyDescent="0.3">
      <c r="D340" s="2" t="s">
        <v>224</v>
      </c>
    </row>
    <row r="341" spans="4:4" ht="15" x14ac:dyDescent="0.3">
      <c r="D341" s="2" t="s">
        <v>225</v>
      </c>
    </row>
    <row r="342" spans="4:4" ht="15" x14ac:dyDescent="0.3">
      <c r="D342" s="2" t="s">
        <v>226</v>
      </c>
    </row>
    <row r="343" spans="4:4" ht="15" x14ac:dyDescent="0.3">
      <c r="D343" s="2" t="s">
        <v>28</v>
      </c>
    </row>
    <row r="344" spans="4:4" ht="15" x14ac:dyDescent="0.3">
      <c r="D344" s="2" t="s">
        <v>24</v>
      </c>
    </row>
    <row r="345" spans="4:4" ht="15" x14ac:dyDescent="0.3">
      <c r="D345" s="2" t="s">
        <v>227</v>
      </c>
    </row>
    <row r="346" spans="4:4" ht="15" x14ac:dyDescent="0.3">
      <c r="D346" s="2" t="s">
        <v>228</v>
      </c>
    </row>
    <row r="347" spans="4:4" ht="15" x14ac:dyDescent="0.3">
      <c r="D347" s="2" t="s">
        <v>229</v>
      </c>
    </row>
    <row r="348" spans="4:4" ht="15" x14ac:dyDescent="0.3">
      <c r="D348" s="2" t="s">
        <v>28</v>
      </c>
    </row>
    <row r="349" spans="4:4" ht="15" x14ac:dyDescent="0.3">
      <c r="D349" s="2" t="s">
        <v>24</v>
      </c>
    </row>
    <row r="350" spans="4:4" ht="15" x14ac:dyDescent="0.3">
      <c r="D350" s="2" t="s">
        <v>230</v>
      </c>
    </row>
    <row r="351" spans="4:4" ht="15" x14ac:dyDescent="0.3">
      <c r="D351" s="2" t="s">
        <v>231</v>
      </c>
    </row>
    <row r="352" spans="4:4" ht="15" x14ac:dyDescent="0.3">
      <c r="D352" s="2" t="s">
        <v>232</v>
      </c>
    </row>
    <row r="353" spans="4:4" ht="15" x14ac:dyDescent="0.3">
      <c r="D353" s="2" t="s">
        <v>28</v>
      </c>
    </row>
    <row r="354" spans="4:4" ht="15" x14ac:dyDescent="0.3">
      <c r="D354" s="2" t="s">
        <v>24</v>
      </c>
    </row>
    <row r="355" spans="4:4" ht="15" x14ac:dyDescent="0.3">
      <c r="D355" s="2" t="s">
        <v>233</v>
      </c>
    </row>
    <row r="356" spans="4:4" ht="15" x14ac:dyDescent="0.3">
      <c r="D356" s="2" t="s">
        <v>234</v>
      </c>
    </row>
    <row r="357" spans="4:4" ht="15" x14ac:dyDescent="0.3">
      <c r="D357" s="2" t="s">
        <v>235</v>
      </c>
    </row>
    <row r="358" spans="4:4" ht="15" x14ac:dyDescent="0.3">
      <c r="D358" s="2" t="s">
        <v>28</v>
      </c>
    </row>
    <row r="359" spans="4:4" ht="15" x14ac:dyDescent="0.3">
      <c r="D359" s="2" t="s">
        <v>24</v>
      </c>
    </row>
    <row r="360" spans="4:4" ht="15" x14ac:dyDescent="0.3">
      <c r="D360" s="2" t="s">
        <v>236</v>
      </c>
    </row>
    <row r="361" spans="4:4" ht="15" x14ac:dyDescent="0.3">
      <c r="D361" s="2" t="s">
        <v>237</v>
      </c>
    </row>
    <row r="362" spans="4:4" ht="15" x14ac:dyDescent="0.3">
      <c r="D362" s="2" t="s">
        <v>238</v>
      </c>
    </row>
    <row r="363" spans="4:4" ht="15" x14ac:dyDescent="0.3">
      <c r="D363" s="2" t="s">
        <v>28</v>
      </c>
    </row>
    <row r="364" spans="4:4" ht="15" x14ac:dyDescent="0.3">
      <c r="D364" s="2" t="s">
        <v>24</v>
      </c>
    </row>
    <row r="365" spans="4:4" ht="15" x14ac:dyDescent="0.3">
      <c r="D365" s="2" t="s">
        <v>239</v>
      </c>
    </row>
    <row r="366" spans="4:4" ht="15" x14ac:dyDescent="0.3">
      <c r="D366" s="2" t="s">
        <v>240</v>
      </c>
    </row>
    <row r="367" spans="4:4" ht="15" x14ac:dyDescent="0.3">
      <c r="D367" s="2" t="s">
        <v>241</v>
      </c>
    </row>
    <row r="368" spans="4:4" ht="15" x14ac:dyDescent="0.3">
      <c r="D368" s="2" t="s">
        <v>28</v>
      </c>
    </row>
    <row r="369" spans="4:4" ht="15" x14ac:dyDescent="0.3">
      <c r="D369" s="2" t="s">
        <v>24</v>
      </c>
    </row>
    <row r="370" spans="4:4" ht="15" x14ac:dyDescent="0.3">
      <c r="D370" s="2" t="s">
        <v>242</v>
      </c>
    </row>
    <row r="371" spans="4:4" ht="15" x14ac:dyDescent="0.3">
      <c r="D371" s="2" t="s">
        <v>243</v>
      </c>
    </row>
    <row r="372" spans="4:4" ht="15" x14ac:dyDescent="0.3">
      <c r="D372" s="2" t="s">
        <v>244</v>
      </c>
    </row>
    <row r="373" spans="4:4" ht="15" x14ac:dyDescent="0.3">
      <c r="D373" s="2" t="s">
        <v>28</v>
      </c>
    </row>
    <row r="374" spans="4:4" ht="15" x14ac:dyDescent="0.3">
      <c r="D374" s="2" t="s">
        <v>24</v>
      </c>
    </row>
    <row r="375" spans="4:4" ht="15" x14ac:dyDescent="0.3">
      <c r="D375" s="2" t="s">
        <v>245</v>
      </c>
    </row>
    <row r="376" spans="4:4" ht="15" x14ac:dyDescent="0.3">
      <c r="D376" s="2" t="s">
        <v>246</v>
      </c>
    </row>
    <row r="377" spans="4:4" ht="15" x14ac:dyDescent="0.3">
      <c r="D377" s="2" t="s">
        <v>247</v>
      </c>
    </row>
    <row r="378" spans="4:4" ht="15" x14ac:dyDescent="0.3">
      <c r="D378" s="2" t="s">
        <v>28</v>
      </c>
    </row>
    <row r="379" spans="4:4" ht="15" x14ac:dyDescent="0.3">
      <c r="D379" s="2" t="s">
        <v>24</v>
      </c>
    </row>
    <row r="380" spans="4:4" ht="15" x14ac:dyDescent="0.3">
      <c r="D380" s="2" t="s">
        <v>248</v>
      </c>
    </row>
    <row r="381" spans="4:4" ht="15" x14ac:dyDescent="0.3">
      <c r="D381" s="2" t="s">
        <v>249</v>
      </c>
    </row>
    <row r="382" spans="4:4" ht="15" x14ac:dyDescent="0.3">
      <c r="D382" s="2" t="s">
        <v>250</v>
      </c>
    </row>
    <row r="383" spans="4:4" ht="15" x14ac:dyDescent="0.3">
      <c r="D383" s="2" t="s">
        <v>28</v>
      </c>
    </row>
    <row r="384" spans="4:4" ht="15" x14ac:dyDescent="0.3">
      <c r="D384" s="2" t="s">
        <v>24</v>
      </c>
    </row>
    <row r="385" spans="4:4" ht="15" x14ac:dyDescent="0.3">
      <c r="D385" s="2" t="s">
        <v>251</v>
      </c>
    </row>
    <row r="386" spans="4:4" ht="15" x14ac:dyDescent="0.3">
      <c r="D386" s="2" t="s">
        <v>252</v>
      </c>
    </row>
    <row r="387" spans="4:4" ht="15" x14ac:dyDescent="0.3">
      <c r="D387" s="2" t="s">
        <v>253</v>
      </c>
    </row>
    <row r="388" spans="4:4" ht="15" x14ac:dyDescent="0.3">
      <c r="D388" s="2" t="s">
        <v>28</v>
      </c>
    </row>
    <row r="389" spans="4:4" ht="15" x14ac:dyDescent="0.3">
      <c r="D389" s="2" t="s">
        <v>24</v>
      </c>
    </row>
    <row r="390" spans="4:4" ht="15" x14ac:dyDescent="0.3">
      <c r="D390" s="2" t="s">
        <v>254</v>
      </c>
    </row>
    <row r="391" spans="4:4" ht="15" x14ac:dyDescent="0.3">
      <c r="D391" s="2" t="s">
        <v>255</v>
      </c>
    </row>
    <row r="392" spans="4:4" ht="15" x14ac:dyDescent="0.3">
      <c r="D392" s="2" t="s">
        <v>256</v>
      </c>
    </row>
    <row r="393" spans="4:4" ht="15" x14ac:dyDescent="0.3">
      <c r="D393" s="2" t="s">
        <v>28</v>
      </c>
    </row>
    <row r="394" spans="4:4" ht="15" x14ac:dyDescent="0.3">
      <c r="D394" s="2" t="s">
        <v>24</v>
      </c>
    </row>
    <row r="395" spans="4:4" ht="15" x14ac:dyDescent="0.3">
      <c r="D395" s="2" t="s">
        <v>257</v>
      </c>
    </row>
    <row r="396" spans="4:4" ht="15" x14ac:dyDescent="0.3">
      <c r="D396" s="2" t="s">
        <v>258</v>
      </c>
    </row>
    <row r="397" spans="4:4" ht="15" x14ac:dyDescent="0.3">
      <c r="D397" s="2" t="s">
        <v>259</v>
      </c>
    </row>
    <row r="398" spans="4:4" ht="15" x14ac:dyDescent="0.3">
      <c r="D398" s="2" t="s">
        <v>28</v>
      </c>
    </row>
    <row r="399" spans="4:4" ht="15" x14ac:dyDescent="0.3">
      <c r="D399" s="2" t="s">
        <v>24</v>
      </c>
    </row>
    <row r="400" spans="4:4" ht="15" x14ac:dyDescent="0.3">
      <c r="D400" s="2" t="s">
        <v>260</v>
      </c>
    </row>
    <row r="401" spans="4:4" ht="15" x14ac:dyDescent="0.3">
      <c r="D401" s="2" t="s">
        <v>261</v>
      </c>
    </row>
    <row r="402" spans="4:4" ht="15" x14ac:dyDescent="0.3">
      <c r="D402" s="2" t="s">
        <v>262</v>
      </c>
    </row>
    <row r="403" spans="4:4" ht="15" x14ac:dyDescent="0.3">
      <c r="D403" s="2" t="s">
        <v>28</v>
      </c>
    </row>
    <row r="404" spans="4:4" ht="15" x14ac:dyDescent="0.3">
      <c r="D404" s="2" t="s">
        <v>24</v>
      </c>
    </row>
    <row r="405" spans="4:4" ht="15" x14ac:dyDescent="0.3">
      <c r="D405" s="2" t="s">
        <v>263</v>
      </c>
    </row>
    <row r="406" spans="4:4" ht="15" x14ac:dyDescent="0.3">
      <c r="D406" s="2" t="s">
        <v>264</v>
      </c>
    </row>
    <row r="407" spans="4:4" ht="15" x14ac:dyDescent="0.3">
      <c r="D407" s="2" t="s">
        <v>265</v>
      </c>
    </row>
    <row r="408" spans="4:4" ht="15" x14ac:dyDescent="0.3">
      <c r="D408" s="2" t="s">
        <v>28</v>
      </c>
    </row>
    <row r="409" spans="4:4" ht="15" x14ac:dyDescent="0.3">
      <c r="D409" s="2" t="s">
        <v>24</v>
      </c>
    </row>
    <row r="410" spans="4:4" ht="15" x14ac:dyDescent="0.3">
      <c r="D410" s="2" t="s">
        <v>266</v>
      </c>
    </row>
    <row r="411" spans="4:4" ht="15" x14ac:dyDescent="0.3">
      <c r="D411" s="2" t="s">
        <v>267</v>
      </c>
    </row>
    <row r="412" spans="4:4" ht="15" x14ac:dyDescent="0.3">
      <c r="D412" s="2" t="s">
        <v>268</v>
      </c>
    </row>
    <row r="413" spans="4:4" ht="15" x14ac:dyDescent="0.3">
      <c r="D413" s="2" t="s">
        <v>28</v>
      </c>
    </row>
    <row r="414" spans="4:4" ht="15" x14ac:dyDescent="0.3">
      <c r="D414" s="2" t="s">
        <v>24</v>
      </c>
    </row>
    <row r="415" spans="4:4" ht="15" x14ac:dyDescent="0.3">
      <c r="D415" s="2" t="s">
        <v>269</v>
      </c>
    </row>
    <row r="416" spans="4:4" ht="15" x14ac:dyDescent="0.3">
      <c r="D416" s="2" t="s">
        <v>270</v>
      </c>
    </row>
    <row r="417" spans="4:4" ht="15" x14ac:dyDescent="0.3">
      <c r="D417" s="2" t="s">
        <v>271</v>
      </c>
    </row>
    <row r="418" spans="4:4" ht="15" x14ac:dyDescent="0.3">
      <c r="D418" s="2" t="s">
        <v>28</v>
      </c>
    </row>
    <row r="419" spans="4:4" ht="15" x14ac:dyDescent="0.3">
      <c r="D419" s="2" t="s">
        <v>24</v>
      </c>
    </row>
    <row r="420" spans="4:4" ht="15" x14ac:dyDescent="0.3">
      <c r="D420" s="2" t="s">
        <v>272</v>
      </c>
    </row>
    <row r="421" spans="4:4" ht="15" x14ac:dyDescent="0.3">
      <c r="D421" s="2" t="s">
        <v>273</v>
      </c>
    </row>
    <row r="422" spans="4:4" ht="15" x14ac:dyDescent="0.3">
      <c r="D422" s="2" t="s">
        <v>274</v>
      </c>
    </row>
    <row r="423" spans="4:4" ht="15" x14ac:dyDescent="0.3">
      <c r="D423" s="2" t="s">
        <v>28</v>
      </c>
    </row>
    <row r="424" spans="4:4" ht="15" x14ac:dyDescent="0.3">
      <c r="D424" s="2" t="s">
        <v>24</v>
      </c>
    </row>
    <row r="425" spans="4:4" ht="15" x14ac:dyDescent="0.3">
      <c r="D425" s="2" t="s">
        <v>275</v>
      </c>
    </row>
    <row r="426" spans="4:4" ht="15" x14ac:dyDescent="0.3">
      <c r="D426" s="2" t="s">
        <v>276</v>
      </c>
    </row>
    <row r="427" spans="4:4" ht="15" x14ac:dyDescent="0.3">
      <c r="D427" s="2" t="s">
        <v>277</v>
      </c>
    </row>
    <row r="428" spans="4:4" ht="15" x14ac:dyDescent="0.3">
      <c r="D428" s="2" t="s">
        <v>28</v>
      </c>
    </row>
    <row r="429" spans="4:4" ht="15" x14ac:dyDescent="0.3">
      <c r="D429" s="2" t="s">
        <v>24</v>
      </c>
    </row>
    <row r="430" spans="4:4" ht="15" x14ac:dyDescent="0.3">
      <c r="D430" s="2" t="s">
        <v>278</v>
      </c>
    </row>
    <row r="431" spans="4:4" ht="15" x14ac:dyDescent="0.3">
      <c r="D431" s="2" t="s">
        <v>279</v>
      </c>
    </row>
    <row r="432" spans="4:4" ht="15" x14ac:dyDescent="0.3">
      <c r="D432" s="2" t="s">
        <v>280</v>
      </c>
    </row>
    <row r="433" spans="4:4" ht="15" x14ac:dyDescent="0.3">
      <c r="D433" s="2" t="s">
        <v>28</v>
      </c>
    </row>
    <row r="434" spans="4:4" ht="15" x14ac:dyDescent="0.3">
      <c r="D434" s="2" t="s">
        <v>24</v>
      </c>
    </row>
    <row r="435" spans="4:4" ht="15" x14ac:dyDescent="0.3">
      <c r="D435" s="2" t="s">
        <v>281</v>
      </c>
    </row>
    <row r="436" spans="4:4" ht="15" x14ac:dyDescent="0.3">
      <c r="D436" s="2" t="s">
        <v>282</v>
      </c>
    </row>
    <row r="437" spans="4:4" ht="15" x14ac:dyDescent="0.3">
      <c r="D437" s="2" t="s">
        <v>283</v>
      </c>
    </row>
    <row r="438" spans="4:4" ht="15" x14ac:dyDescent="0.3">
      <c r="D438" s="2" t="s">
        <v>28</v>
      </c>
    </row>
    <row r="439" spans="4:4" ht="15" x14ac:dyDescent="0.3">
      <c r="D439" s="2" t="s">
        <v>24</v>
      </c>
    </row>
    <row r="440" spans="4:4" ht="15" x14ac:dyDescent="0.3">
      <c r="D440" s="2" t="s">
        <v>284</v>
      </c>
    </row>
    <row r="441" spans="4:4" ht="15" x14ac:dyDescent="0.3">
      <c r="D441" s="2" t="s">
        <v>285</v>
      </c>
    </row>
    <row r="442" spans="4:4" ht="15" x14ac:dyDescent="0.3">
      <c r="D442" s="2" t="s">
        <v>286</v>
      </c>
    </row>
    <row r="443" spans="4:4" ht="15" x14ac:dyDescent="0.3">
      <c r="D443" s="2" t="s">
        <v>28</v>
      </c>
    </row>
    <row r="444" spans="4:4" ht="15" x14ac:dyDescent="0.3">
      <c r="D444" s="2" t="s">
        <v>24</v>
      </c>
    </row>
    <row r="445" spans="4:4" ht="15" x14ac:dyDescent="0.3">
      <c r="D445" s="2" t="s">
        <v>287</v>
      </c>
    </row>
    <row r="446" spans="4:4" ht="15" x14ac:dyDescent="0.3">
      <c r="D446" s="2" t="s">
        <v>288</v>
      </c>
    </row>
    <row r="447" spans="4:4" ht="15" x14ac:dyDescent="0.3">
      <c r="D447" s="2" t="s">
        <v>289</v>
      </c>
    </row>
    <row r="448" spans="4:4" ht="15" x14ac:dyDescent="0.3">
      <c r="D448" s="2" t="s">
        <v>28</v>
      </c>
    </row>
    <row r="449" spans="4:4" ht="15" x14ac:dyDescent="0.3">
      <c r="D449" s="2" t="s">
        <v>24</v>
      </c>
    </row>
    <row r="450" spans="4:4" ht="15" x14ac:dyDescent="0.3">
      <c r="D450" s="2" t="s">
        <v>290</v>
      </c>
    </row>
    <row r="451" spans="4:4" ht="15" x14ac:dyDescent="0.3">
      <c r="D451" s="2" t="s">
        <v>291</v>
      </c>
    </row>
    <row r="452" spans="4:4" ht="15" x14ac:dyDescent="0.3">
      <c r="D452" s="2" t="s">
        <v>292</v>
      </c>
    </row>
    <row r="453" spans="4:4" ht="15" x14ac:dyDescent="0.3">
      <c r="D453" s="2" t="s">
        <v>28</v>
      </c>
    </row>
    <row r="454" spans="4:4" ht="15" x14ac:dyDescent="0.3">
      <c r="D454" s="2" t="s">
        <v>24</v>
      </c>
    </row>
    <row r="455" spans="4:4" ht="15" x14ac:dyDescent="0.3">
      <c r="D455" s="2" t="s">
        <v>293</v>
      </c>
    </row>
    <row r="456" spans="4:4" ht="15" x14ac:dyDescent="0.3">
      <c r="D456" s="2" t="s">
        <v>294</v>
      </c>
    </row>
    <row r="457" spans="4:4" ht="15" x14ac:dyDescent="0.3">
      <c r="D457" s="2" t="s">
        <v>295</v>
      </c>
    </row>
    <row r="458" spans="4:4" ht="15" x14ac:dyDescent="0.3">
      <c r="D458" s="2" t="s">
        <v>28</v>
      </c>
    </row>
    <row r="459" spans="4:4" ht="15" x14ac:dyDescent="0.3">
      <c r="D459" s="2" t="s">
        <v>24</v>
      </c>
    </row>
    <row r="460" spans="4:4" ht="15" x14ac:dyDescent="0.3">
      <c r="D460" s="2" t="s">
        <v>296</v>
      </c>
    </row>
    <row r="461" spans="4:4" ht="15" x14ac:dyDescent="0.3">
      <c r="D461" s="2" t="s">
        <v>297</v>
      </c>
    </row>
    <row r="462" spans="4:4" ht="15" x14ac:dyDescent="0.3">
      <c r="D462" s="2" t="s">
        <v>298</v>
      </c>
    </row>
    <row r="463" spans="4:4" ht="15" x14ac:dyDescent="0.3">
      <c r="D463" s="2" t="s">
        <v>28</v>
      </c>
    </row>
    <row r="464" spans="4:4" ht="15" x14ac:dyDescent="0.3">
      <c r="D464" s="2" t="s">
        <v>24</v>
      </c>
    </row>
    <row r="465" spans="4:4" ht="15" x14ac:dyDescent="0.3">
      <c r="D465" s="2" t="s">
        <v>299</v>
      </c>
    </row>
    <row r="466" spans="4:4" ht="15" x14ac:dyDescent="0.3">
      <c r="D466" s="2" t="s">
        <v>300</v>
      </c>
    </row>
    <row r="467" spans="4:4" ht="15" x14ac:dyDescent="0.3">
      <c r="D467" s="2" t="s">
        <v>301</v>
      </c>
    </row>
    <row r="468" spans="4:4" ht="15" x14ac:dyDescent="0.3">
      <c r="D468" s="2" t="s">
        <v>28</v>
      </c>
    </row>
    <row r="469" spans="4:4" ht="15" x14ac:dyDescent="0.3">
      <c r="D469" s="2" t="s">
        <v>24</v>
      </c>
    </row>
    <row r="470" spans="4:4" ht="15" x14ac:dyDescent="0.3">
      <c r="D470" s="2" t="s">
        <v>302</v>
      </c>
    </row>
    <row r="471" spans="4:4" ht="15" x14ac:dyDescent="0.3">
      <c r="D471" s="2" t="s">
        <v>303</v>
      </c>
    </row>
    <row r="472" spans="4:4" ht="15" x14ac:dyDescent="0.3">
      <c r="D472" s="2" t="s">
        <v>304</v>
      </c>
    </row>
    <row r="473" spans="4:4" ht="15" x14ac:dyDescent="0.3">
      <c r="D473" s="2" t="s">
        <v>28</v>
      </c>
    </row>
    <row r="474" spans="4:4" ht="15" x14ac:dyDescent="0.3">
      <c r="D474" s="2" t="s">
        <v>24</v>
      </c>
    </row>
    <row r="475" spans="4:4" ht="15" x14ac:dyDescent="0.3">
      <c r="D475" s="2" t="s">
        <v>305</v>
      </c>
    </row>
    <row r="476" spans="4:4" ht="15" x14ac:dyDescent="0.3">
      <c r="D476" s="2" t="s">
        <v>306</v>
      </c>
    </row>
    <row r="477" spans="4:4" ht="15" x14ac:dyDescent="0.3">
      <c r="D477" s="2" t="s">
        <v>307</v>
      </c>
    </row>
    <row r="478" spans="4:4" ht="15" x14ac:dyDescent="0.3">
      <c r="D478" s="2" t="s">
        <v>28</v>
      </c>
    </row>
    <row r="479" spans="4:4" ht="15" x14ac:dyDescent="0.3">
      <c r="D479" s="2" t="s">
        <v>24</v>
      </c>
    </row>
    <row r="480" spans="4:4" ht="15" x14ac:dyDescent="0.3">
      <c r="D480" s="2" t="s">
        <v>308</v>
      </c>
    </row>
    <row r="481" spans="4:4" ht="15" x14ac:dyDescent="0.3">
      <c r="D481" s="2" t="s">
        <v>309</v>
      </c>
    </row>
    <row r="482" spans="4:4" ht="15" x14ac:dyDescent="0.3">
      <c r="D482" s="2" t="s">
        <v>310</v>
      </c>
    </row>
    <row r="483" spans="4:4" ht="15" x14ac:dyDescent="0.3">
      <c r="D483" s="2" t="s">
        <v>28</v>
      </c>
    </row>
    <row r="484" spans="4:4" ht="15" x14ac:dyDescent="0.3">
      <c r="D484" s="2" t="s">
        <v>24</v>
      </c>
    </row>
    <row r="485" spans="4:4" ht="15" x14ac:dyDescent="0.3">
      <c r="D485" s="2" t="s">
        <v>311</v>
      </c>
    </row>
    <row r="486" spans="4:4" ht="15" x14ac:dyDescent="0.3">
      <c r="D486" s="2" t="s">
        <v>312</v>
      </c>
    </row>
    <row r="487" spans="4:4" ht="15" x14ac:dyDescent="0.3">
      <c r="D487" s="2" t="s">
        <v>313</v>
      </c>
    </row>
    <row r="488" spans="4:4" ht="15" x14ac:dyDescent="0.3">
      <c r="D488" s="2" t="s">
        <v>28</v>
      </c>
    </row>
    <row r="489" spans="4:4" ht="15" x14ac:dyDescent="0.3">
      <c r="D489" s="2" t="s">
        <v>24</v>
      </c>
    </row>
    <row r="490" spans="4:4" ht="15" x14ac:dyDescent="0.3">
      <c r="D490" s="2" t="s">
        <v>314</v>
      </c>
    </row>
    <row r="491" spans="4:4" ht="15" x14ac:dyDescent="0.3">
      <c r="D491" s="2" t="s">
        <v>315</v>
      </c>
    </row>
    <row r="492" spans="4:4" ht="15" x14ac:dyDescent="0.3">
      <c r="D492" s="2" t="s">
        <v>316</v>
      </c>
    </row>
    <row r="493" spans="4:4" ht="15" x14ac:dyDescent="0.3">
      <c r="D493" s="2" t="s">
        <v>28</v>
      </c>
    </row>
    <row r="494" spans="4:4" ht="15" x14ac:dyDescent="0.3">
      <c r="D494" s="2" t="s">
        <v>24</v>
      </c>
    </row>
    <row r="495" spans="4:4" ht="15" x14ac:dyDescent="0.3">
      <c r="D495" s="2" t="s">
        <v>317</v>
      </c>
    </row>
    <row r="496" spans="4:4" ht="15" x14ac:dyDescent="0.3">
      <c r="D496" s="2" t="s">
        <v>318</v>
      </c>
    </row>
    <row r="497" spans="4:4" ht="15" x14ac:dyDescent="0.3">
      <c r="D497" s="2" t="s">
        <v>319</v>
      </c>
    </row>
    <row r="498" spans="4:4" ht="15" x14ac:dyDescent="0.3">
      <c r="D498" s="2" t="s">
        <v>28</v>
      </c>
    </row>
    <row r="499" spans="4:4" ht="15" x14ac:dyDescent="0.3">
      <c r="D499" s="2" t="s">
        <v>24</v>
      </c>
    </row>
    <row r="500" spans="4:4" ht="15" x14ac:dyDescent="0.3">
      <c r="D500" s="2" t="s">
        <v>320</v>
      </c>
    </row>
    <row r="501" spans="4:4" ht="15" x14ac:dyDescent="0.3">
      <c r="D501" s="2" t="s">
        <v>321</v>
      </c>
    </row>
    <row r="502" spans="4:4" ht="15" x14ac:dyDescent="0.3">
      <c r="D502" s="2" t="s">
        <v>322</v>
      </c>
    </row>
    <row r="503" spans="4:4" ht="15" x14ac:dyDescent="0.3">
      <c r="D503" s="2" t="s">
        <v>28</v>
      </c>
    </row>
    <row r="504" spans="4:4" ht="15" x14ac:dyDescent="0.3">
      <c r="D504" s="2" t="s">
        <v>24</v>
      </c>
    </row>
    <row r="505" spans="4:4" ht="15" x14ac:dyDescent="0.3">
      <c r="D505" s="2" t="s">
        <v>323</v>
      </c>
    </row>
    <row r="506" spans="4:4" ht="15" x14ac:dyDescent="0.3">
      <c r="D506" s="2" t="s">
        <v>324</v>
      </c>
    </row>
    <row r="507" spans="4:4" ht="15" x14ac:dyDescent="0.3">
      <c r="D507" s="2" t="s">
        <v>325</v>
      </c>
    </row>
    <row r="508" spans="4:4" ht="15" x14ac:dyDescent="0.3">
      <c r="D508" s="2" t="s">
        <v>28</v>
      </c>
    </row>
    <row r="509" spans="4:4" ht="15" x14ac:dyDescent="0.3">
      <c r="D509" s="2" t="s">
        <v>24</v>
      </c>
    </row>
    <row r="510" spans="4:4" ht="15" x14ac:dyDescent="0.3">
      <c r="D510" s="2" t="s">
        <v>326</v>
      </c>
    </row>
    <row r="511" spans="4:4" ht="15" x14ac:dyDescent="0.3">
      <c r="D511" s="2" t="s">
        <v>327</v>
      </c>
    </row>
    <row r="512" spans="4:4" ht="15" x14ac:dyDescent="0.3">
      <c r="D512" s="2" t="s">
        <v>328</v>
      </c>
    </row>
    <row r="513" spans="4:4" ht="15" x14ac:dyDescent="0.3">
      <c r="D513" s="2" t="s">
        <v>28</v>
      </c>
    </row>
    <row r="514" spans="4:4" ht="15" x14ac:dyDescent="0.3">
      <c r="D514" s="2" t="s">
        <v>24</v>
      </c>
    </row>
    <row r="515" spans="4:4" ht="15" x14ac:dyDescent="0.3">
      <c r="D515" s="2" t="s">
        <v>329</v>
      </c>
    </row>
    <row r="516" spans="4:4" ht="15" x14ac:dyDescent="0.3">
      <c r="D516" s="2" t="s">
        <v>330</v>
      </c>
    </row>
    <row r="517" spans="4:4" ht="15" x14ac:dyDescent="0.3">
      <c r="D517" s="2" t="s">
        <v>331</v>
      </c>
    </row>
    <row r="518" spans="4:4" ht="15" x14ac:dyDescent="0.3">
      <c r="D518" s="2" t="s">
        <v>28</v>
      </c>
    </row>
    <row r="519" spans="4:4" ht="15" x14ac:dyDescent="0.3">
      <c r="D519" s="2" t="s">
        <v>24</v>
      </c>
    </row>
    <row r="520" spans="4:4" ht="15" x14ac:dyDescent="0.3">
      <c r="D520" s="2" t="s">
        <v>332</v>
      </c>
    </row>
    <row r="521" spans="4:4" ht="15" x14ac:dyDescent="0.3">
      <c r="D521" s="2" t="s">
        <v>333</v>
      </c>
    </row>
    <row r="522" spans="4:4" ht="15" x14ac:dyDescent="0.3">
      <c r="D522" s="2" t="s">
        <v>334</v>
      </c>
    </row>
    <row r="523" spans="4:4" ht="15" x14ac:dyDescent="0.3">
      <c r="D523" s="2" t="s">
        <v>28</v>
      </c>
    </row>
    <row r="524" spans="4:4" ht="15" x14ac:dyDescent="0.3">
      <c r="D524" s="2" t="s">
        <v>24</v>
      </c>
    </row>
    <row r="525" spans="4:4" ht="15" x14ac:dyDescent="0.3">
      <c r="D525" s="2" t="s">
        <v>335</v>
      </c>
    </row>
    <row r="526" spans="4:4" ht="15" x14ac:dyDescent="0.3">
      <c r="D526" s="2" t="s">
        <v>336</v>
      </c>
    </row>
    <row r="527" spans="4:4" ht="15" x14ac:dyDescent="0.3">
      <c r="D527" s="2" t="s">
        <v>337</v>
      </c>
    </row>
    <row r="528" spans="4:4" ht="15" x14ac:dyDescent="0.3">
      <c r="D528" s="2" t="s">
        <v>28</v>
      </c>
    </row>
    <row r="529" spans="4:4" ht="15" x14ac:dyDescent="0.3">
      <c r="D529" s="2" t="s">
        <v>24</v>
      </c>
    </row>
    <row r="530" spans="4:4" ht="15" x14ac:dyDescent="0.3">
      <c r="D530" s="2" t="s">
        <v>338</v>
      </c>
    </row>
    <row r="531" spans="4:4" ht="15" x14ac:dyDescent="0.3">
      <c r="D531" s="2" t="s">
        <v>339</v>
      </c>
    </row>
    <row r="532" spans="4:4" ht="15" x14ac:dyDescent="0.3">
      <c r="D532" s="2" t="s">
        <v>340</v>
      </c>
    </row>
    <row r="533" spans="4:4" ht="15" x14ac:dyDescent="0.3">
      <c r="D533" s="2" t="s">
        <v>28</v>
      </c>
    </row>
    <row r="534" spans="4:4" ht="15" x14ac:dyDescent="0.3">
      <c r="D534" s="2" t="s">
        <v>24</v>
      </c>
    </row>
    <row r="535" spans="4:4" ht="15" x14ac:dyDescent="0.3">
      <c r="D535" s="2" t="s">
        <v>341</v>
      </c>
    </row>
    <row r="536" spans="4:4" ht="15" x14ac:dyDescent="0.3">
      <c r="D536" s="2" t="s">
        <v>342</v>
      </c>
    </row>
    <row r="537" spans="4:4" ht="15" x14ac:dyDescent="0.3">
      <c r="D537" s="2" t="s">
        <v>343</v>
      </c>
    </row>
    <row r="538" spans="4:4" ht="15" x14ac:dyDescent="0.3">
      <c r="D538" s="2" t="s">
        <v>28</v>
      </c>
    </row>
    <row r="539" spans="4:4" ht="15" x14ac:dyDescent="0.3">
      <c r="D539" s="2" t="s">
        <v>24</v>
      </c>
    </row>
    <row r="540" spans="4:4" ht="15" x14ac:dyDescent="0.3">
      <c r="D540" s="2" t="s">
        <v>344</v>
      </c>
    </row>
    <row r="541" spans="4:4" ht="15" x14ac:dyDescent="0.3">
      <c r="D541" s="2" t="s">
        <v>345</v>
      </c>
    </row>
    <row r="542" spans="4:4" ht="15" x14ac:dyDescent="0.3">
      <c r="D542" s="2" t="s">
        <v>346</v>
      </c>
    </row>
    <row r="543" spans="4:4" ht="15" x14ac:dyDescent="0.3">
      <c r="D543" s="2" t="s">
        <v>28</v>
      </c>
    </row>
    <row r="544" spans="4:4" ht="15" x14ac:dyDescent="0.3">
      <c r="D544" s="2" t="s">
        <v>24</v>
      </c>
    </row>
    <row r="545" spans="4:4" ht="15" x14ac:dyDescent="0.3">
      <c r="D545" s="2" t="s">
        <v>347</v>
      </c>
    </row>
    <row r="546" spans="4:4" ht="15" x14ac:dyDescent="0.3">
      <c r="D546" s="2" t="s">
        <v>348</v>
      </c>
    </row>
    <row r="547" spans="4:4" ht="15" x14ac:dyDescent="0.3">
      <c r="D547" s="2" t="s">
        <v>349</v>
      </c>
    </row>
    <row r="548" spans="4:4" ht="15" x14ac:dyDescent="0.3">
      <c r="D548" s="2" t="s">
        <v>28</v>
      </c>
    </row>
    <row r="549" spans="4:4" ht="15" x14ac:dyDescent="0.3">
      <c r="D549" s="2" t="s">
        <v>24</v>
      </c>
    </row>
    <row r="550" spans="4:4" ht="15" x14ac:dyDescent="0.3">
      <c r="D550" s="2" t="s">
        <v>350</v>
      </c>
    </row>
    <row r="551" spans="4:4" ht="15" x14ac:dyDescent="0.3">
      <c r="D551" s="2" t="s">
        <v>351</v>
      </c>
    </row>
    <row r="552" spans="4:4" ht="15" x14ac:dyDescent="0.3">
      <c r="D552" s="2" t="s">
        <v>352</v>
      </c>
    </row>
    <row r="553" spans="4:4" ht="15" x14ac:dyDescent="0.3">
      <c r="D553" s="2" t="s">
        <v>28</v>
      </c>
    </row>
    <row r="554" spans="4:4" ht="15" x14ac:dyDescent="0.3">
      <c r="D554" s="2" t="s">
        <v>24</v>
      </c>
    </row>
    <row r="555" spans="4:4" ht="15" x14ac:dyDescent="0.3">
      <c r="D555" s="2" t="s">
        <v>353</v>
      </c>
    </row>
    <row r="556" spans="4:4" ht="15" x14ac:dyDescent="0.3">
      <c r="D556" s="2" t="s">
        <v>354</v>
      </c>
    </row>
    <row r="557" spans="4:4" ht="15" x14ac:dyDescent="0.3">
      <c r="D557" s="2" t="s">
        <v>355</v>
      </c>
    </row>
    <row r="558" spans="4:4" ht="15" x14ac:dyDescent="0.3">
      <c r="D558" s="2" t="s">
        <v>28</v>
      </c>
    </row>
    <row r="559" spans="4:4" ht="15" x14ac:dyDescent="0.3">
      <c r="D559" s="2" t="s">
        <v>24</v>
      </c>
    </row>
    <row r="560" spans="4:4" ht="15" x14ac:dyDescent="0.3">
      <c r="D560" s="2" t="s">
        <v>356</v>
      </c>
    </row>
    <row r="561" spans="4:4" ht="15" x14ac:dyDescent="0.3">
      <c r="D561" s="2" t="s">
        <v>357</v>
      </c>
    </row>
    <row r="562" spans="4:4" ht="15" x14ac:dyDescent="0.3">
      <c r="D562" s="2" t="s">
        <v>358</v>
      </c>
    </row>
    <row r="563" spans="4:4" ht="15" x14ac:dyDescent="0.3">
      <c r="D563" s="2" t="s">
        <v>28</v>
      </c>
    </row>
    <row r="564" spans="4:4" ht="15" x14ac:dyDescent="0.3">
      <c r="D564" s="2" t="s">
        <v>24</v>
      </c>
    </row>
    <row r="565" spans="4:4" ht="15" x14ac:dyDescent="0.3">
      <c r="D565" s="2" t="s">
        <v>359</v>
      </c>
    </row>
    <row r="566" spans="4:4" ht="15" x14ac:dyDescent="0.3">
      <c r="D566" s="2" t="s">
        <v>360</v>
      </c>
    </row>
    <row r="567" spans="4:4" ht="15" x14ac:dyDescent="0.3">
      <c r="D567" s="2" t="s">
        <v>361</v>
      </c>
    </row>
    <row r="568" spans="4:4" ht="15" x14ac:dyDescent="0.3">
      <c r="D568" s="2" t="s">
        <v>28</v>
      </c>
    </row>
    <row r="569" spans="4:4" ht="15" x14ac:dyDescent="0.3">
      <c r="D569" s="2" t="s">
        <v>24</v>
      </c>
    </row>
    <row r="570" spans="4:4" ht="15" x14ac:dyDescent="0.3">
      <c r="D570" s="2" t="s">
        <v>362</v>
      </c>
    </row>
    <row r="571" spans="4:4" ht="15" x14ac:dyDescent="0.3">
      <c r="D571" s="2" t="s">
        <v>363</v>
      </c>
    </row>
    <row r="572" spans="4:4" ht="15" x14ac:dyDescent="0.3">
      <c r="D572" s="2" t="s">
        <v>364</v>
      </c>
    </row>
    <row r="573" spans="4:4" ht="15" x14ac:dyDescent="0.3">
      <c r="D573" s="2" t="s">
        <v>28</v>
      </c>
    </row>
    <row r="574" spans="4:4" ht="15" x14ac:dyDescent="0.3">
      <c r="D574" s="2" t="s">
        <v>24</v>
      </c>
    </row>
    <row r="575" spans="4:4" ht="15" x14ac:dyDescent="0.3">
      <c r="D575" s="2" t="s">
        <v>365</v>
      </c>
    </row>
    <row r="576" spans="4:4" ht="15" x14ac:dyDescent="0.3">
      <c r="D576" s="2" t="s">
        <v>366</v>
      </c>
    </row>
    <row r="577" spans="4:4" ht="15" x14ac:dyDescent="0.3">
      <c r="D577" s="2" t="s">
        <v>367</v>
      </c>
    </row>
    <row r="578" spans="4:4" ht="15" x14ac:dyDescent="0.3">
      <c r="D578" s="2" t="s">
        <v>28</v>
      </c>
    </row>
    <row r="579" spans="4:4" ht="15" x14ac:dyDescent="0.3">
      <c r="D579" s="2" t="s">
        <v>24</v>
      </c>
    </row>
    <row r="580" spans="4:4" ht="15" x14ac:dyDescent="0.3">
      <c r="D580" s="2" t="s">
        <v>368</v>
      </c>
    </row>
    <row r="581" spans="4:4" ht="15" x14ac:dyDescent="0.3">
      <c r="D581" s="2" t="s">
        <v>369</v>
      </c>
    </row>
    <row r="582" spans="4:4" ht="15" x14ac:dyDescent="0.3">
      <c r="D582" s="2" t="s">
        <v>370</v>
      </c>
    </row>
    <row r="583" spans="4:4" ht="15" x14ac:dyDescent="0.3">
      <c r="D583" s="2" t="s">
        <v>28</v>
      </c>
    </row>
    <row r="584" spans="4:4" ht="15" x14ac:dyDescent="0.3">
      <c r="D584" s="2" t="s">
        <v>24</v>
      </c>
    </row>
    <row r="585" spans="4:4" ht="15" x14ac:dyDescent="0.3">
      <c r="D585" s="2" t="s">
        <v>371</v>
      </c>
    </row>
    <row r="586" spans="4:4" ht="15" x14ac:dyDescent="0.3">
      <c r="D586" s="2" t="s">
        <v>372</v>
      </c>
    </row>
    <row r="587" spans="4:4" ht="15" x14ac:dyDescent="0.3">
      <c r="D587" s="2" t="s">
        <v>373</v>
      </c>
    </row>
    <row r="588" spans="4:4" ht="15" x14ac:dyDescent="0.3">
      <c r="D588" s="2" t="s">
        <v>374</v>
      </c>
    </row>
    <row r="589" spans="4:4" ht="15" x14ac:dyDescent="0.3">
      <c r="D589" s="2" t="s">
        <v>375</v>
      </c>
    </row>
    <row r="590" spans="4:4" ht="15" x14ac:dyDescent="0.3">
      <c r="D590" s="2" t="s">
        <v>376</v>
      </c>
    </row>
    <row r="591" spans="4:4" ht="15" x14ac:dyDescent="0.3">
      <c r="D591" s="2" t="s">
        <v>377</v>
      </c>
    </row>
    <row r="592" spans="4:4" ht="15" x14ac:dyDescent="0.3">
      <c r="D592" s="2" t="s">
        <v>378</v>
      </c>
    </row>
    <row r="593" spans="4:4" ht="15" x14ac:dyDescent="0.3">
      <c r="D593" s="2" t="s">
        <v>379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61</vt:i4>
      </vt:variant>
    </vt:vector>
  </HeadingPairs>
  <TitlesOfParts>
    <vt:vector size="67" baseType="lpstr">
      <vt:lpstr>output_parsed_hero</vt:lpstr>
      <vt:lpstr>Hero analysis</vt:lpstr>
      <vt:lpstr>Analysis</vt:lpstr>
      <vt:lpstr>Analysis backend</vt:lpstr>
      <vt:lpstr>output_parsed</vt:lpstr>
      <vt:lpstr>hero names</vt:lpstr>
      <vt:lpstr>output_parsed!Sanderlin</vt:lpstr>
      <vt:lpstr>output_parsed_hero!Sanderlin</vt:lpstr>
      <vt:lpstr>output_parsed!Sanderlin_1</vt:lpstr>
      <vt:lpstr>output_parsed_hero!Sanderlin_1</vt:lpstr>
      <vt:lpstr>output_parsed!Sanderlin_10</vt:lpstr>
      <vt:lpstr>output_parsed_hero!Sanderlin_10</vt:lpstr>
      <vt:lpstr>output_parsed!Sanderlin_11</vt:lpstr>
      <vt:lpstr>output_parsed_hero!Sanderlin_11</vt:lpstr>
      <vt:lpstr>output_parsed!Sanderlin_12</vt:lpstr>
      <vt:lpstr>output_parsed_hero!Sanderlin_12</vt:lpstr>
      <vt:lpstr>output_parsed_hero!Sanderlin_13</vt:lpstr>
      <vt:lpstr>output_parsed_hero!Sanderlin_14</vt:lpstr>
      <vt:lpstr>output_parsed_hero!Sanderlin_15</vt:lpstr>
      <vt:lpstr>output_parsed_hero!Sanderlin_16</vt:lpstr>
      <vt:lpstr>output_parsed_hero!Sanderlin_17</vt:lpstr>
      <vt:lpstr>output_parsed_hero!Sanderlin_18</vt:lpstr>
      <vt:lpstr>output_parsed_hero!Sanderlin_19</vt:lpstr>
      <vt:lpstr>output_parsed!Sanderlin_2</vt:lpstr>
      <vt:lpstr>output_parsed_hero!Sanderlin_2</vt:lpstr>
      <vt:lpstr>output_parsed_hero!Sanderlin_20</vt:lpstr>
      <vt:lpstr>output_parsed_hero!Sanderlin_21</vt:lpstr>
      <vt:lpstr>output_parsed_hero!Sanderlin_22</vt:lpstr>
      <vt:lpstr>output_parsed_hero!Sanderlin_23</vt:lpstr>
      <vt:lpstr>output_parsed_hero!Sanderlin_24</vt:lpstr>
      <vt:lpstr>output_parsed_hero!Sanderlin_25</vt:lpstr>
      <vt:lpstr>output_parsed_hero!Sanderlin_26</vt:lpstr>
      <vt:lpstr>output_parsed_hero!Sanderlin_27</vt:lpstr>
      <vt:lpstr>output_parsed_hero!Sanderlin_28</vt:lpstr>
      <vt:lpstr>output_parsed_hero!Sanderlin_29</vt:lpstr>
      <vt:lpstr>output_parsed!Sanderlin_3</vt:lpstr>
      <vt:lpstr>output_parsed_hero!Sanderlin_3</vt:lpstr>
      <vt:lpstr>output_parsed_hero!Sanderlin_30</vt:lpstr>
      <vt:lpstr>output_parsed_hero!Sanderlin_31</vt:lpstr>
      <vt:lpstr>output_parsed_hero!Sanderlin_32</vt:lpstr>
      <vt:lpstr>output_parsed_hero!Sanderlin_33</vt:lpstr>
      <vt:lpstr>output_parsed_hero!Sanderlin_34</vt:lpstr>
      <vt:lpstr>output_parsed_hero!Sanderlin_35</vt:lpstr>
      <vt:lpstr>output_parsed_hero!Sanderlin_36</vt:lpstr>
      <vt:lpstr>output_parsed_hero!Sanderlin_37</vt:lpstr>
      <vt:lpstr>output_parsed_hero!Sanderlin_38</vt:lpstr>
      <vt:lpstr>output_parsed_hero!Sanderlin_39</vt:lpstr>
      <vt:lpstr>output_parsed!Sanderlin_4</vt:lpstr>
      <vt:lpstr>output_parsed_hero!Sanderlin_4</vt:lpstr>
      <vt:lpstr>output_parsed_hero!Sanderlin_40</vt:lpstr>
      <vt:lpstr>output_parsed_hero!Sanderlin_41</vt:lpstr>
      <vt:lpstr>output_parsed_hero!Sanderlin_42</vt:lpstr>
      <vt:lpstr>output_parsed_hero!Sanderlin_43</vt:lpstr>
      <vt:lpstr>output_parsed_hero!Sanderlin_44</vt:lpstr>
      <vt:lpstr>output_parsed_hero!Sanderlin_45</vt:lpstr>
      <vt:lpstr>output_parsed_hero!Sanderlin_46</vt:lpstr>
      <vt:lpstr>output_parsed_hero!Sanderlin_47</vt:lpstr>
      <vt:lpstr>output_parsed!Sanderlin_5</vt:lpstr>
      <vt:lpstr>output_parsed_hero!Sanderlin_5</vt:lpstr>
      <vt:lpstr>output_parsed!Sanderlin_6</vt:lpstr>
      <vt:lpstr>output_parsed_hero!Sanderlin_6</vt:lpstr>
      <vt:lpstr>output_parsed!Sanderlin_7</vt:lpstr>
      <vt:lpstr>output_parsed_hero!Sanderlin_7</vt:lpstr>
      <vt:lpstr>output_parsed!Sanderlin_8</vt:lpstr>
      <vt:lpstr>output_parsed_hero!Sanderlin_8</vt:lpstr>
      <vt:lpstr>output_parsed!Sanderlin_9</vt:lpstr>
      <vt:lpstr>output_parsed_hero!Sanderlin_9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Wang</dc:creator>
  <cp:lastModifiedBy>Howard Wang</cp:lastModifiedBy>
  <dcterms:created xsi:type="dcterms:W3CDTF">2018-12-06T00:20:12Z</dcterms:created>
  <dcterms:modified xsi:type="dcterms:W3CDTF">2018-12-06T05:29:21Z</dcterms:modified>
</cp:coreProperties>
</file>